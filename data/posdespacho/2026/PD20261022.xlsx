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portes\"/>
    </mc:Choice>
  </mc:AlternateContent>
  <xr:revisionPtr revIDLastSave="0" documentId="8_{F1883A62-E9F5-4BDB-817B-770D4C648FC1}" xr6:coauthVersionLast="47" xr6:coauthVersionMax="47" xr10:uidLastSave="{00000000-0000-0000-0000-000000000000}"/>
  <bookViews>
    <workbookView xWindow="-60" yWindow="-60" windowWidth="28920" windowHeight="15600" tabRatio="734" xr2:uid="{00000000-000D-0000-FFFF-FFFF00000000}"/>
  </bookViews>
  <sheets>
    <sheet name="Índice" sheetId="13" r:id="rId1"/>
    <sheet name="Presentación" sheetId="19" r:id="rId2"/>
    <sheet name="POE" sheetId="18" r:id="rId3"/>
    <sheet name="GF" sheetId="17" r:id="rId4"/>
    <sheet name="SC" sheetId="7" r:id="rId5"/>
    <sheet name="PPOE" sheetId="15" r:id="rId6"/>
    <sheet name="Curvaspot" sheetId="5" r:id="rId7"/>
    <sheet name="RSO1" sheetId="8" r:id="rId8"/>
    <sheet name="RSO2" sheetId="9" r:id="rId9"/>
    <sheet name="RSO3" sheetId="20" r:id="rId10"/>
    <sheet name="Carga Horaria" sheetId="2" r:id="rId11"/>
    <sheet name="Indisponibilidades" sheetId="10" r:id="rId12"/>
    <sheet name="Curva S.N.I." sheetId="11" r:id="rId13"/>
    <sheet name="Curva MER" sheetId="12" r:id="rId14"/>
    <sheet name="Curva Interconexión México" sheetId="16" r:id="rId15"/>
  </sheets>
  <definedNames>
    <definedName name="_xlnm.Print_Area" localSheetId="14">'Curva Interconexión México'!$A$1:$S$46</definedName>
    <definedName name="_xlnm.Print_Area" localSheetId="13">'Curva MER'!$A$1:$S$46</definedName>
    <definedName name="_xlnm.Print_Area" localSheetId="12">'Curva S.N.I.'!$1:$66</definedName>
    <definedName name="_xlnm.Print_Area" localSheetId="6">Curvaspot!$A$1:$L$52</definedName>
    <definedName name="_xlnm.Print_Area" localSheetId="3">GF!$A$1:$AG$74</definedName>
    <definedName name="_xlnm.Print_Area" localSheetId="7">'RSO1'!$A$1:$H$47</definedName>
    <definedName name="_xlnm.Print_Area" localSheetId="8">'RSO2'!$A$1:$H$54</definedName>
    <definedName name="_xlnm.Print_Area" localSheetId="9">'RSO3'!$A$1:$H$70</definedName>
    <definedName name="_xlnm.Print_Titles" localSheetId="11">Indisponibilidades!$1:$5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1" l="1"/>
  <c r="G7" i="11" s="1"/>
  <c r="AZ124" i="7" l="1"/>
  <c r="C124" i="7"/>
  <c r="AZ94" i="7"/>
  <c r="CU63" i="7"/>
  <c r="AX45" i="7"/>
  <c r="AY45" i="7"/>
  <c r="AX43" i="7"/>
  <c r="AY43" i="7"/>
  <c r="AX44" i="7"/>
  <c r="AY44" i="7"/>
  <c r="AY33" i="7" l="1"/>
  <c r="CU86" i="7"/>
  <c r="CU85" i="7"/>
  <c r="CU84" i="7"/>
  <c r="CU83" i="7"/>
  <c r="CU82" i="7"/>
  <c r="CU81" i="7"/>
  <c r="CU80" i="7"/>
  <c r="CU79" i="7"/>
  <c r="CU78" i="7"/>
  <c r="CU77" i="7"/>
  <c r="CU76" i="7"/>
  <c r="CU75" i="7"/>
  <c r="CU74" i="7"/>
  <c r="CU73" i="7"/>
  <c r="CU72" i="7"/>
  <c r="CU71" i="7"/>
  <c r="CU70" i="7"/>
  <c r="CU69" i="7"/>
  <c r="CU68" i="7"/>
  <c r="CU67" i="7"/>
  <c r="CU66" i="7"/>
  <c r="CU65" i="7"/>
  <c r="CU64" i="7"/>
  <c r="AX86" i="7"/>
  <c r="AX85" i="7"/>
  <c r="AX84" i="7"/>
  <c r="AX83" i="7"/>
  <c r="AX82" i="7"/>
  <c r="AX81" i="7"/>
  <c r="AX80" i="7"/>
  <c r="AX79" i="7"/>
  <c r="AX78" i="7"/>
  <c r="AX77" i="7"/>
  <c r="AX76" i="7"/>
  <c r="AX75" i="7"/>
  <c r="AX74" i="7"/>
  <c r="AX73" i="7"/>
  <c r="AX72" i="7"/>
  <c r="AX71" i="7"/>
  <c r="AX70" i="7"/>
  <c r="AX69" i="7"/>
  <c r="AX68" i="7"/>
  <c r="AX67" i="7"/>
  <c r="AX66" i="7"/>
  <c r="AX65" i="7"/>
  <c r="AX64" i="7"/>
  <c r="AX63" i="7"/>
  <c r="AZ64" i="7"/>
  <c r="C64" i="7"/>
  <c r="AX87" i="7" l="1"/>
  <c r="CU87" i="7"/>
  <c r="AY56" i="7"/>
  <c r="AY55" i="7"/>
  <c r="AY54" i="7"/>
  <c r="AY53" i="7"/>
  <c r="AY52" i="7"/>
  <c r="AY51" i="7"/>
  <c r="AY50" i="7"/>
  <c r="AY49" i="7"/>
  <c r="AY48" i="7"/>
  <c r="AY47" i="7"/>
  <c r="AY46" i="7"/>
  <c r="AY42" i="7"/>
  <c r="AY41" i="7"/>
  <c r="AY40" i="7"/>
  <c r="AY39" i="7"/>
  <c r="AY38" i="7"/>
  <c r="AY37" i="7"/>
  <c r="AY36" i="7"/>
  <c r="AY35" i="7"/>
  <c r="AY34" i="7"/>
  <c r="H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C94" i="7"/>
  <c r="AX56" i="7"/>
  <c r="AX55" i="7"/>
  <c r="AX54" i="7"/>
  <c r="AX53" i="7"/>
  <c r="AX52" i="7"/>
  <c r="AX51" i="7"/>
  <c r="AX50" i="7"/>
  <c r="AX49" i="7"/>
  <c r="AX48" i="7"/>
  <c r="AX47" i="7"/>
  <c r="AX46" i="7"/>
  <c r="AX42" i="7"/>
  <c r="AX41" i="7"/>
  <c r="AX40" i="7"/>
  <c r="AX39" i="7"/>
  <c r="AX38" i="7"/>
  <c r="AX37" i="7"/>
  <c r="AX36" i="7"/>
  <c r="AX35" i="7"/>
  <c r="AX34" i="7"/>
  <c r="C34" i="7"/>
  <c r="AX33" i="7"/>
  <c r="F32" i="18"/>
  <c r="F33" i="18"/>
  <c r="F34" i="18"/>
  <c r="G32" i="15"/>
  <c r="G33" i="15"/>
  <c r="G31" i="15"/>
  <c r="F31" i="15"/>
  <c r="F32" i="15"/>
  <c r="F33" i="15"/>
  <c r="AY57" i="7" l="1"/>
  <c r="AX57" i="7"/>
  <c r="L27" i="7"/>
  <c r="H2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lsandoval</author>
  </authors>
  <commentList>
    <comment ref="B6" authorId="0" shapeId="0" xr:uid="{29E5E02A-B689-4196-8895-1C689690E25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Chixoy.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C6" authorId="0" shapeId="0" xr:uid="{559BCD3C-F7B3-4251-A702-AC35C3FB6B4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Aguacapa.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D6" authorId="0" shapeId="0" xr:uid="{B50EF158-FBEE-4DD9-8D87-E2B2F1C150A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Jurún Marinalá.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E6" authorId="0" shapeId="0" xr:uid="{9B27E597-251A-4663-B8B0-B2CEA5CE14C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Los Esclavos.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F6" authorId="0" shapeId="0" xr:uid="{306838EA-E3E5-4B0C-AEDE-39AE67369C6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Santa María.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G6" authorId="0" shapeId="0" xr:uid="{AD7AE0F7-B215-4157-8831-D38183EE3A1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Porvenir.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H6" authorId="0" shapeId="0" xr:uid="{61BDCF7D-0A6C-42B8-84E3-8DF2784FB73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Salto.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I6" authorId="0" shapeId="0" xr:uid="{6FE5088A-FE66-44EE-AC18-46B47E5D97E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Río Bobos.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Comercializadora Eléctrica de Guatemala. S.A.</t>
        </r>
      </text>
    </comment>
    <comment ref="J6" authorId="0" shapeId="0" xr:uid="{3C334F8F-8DE9-4F40-A570-F8F37B8C7B1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Secacao.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Ion Energy, S.A.</t>
        </r>
      </text>
    </comment>
    <comment ref="K6" authorId="0" shapeId="0" xr:uid="{D0BF9888-285D-4814-A8EC-721228DCD053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Pasabien.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Inversiones Pasabién, S.A.</t>
        </r>
      </text>
    </comment>
    <comment ref="L6" authorId="0" shapeId="0" xr:uid="{4FA59344-C647-41BB-B46C-B7D4B8012A41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Matanzas.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M6" authorId="0" shapeId="0" xr:uid="{E6DB87B7-A6C2-4881-8ADD-77AC58D04E5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 Isidro.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N6" authorId="0" shapeId="0" xr:uid="{B5BDD394-F65C-422A-83B1-36F74FD0EBB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Posa Verde.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Papeles Elaborados, S.A.</t>
        </r>
      </text>
    </comment>
    <comment ref="O6" authorId="0" shapeId="0" xr:uid="{20E547E7-BDC5-4A3F-89FF-805301A795E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Río Las Vacas.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Comercializadora Eléctrica de Guatemala (COMEGSA).</t>
        </r>
      </text>
    </comment>
    <comment ref="P6" authorId="0" shapeId="0" xr:uid="{06761080-D26D-4AD2-AB79-ADADB798B5E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 Canadá.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Generadora de Occidente, LTDA.</t>
        </r>
      </text>
    </comment>
    <comment ref="Q6" authorId="0" shapeId="0" xr:uid="{55BEAE20-FF03-4C55-81B6-F8C3AE15254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Montecristo.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>Inversiones Nacimiento, S.A.</t>
        </r>
      </text>
    </comment>
    <comment ref="R6" authorId="0" shapeId="0" xr:uid="{CB485E6A-5FC7-4CD7-B432-D2D9FF9A171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S6" authorId="0" shapeId="0" xr:uid="{B121867B-4DB9-4CB8-8A93-73782B38BE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T6" authorId="0" shapeId="0" xr:uid="{66DAD877-3270-4F61-A968-A0FD3510E8C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U6" authorId="0" shapeId="0" xr:uid="{5924254D-57E7-4C71-8934-2438F6B97CE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Renace IV.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Renace, S. A.</t>
        </r>
      </text>
    </comment>
    <comment ref="V6" authorId="0" shapeId="0" xr:uid="{8D0E3C5D-964E-43BF-A145-7C655B85BB7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Palin 2.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W6" authorId="0" shapeId="0" xr:uid="{2F98F53E-1F95-495F-B6B2-7BE51E3F983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Candelaria.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Ion Energy, S.A.</t>
        </r>
      </text>
    </comment>
    <comment ref="X6" authorId="0" shapeId="0" xr:uid="{4A56E823-3FBA-4786-BF0E-144DB02BE33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Y6" authorId="0" shapeId="0" xr:uid="{09CA5E5B-785D-4E07-9CE8-68D5E0A242B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Z6" authorId="0" shapeId="0" xr:uid="{829FF8FB-9EA6-4B8F-B1FC-A17C365423B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Xacbal</t>
        </r>
      </text>
    </comment>
    <comment ref="AA6" authorId="0" shapeId="0" xr:uid="{C17D0C33-3931-4ACD-A4D9-E81274B8D6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 Limpia de Guatemala, S.A.</t>
        </r>
      </text>
    </comment>
    <comment ref="AB6" authorId="0" shapeId="0" xr:uid="{23D611A6-1B1A-453E-889A-1B6562CF8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Panan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Inversiones Atenas, S.A.</t>
        </r>
      </text>
    </comment>
    <comment ref="AC6" authorId="0" shapeId="0" xr:uid="{00828E4C-E041-400C-87ED-DD89DDE627F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 Comercializadora del Polochic, S.A.</t>
        </r>
      </text>
    </comment>
    <comment ref="AD6" authorId="0" shapeId="0" xr:uid="{851202DF-7BAB-4758-BE90-9FB83D34836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Choloma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Electronova, S. A.</t>
        </r>
      </text>
    </comment>
    <comment ref="AE6" authorId="0" shapeId="0" xr:uid="{F40F3980-D542-4982-BBB0-A1C9BC355A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Palo Viejo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Renovables de Guatemala, S.A.</t>
        </r>
      </text>
    </comment>
    <comment ref="AF6" authorId="0" shapeId="0" xr:uid="{292BCEC0-FCA9-411D-AD9C-BB1BCD3241D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Perla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Hidrosacpur, S.A.</t>
        </r>
      </text>
    </comment>
    <comment ref="AG6" authorId="0" shapeId="0" xr:uid="{093C0C13-FC6F-45B9-BA0D-043BB719DC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Hidropower SDMM,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Hidropower SDMM, S. A.</t>
        </r>
      </text>
    </comment>
    <comment ref="AH6" authorId="0" shapeId="0" xr:uid="{A8754F63-0AF7-4CFC-B1D8-7AA143BC0F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Visión del Águila,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Visión del Águila, S. A.</t>
        </r>
      </text>
    </comment>
    <comment ref="AI6" authorId="0" shapeId="0" xr:uid="{12D44149-2E13-4C7B-99B4-3A5386B231C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Libertador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Regional Energetica, S. A.</t>
        </r>
      </text>
    </comment>
    <comment ref="AJ6" authorId="0" shapeId="0" xr:uid="{D40D92E4-C468-41F1-B72F-C8F13AD349C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Hidroaguná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Electrica de Guatemala, S. A.</t>
        </r>
      </text>
    </comment>
    <comment ref="AK6" authorId="0" shapeId="0" xr:uid="{397AA973-2965-4B70-A6C3-9091F98317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Ixtalito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AL6" authorId="0" shapeId="0" xr:uid="{E091F5B1-ED18-49F5-820A-798BD1D70C2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M6" authorId="0" shapeId="0" xr:uid="{78D2FB0B-712E-48BF-B9EC-50BA947510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N6" authorId="0" shapeId="0" xr:uid="{33BD33E6-E0A8-4344-875D-BEB65728E38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O6" authorId="0" shapeId="0" xr:uid="{8A618DD8-4D72-447F-A0CA-C205F2A6CBF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IV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P6" authorId="0" shapeId="0" xr:uid="{B4DC1A41-167A-4392-9BC7-B93ED14EA62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Guayacán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Proyectos Sostenibles de Guatemala, S. A.</t>
        </r>
      </text>
    </comment>
    <comment ref="AQ6" authorId="0" shapeId="0" xr:uid="{C4DFC5AE-1D8E-4EE1-8B7E-0E75BC67B31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Cobano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El Cóbano, S. A.</t>
        </r>
      </text>
    </comment>
    <comment ref="AR6" authorId="0" shapeId="0" xr:uid="{779D68ED-C573-44BC-92EB-4D50B6836B0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Coralito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Coralito, S. A.</t>
        </r>
      </text>
    </comment>
    <comment ref="AS6" authorId="0" shapeId="0" xr:uid="{EADD3B42-1E7A-4D58-A77C-86B1AAD90BD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 II, S.A.</t>
        </r>
      </text>
    </comment>
    <comment ref="AT6" authorId="0" shapeId="0" xr:uid="{57F5747D-3880-4E70-8762-3868F79F6DF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Oxec, S.A.</t>
        </r>
      </text>
    </comment>
    <comment ref="AU6" authorId="0" shapeId="0" xr:uid="{021AE687-D048-48C3-87A6-04A318BC4AA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Cerro Vivo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Compra de Materias Primas, S.A.</t>
        </r>
      </text>
    </comment>
    <comment ref="AV6" authorId="0" shapeId="0" xr:uid="{37D47E51-ABB7-415B-A188-C8743CB0C86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libertad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Cinco M, S. A.</t>
        </r>
      </text>
    </comment>
    <comment ref="AW6" authorId="0" shapeId="0" xr:uid="{4ECFEF8D-1FCF-4F7D-AD71-64F97D8B308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Las Fuentes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Energías del Ocosito, S.A.</t>
        </r>
      </text>
    </comment>
    <comment ref="AX6" authorId="0" shapeId="0" xr:uid="{53495D86-9A0B-4709-8E99-DD6D5313374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El Cafetal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Jumina, S.A.</t>
        </r>
      </text>
    </comment>
    <comment ref="AY6" authorId="0" shapeId="0" xr:uid="{7DA771BF-007D-49BA-B913-C2576F8C0DD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Raaxha.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Raaxha, S.A.</t>
        </r>
      </text>
    </comment>
    <comment ref="AZ6" authorId="0" shapeId="0" xr:uid="{BD52F956-BC6F-4205-AD6D-673DBA1E49A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Finca Lorena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Agen, S.A.</t>
        </r>
      </text>
    </comment>
    <comment ref="BA6" authorId="0" shapeId="0" xr:uid="{FE780EBE-3C6E-453C-828C-11DBC3ED226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GDR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Agropecuaria Altorr, S. A.</t>
        </r>
      </text>
    </comment>
    <comment ref="BB6" authorId="0" shapeId="0" xr:uid="{8FCAB2D9-368D-4E81-A360-285931C898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Salto Marinalá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Agroindustrial Piedra Negra, S. A.</t>
        </r>
      </text>
    </comment>
    <comment ref="BC6" authorId="0" shapeId="0" xr:uid="{1323393B-A6BC-47B7-9177-66C30AAC6BC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GDR Hidroeléctrica Los Patos.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de Energía para el Desarrollo, S.A.</t>
        </r>
      </text>
    </comment>
    <comment ref="BD6" authorId="0" shapeId="0" xr:uid="{DF3D85E6-11C6-460A-A02B-644C0B64697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Pequeña Hidroeléctrica Xolhuitz.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BE6" authorId="0" shapeId="0" xr:uid="{0F111C14-B151-46C8-A335-ACA13C7F0E7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Maxanal.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Maxanal, S.A.</t>
        </r>
      </text>
    </comment>
    <comment ref="BF6" authorId="0" shapeId="0" xr:uid="{AF45B810-2634-44B8-96DC-7563DEB3D4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Kaplan Chapina.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Papeles Elaborados, S.A.</t>
        </r>
      </text>
    </comment>
    <comment ref="BG6" authorId="0" shapeId="0" xr:uid="{0B500B0B-5CE5-4ED4-83F8-77FBC9351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Hidroeléctrica Las Uvitas.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Desarrollos Las Uvitas, S. A.
</t>
        </r>
      </text>
    </comment>
    <comment ref="BH6" authorId="0" shapeId="0" xr:uid="{FC30B984-1117-42BD-9D55-286F42B34D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Orzunil.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Eléctrica del INDE (EGEE).
</t>
        </r>
      </text>
    </comment>
    <comment ref="BI6" authorId="0" shapeId="0" xr:uid="{0591AF05-E0B7-4DB2-B544-6C6CC64010B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Ortitlán.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Comertitlán, S.A.
</t>
        </r>
      </text>
    </comment>
    <comment ref="BJ6" authorId="0" shapeId="0" xr:uid="{602896F0-D79A-4ECD-9DCE-289A19FF558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Calderas.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K6" authorId="0" shapeId="0" xr:uid="{C9DF3456-C8F5-4B35-AB7B-D3A45583CBD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Térmica Escuintla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L6" authorId="0" shapeId="0" xr:uid="{5050446A-67FE-489C-B86E-669E58ECBE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Fotovoltaica Horus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M6" authorId="0" shapeId="0" xr:uid="{03371AED-2ECF-429E-885A-C97D009087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Horus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N6" authorId="0" shapeId="0" xr:uid="{865B7B7D-0CBB-4CEE-BA71-D14E4300D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Fotovoltaico Yolanda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del Puerto, S. A.
</t>
        </r>
      </text>
    </comment>
    <comment ref="BO6" authorId="0" shapeId="0" xr:uid="{16EA6FA7-80CC-4A7B-8B11-3DD72977E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El Carrizo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 Escuintla, S.A.
</t>
        </r>
      </text>
    </comment>
    <comment ref="BP6" authorId="0" shapeId="0" xr:uid="{ACEDEEC4-D72C-48AA-88EA-C69DE0C2F0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Tierra del Sol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Tierra del Sol, S.A.
</t>
        </r>
      </text>
    </comment>
    <comment ref="BQ6" authorId="0" shapeId="0" xr:uid="{F2BCCC64-F799-409D-A787-67B535ED5E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Energía Limpia de Guatemala, S.A.
</t>
        </r>
      </text>
    </comment>
    <comment ref="BR6" authorId="0" shapeId="0" xr:uid="{9FF8B4BB-CD59-480B-86C0-8CD310C0589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Mecanismos de Energía Renovable, S.A.
</t>
        </r>
      </text>
    </comment>
    <comment ref="BS6" authorId="0" shapeId="0" xr:uid="{62E3BC19-4851-494F-B8A6-521E81905B8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Magdalena Solar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 Patricio Renovables, S.A.
</t>
        </r>
      </text>
    </comment>
    <comment ref="BT6" authorId="0" shapeId="0" xr:uid="{0D92C6F2-998D-4668-B1C7-66249651A68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Santo Espíritu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Santo Espíritu, S. A.
</t>
        </r>
      </text>
    </comment>
    <comment ref="BU6" authorId="0" shapeId="0" xr:uid="{CEA1D6A2-3807-4746-8DF3-D20407D50E8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Central Generadora San Antonio El Sitio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Eolico San Antonio El Sitio, S. A.
</t>
        </r>
      </text>
    </comment>
    <comment ref="BV6" authorId="0" shapeId="0" xr:uid="{5D5E8145-7B74-4FED-B920-E2B70EE1B7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Viento Blanco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Viento Blanco, S.A.
</t>
        </r>
      </text>
    </comment>
    <comment ref="BW6" authorId="0" shapeId="0" xr:uid="{6EC96FD6-11DD-4F18-8D59-C117A334612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Las Cumbres de Agua Blanca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Transmisión de Electricidad, S.A.
</t>
        </r>
      </text>
    </comment>
    <comment ref="BX6" authorId="0" shapeId="0" xr:uid="{0EE5F6A1-4EB1-4471-B130-6824C719FE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Comapa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Eólica San Cristóbal, S. A.
</t>
        </r>
      </text>
    </comment>
    <comment ref="BY6" authorId="0" shapeId="0" xr:uid="{251BB470-8631-4175-A305-042FCFAFA0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BZ6" authorId="0" shapeId="0" xr:uid="{82093AB9-9218-4B4A-947D-A3A44D382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A6" authorId="0" shapeId="0" xr:uid="{F1570E3E-FAAF-4312-9149-15F9521F21F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B6" authorId="0" shapeId="0" xr:uid="{61D0E6CE-644E-4DB4-A7D9-B7E4B606883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Concepción.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Concepción, S.A.
</t>
        </r>
      </text>
    </comment>
    <comment ref="CC6" authorId="0" shapeId="0" xr:uid="{CF92B37C-DB56-48C8-9DCB-0397F4DAF5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de energía para el desarrollo, S.A.
</t>
        </r>
      </text>
    </comment>
    <comment ref="CD6" authorId="0" shapeId="0" xr:uid="{AEF22DBA-A1E4-4574-833C-6A8417DBA04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Magadalena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E6" authorId="0" shapeId="0" xr:uid="{67CEBBD6-78AF-4DDA-8202-5FD845D6434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F6" authorId="0" shapeId="0" xr:uid="{4398DF0C-46CA-4FC2-A962-04CFD3DD963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G6" authorId="0" shapeId="0" xr:uid="{CD330C6D-EBA7-486A-A4EE-D8ADB19CB0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H6" authorId="0" shapeId="0" xr:uid="{EE8B0ACA-EE1F-4F92-BECD-707034F234E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6.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I6" authorId="0" shapeId="0" xr:uid="{CAD98079-9CCB-4247-BC62-FA82ABF9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7.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J6" authorId="0" shapeId="0" xr:uid="{AEAFD39E-3346-48B0-B5B0-4C2FF12A5BC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K6" authorId="0" shapeId="0" xr:uid="{0C4FEB8D-9886-4D5D-BFAC-F4B98D5467D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L6" authorId="0" shapeId="0" xr:uid="{04FFACB3-588A-4C55-AC47-132DAF8839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Madre Tierra.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Sociedad Anónima.
</t>
        </r>
      </text>
    </comment>
    <comment ref="CM6" authorId="0" shapeId="0" xr:uid="{AB19D8BA-9B88-473C-9A82-70D398B764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N6" authorId="0" shapeId="0" xr:uid="{7756A77C-8201-4208-9245-2111248D241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O6" authorId="0" shapeId="0" xr:uid="{B4BF7A1E-1281-424F-AEDB-F73F2D89E3B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P6" authorId="0" shapeId="0" xr:uid="{C0816584-8484-4AEB-A19A-14226C3F042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Q6" authorId="0" shapeId="0" xr:uid="{8155CFFF-2A28-4896-98F8-36F820E0DB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R6" authorId="0" shapeId="0" xr:uid="{D592B2FE-C271-4E1E-A258-BB0AC3D99C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Diego.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T6" authorId="0" shapeId="0" xr:uid="{04C27CAC-56B6-4EBE-9FF7-4F9271C0F3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U6" authorId="0" shapeId="0" xr:uid="{C047B864-5C9F-4108-B8DA-43262A074E2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V6" authorId="0" shapeId="0" xr:uid="{4C135F91-EF0D-49DD-9C42-1CD95FB8A4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W6" authorId="0" shapeId="0" xr:uid="{6C0F651A-475F-42BB-A1E8-71E8D46208F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X6" authorId="0" shapeId="0" xr:uid="{67B410AE-D5E6-4B6C-ACBB-AD15F627975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Y6" authorId="0" shapeId="0" xr:uid="{198623D2-B231-41A2-947C-F07E8584A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CZ6" authorId="0" shapeId="0" xr:uid="{FDCFBD97-1CF3-4AC9-B7AC-B8905984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A6" authorId="0" shapeId="0" xr:uid="{44B02588-C083-4BDC-B153-77390109B3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3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B6" authorId="0" shapeId="0" xr:uid="{64BC2C62-4D6C-4988-830F-78D8A02FAFD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 Pilar S. A.
</t>
        </r>
      </text>
    </comment>
    <comment ref="DC6" authorId="0" shapeId="0" xr:uid="{D24BB6D5-7563-422B-B04E-793356E938C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D6" authorId="0" shapeId="0" xr:uid="{2E900CFC-2FB3-4C4B-995B-58373C6770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E6" authorId="0" shapeId="0" xr:uid="{F8821DA4-331F-4FAB-9C8B-F2F56F82A6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Isidro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Servicios CM, S.A.
</t>
        </r>
      </text>
    </comment>
    <comment ref="DF6" authorId="0" shapeId="0" xr:uid="{FEA66864-3BB1-4B45-B8A6-64C9A35303C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San José.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Generadora Eléctrica San José LTDA.
</t>
        </r>
      </text>
    </comment>
    <comment ref="DG6" authorId="0" shapeId="0" xr:uid="{F7DEA6D8-3A2A-4763-B845-D319731DFE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 Libertad.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Compañía Electrica La Libertad, S.A.
</t>
        </r>
      </text>
    </comment>
    <comment ref="DH6" authorId="0" shapeId="0" xr:uid="{D213F1CA-BEBC-4356-8AC2-098D43451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Palmas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CIA. S.C.A.
</t>
        </r>
      </text>
    </comment>
    <comment ref="DI6" authorId="0" shapeId="0" xr:uid="{F94A6F3A-78A9-415D-96A1-89A63187B4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Costa Sur.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Esi, S. A.
</t>
        </r>
      </text>
    </comment>
    <comment ref="DJ6" authorId="0" shapeId="0" xr:uid="{FF1BB4C9-EFA1-4CDA-9020-C6110C65A81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Santa Lucía.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S. A.
</t>
        </r>
      </text>
    </comment>
    <comment ref="DK6" authorId="0" shapeId="0" xr:uid="{1B8A8055-40D8-49E0-AA54-C9ABEE3699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U1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L6" authorId="0" shapeId="0" xr:uid="{AE25DA0A-4573-49BB-A531-025686EE869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U2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M6" authorId="0" shapeId="0" xr:uid="{B87C65FC-582D-4C12-AD3B-2D12A75D073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Arizona Vapor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N6" authorId="0" shapeId="0" xr:uid="{88BB2241-9131-420D-A9C1-E6CC1FC9ECE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Altantico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Atlántico, S.A.
</t>
        </r>
      </text>
    </comment>
    <comment ref="DO6" authorId="0" shapeId="0" xr:uid="{B001BC91-45BA-47C6-9C1C-7EEAC6EDDEB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P6" authorId="0" shapeId="0" xr:uid="{9A97F1E6-4132-47C1-B3C3-3CCFFFA43A4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Q6" authorId="0" shapeId="0" xr:uid="{8F607B13-F03B-4B1C-9E46-371197D17FF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S.C.A.
</t>
        </r>
      </text>
    </comment>
    <comment ref="DR6" authorId="0" shapeId="0" xr:uid="{8A2E6566-68A9-4607-8F30-A5E27801751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CIA, S.C.A.
</t>
        </r>
      </text>
    </comment>
    <comment ref="DS6" authorId="0" shapeId="0" xr:uid="{65130CF1-C1F4-4254-BF9B-1B10E3C418B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Stewart &amp; Stevenson.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CIA, S.C.A.</t>
        </r>
      </text>
    </comment>
    <comment ref="DT6" authorId="0" shapeId="0" xr:uid="{F4D993A7-D8A9-4934-9E85-68B653AEB66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Luz y Fuerza eléctrica de Guatemala, LTDA.</t>
        </r>
      </text>
    </comment>
    <comment ref="DU6" authorId="0" shapeId="0" xr:uid="{8069EE2A-3C96-4B49-A83E-F566FF6FB27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Luz y Fuerza Eléctrica de Guatemala, LTDA.
</t>
        </r>
      </text>
    </comment>
    <comment ref="DV6" authorId="0" shapeId="0" xr:uid="{BD92E890-27E0-4A53-8798-BCFAAAA4C07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Actun Can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Cuestamoras Comercializadora Eléctrica, S.A.</t>
        </r>
      </text>
    </comment>
    <comment ref="DW6" authorId="0" shapeId="0" xr:uid="{3516E4F0-60DB-476C-A63D-31E2C34E2D0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Orazul Energy de Centro América, LTDA.
</t>
        </r>
      </text>
    </comment>
    <comment ref="DX6" authorId="0" shapeId="0" xr:uid="{1A6B6DD6-67DA-4E00-B459-A9BA6E9C71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Y6" authorId="0" shapeId="0" xr:uid="{C2859D96-7E8B-4E20-82C7-F534694C4B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DZ6" authorId="0" shapeId="0" xr:uid="{99DE0CAB-52FF-4C53-AF02-9CC0CD8CDBC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A6" authorId="0" shapeId="0" xr:uid="{1393F7B3-9B09-407C-B2E9-6F536F59B32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B6" authorId="0" shapeId="0" xr:uid="{C51321ED-23E6-47A2-9C87-946035CDE9A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C6" authorId="0" shapeId="0" xr:uid="{FAD0AF3E-5D13-4C5D-B7F7-7862C597353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2 (Amatex).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D6" authorId="0" shapeId="0" xr:uid="{5B65ABF6-E7FD-443C-82E7-89079005400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E6" authorId="0" shapeId="0" xr:uid="{2EC079AB-F365-485D-9761-ADA31978AC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F6" authorId="0" shapeId="0" xr:uid="{EB1C4BFF-E0D3-4471-90A3-3958A9ACF10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Puerto Quetzal Power.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LLC.
</t>
        </r>
      </text>
    </comment>
    <comment ref="EG6" authorId="0" shapeId="0" xr:uid="{8356732B-1FAA-4214-ADA3-7B49F43A02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Poliwatt.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
</t>
        </r>
      </text>
    </comment>
    <comment ref="EH6" authorId="0" shapeId="0" xr:uid="{344B8B6B-FD38-44F8-8368-9B443A0D709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Arizona.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EI6" authorId="0" shapeId="0" xr:uid="{A33A5E78-1114-407A-A476-6663A3DDA133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J6" authorId="0" shapeId="0" xr:uid="{63AD10BD-277E-4416-9F21-6C98D17789A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K6" authorId="0" shapeId="0" xr:uid="{1D705F0A-78B1-46B3-A566-07BF5708341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L6" authorId="0" shapeId="0" xr:uid="{5A8901EA-A65D-4B1D-ABAF-038968D3A19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M6" authorId="0" shapeId="0" xr:uid="{AAC5369C-1900-4B9E-A670-A9C3F990E07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N6" authorId="0" shapeId="0" xr:uid="{E95519DF-A6D7-4205-A4D9-176B6502EF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Planta Generadora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GENOSA.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Grupo Generador de Oriente, S.A.
</t>
        </r>
      </text>
    </comment>
    <comment ref="EO6" authorId="0" shapeId="0" xr:uid="{79691ECA-77F3-4FA9-8EC2-E788F3FD872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Atlántico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Recursos Geotérmicos, S.A.
</t>
        </r>
      </text>
    </comment>
    <comment ref="EP6" authorId="0" shapeId="0" xr:uid="{3285AC32-FFC2-4C48-BEDE-6886850C99A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.Biogás del Vertedero del Trebol.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Industrias de Biogás, S.A.
</t>
        </r>
      </text>
    </comment>
    <comment ref="EQ6" authorId="0" shapeId="0" xr:uid="{631B529A-A1F9-4A43-AE64-6FBF7D62949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Esus.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S.A.</t>
        </r>
      </text>
    </comment>
    <comment ref="ER6" authorId="0" shapeId="0" xr:uid="{BB4CF752-07F6-4491-A391-C0B4403A5BC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de Generación Ocultún.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City Petén, S. de R.L.
</t>
        </r>
      </text>
    </comment>
    <comment ref="ES6" authorId="0" shapeId="0" xr:uid="{39085D25-9FF0-4C26-AA2F-09F99CCDE2C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Generadora con Gas Natural OOXOL.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OOXOL, S.A.
</t>
        </r>
      </text>
    </comment>
    <comment ref="ET6" authorId="0" shapeId="0" xr:uid="{3B0A1715-61AA-4874-98E9-E7F2EC378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Innova Gas Natural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
</t>
        </r>
      </text>
    </comment>
    <comment ref="EU6" authorId="0" shapeId="0" xr:uid="{5D9523D1-24B7-4E3E-A1DB-E5CBB8601C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V6" authorId="0" shapeId="0" xr:uid="{334C8CEB-B6B7-485E-9D1D-80E31A8657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Coenesa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W6" authorId="0" shapeId="0" xr:uid="{AA3D273E-9044-4068-AA51-8BADFCA7FD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X6" authorId="0" shapeId="0" xr:uid="{28ACEEF7-C06C-4E93-B313-B52AC78C8F8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Y6" authorId="0" shapeId="0" xr:uid="{FD25F5C5-8292-4ACB-8F4E-9881B04023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Sidegua.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Siderúrgica de Guatemala, S.A.
</t>
        </r>
      </text>
    </comment>
    <comment ref="EZ6" authorId="0" shapeId="0" xr:uid="{B28CA21D-574C-49DC-961F-E6674C190A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Eléctrica del Norte,
Limitada.
</t>
        </r>
      </text>
    </comment>
  </commentList>
</comments>
</file>

<file path=xl/sharedStrings.xml><?xml version="1.0" encoding="utf-8"?>
<sst xmlns="http://schemas.openxmlformats.org/spreadsheetml/2006/main" count="1475" uniqueCount="619">
  <si>
    <t>ADMINISTRADOR DEL MERCADO MAYORISTA</t>
  </si>
  <si>
    <t>LECTURAS DE CARGA HORARIA</t>
  </si>
  <si>
    <t>PRECIO OPORTUNIDAD DE LA ENERGÍA (POE)</t>
  </si>
  <si>
    <t>PROYECCION PRECIO OPORTUNIDAD DE LA ENERGÍA (PPOE)</t>
  </si>
  <si>
    <t>GENERACION FORZADA</t>
  </si>
  <si>
    <t xml:space="preserve">SERVICIOS COMPLEMENTARIOS </t>
  </si>
  <si>
    <t>Carga Horaria digitada en el CDC</t>
  </si>
  <si>
    <t>PRECIO DE OPORTUNIDAD DE LA ENERGIA (POE)</t>
  </si>
  <si>
    <t>De</t>
  </si>
  <si>
    <t>A</t>
  </si>
  <si>
    <t>GENERADOR</t>
  </si>
  <si>
    <t>(US $/MWH)</t>
  </si>
  <si>
    <t xml:space="preserve"> 24:00</t>
  </si>
  <si>
    <t>TOTAL</t>
  </si>
  <si>
    <t>PROMEDIO</t>
  </si>
  <si>
    <t>MAXIMO</t>
  </si>
  <si>
    <t>MINIMO</t>
  </si>
  <si>
    <t>POE PONDERADO</t>
  </si>
  <si>
    <t xml:space="preserve">NOTA: ESTOS DATOS ESTAN SUJETOS A REVISION, POR LO QUE NO DEBEN CONSIDERARSE COMO DEFINITIVOS.                                                                                                     </t>
  </si>
  <si>
    <t>PROYECCION PRECIO DE OPORTUNIDAD DE LA ENERGIA (POE)</t>
  </si>
  <si>
    <t>DIFERENCIA</t>
  </si>
  <si>
    <t>REGRESAR INDICE:</t>
  </si>
  <si>
    <t>ERROR</t>
  </si>
  <si>
    <t>24:00</t>
  </si>
  <si>
    <t>Hora</t>
  </si>
  <si>
    <t>Total MW</t>
  </si>
  <si>
    <t>TOTAL (US$)</t>
  </si>
  <si>
    <t>PRECIO           (US$ /Kw-mes)</t>
  </si>
  <si>
    <t>Reporte de Indisponibilidades</t>
  </si>
  <si>
    <t>Unidad</t>
  </si>
  <si>
    <t>Motivo</t>
  </si>
  <si>
    <t>Sale</t>
  </si>
  <si>
    <t>Entra</t>
  </si>
  <si>
    <t>Potencia (MW)</t>
  </si>
  <si>
    <t>Observaciones</t>
  </si>
  <si>
    <t>Duración del evento</t>
  </si>
  <si>
    <t>Fecha</t>
  </si>
  <si>
    <t>Mes</t>
  </si>
  <si>
    <t>Días</t>
  </si>
  <si>
    <t>Horas</t>
  </si>
  <si>
    <t>Minutos</t>
  </si>
  <si>
    <t>total diario (horas)</t>
  </si>
  <si>
    <t>REGRESAR ÍNDICE:</t>
  </si>
  <si>
    <t>CONTINUA…</t>
  </si>
  <si>
    <t>RRO  - Reserva Rodante Operativa</t>
  </si>
  <si>
    <t>GENERADOR MARGINAL</t>
  </si>
  <si>
    <t>POE (US$/MWh)</t>
  </si>
  <si>
    <t>INFORME DE POSDESPACHO DIARIO</t>
  </si>
  <si>
    <t>CURVAS COMPARATIVAS DEL POE</t>
  </si>
  <si>
    <t>Sobrecostos de Generación Forzada (US$ / MWh) *</t>
  </si>
  <si>
    <r>
      <t xml:space="preserve">Motivo de GF </t>
    </r>
    <r>
      <rPr>
        <b/>
        <sz val="11"/>
        <rFont val="Arial"/>
        <family val="2"/>
      </rPr>
      <t>►</t>
    </r>
  </si>
  <si>
    <r>
      <t xml:space="preserve">Generador </t>
    </r>
    <r>
      <rPr>
        <b/>
        <sz val="11"/>
        <rFont val="Arial"/>
        <family val="2"/>
      </rPr>
      <t>►</t>
    </r>
  </si>
  <si>
    <t>MW de RRO asignados</t>
  </si>
  <si>
    <t>MW DE RRA ASIGNADOS</t>
  </si>
  <si>
    <t>INFORMACIÓN DE LA OPERACIÓN DEL SISTEMA NACIONAL INTERCONECTADO</t>
  </si>
  <si>
    <t>CURVAS DE GENERACIÓN Y DEMANDA DEL SISTEMA NACIONAL INTERCONECTADO</t>
  </si>
  <si>
    <t>PRESENTACIÓN</t>
  </si>
  <si>
    <t xml:space="preserve">                                              PRESENTACIÓN DEL INFORME DE POSDESPACHO</t>
  </si>
  <si>
    <t>Comentarios</t>
  </si>
  <si>
    <t>CURVA DE INTERCAMBIO DE ENERGÍA CON EL MERCADO ELÉCTRICO REGIONAL (MER)</t>
  </si>
  <si>
    <t>INFORMACIÓN DE LA OPERACIÓN DEL S.N.I. HOJA 1</t>
  </si>
  <si>
    <t>INFORMACIÓN DE LA OPERACIÓN DEL S.N.I. HOJA 2</t>
  </si>
  <si>
    <t>CURVAS DE GENERACIÓN Y DEMANDA DEL S.N.I.</t>
  </si>
  <si>
    <t>CURVA POE VS PPOE</t>
  </si>
  <si>
    <t>INDISPONIBILIDADES DE UNIDADES GENERADORAS</t>
  </si>
  <si>
    <t>DIFERENCIAS (VALORES REALES - VALORES PROGRAMADOS)*</t>
  </si>
  <si>
    <t>*</t>
  </si>
  <si>
    <t>Demanda (MW)</t>
  </si>
  <si>
    <t>Centrales filo de agua y geotérmicas (MW)</t>
  </si>
  <si>
    <t>Centrales Térmicas (MW)</t>
  </si>
  <si>
    <t>Los valores positivos significan MW reales por arriba de los MW proyectados en el Programa de Despacho Diario.</t>
  </si>
  <si>
    <t>Los valores negativos significan MW reales por abajo de los MW proyectados en el Programa de Despacho Diario.</t>
  </si>
  <si>
    <t>CENTRAL GENERADORA</t>
  </si>
  <si>
    <t>Remuneración de los Servicios Complementarios</t>
  </si>
  <si>
    <t>Horario</t>
  </si>
  <si>
    <t>PRESENTACIÓN DEL INFORME DE POSDESPACHO</t>
  </si>
  <si>
    <t>El informe de posdepacho diario tiene su base legal en el artículo 65 del Reglamento del Administrador del Mercado Mayorista y en el inciso 1.7.1 de la Norma de Coordinación Comercial No. 1 "Coordinación del Despacho de Carga".</t>
  </si>
  <si>
    <t>Este informe es presentado en hojas electrónicas de MS Excel® con la finalidad de que los Participantes del Mercado Mayorista tengan un manejo más versátil de los datos numéricos incluidos.</t>
  </si>
  <si>
    <t>Finalmente debe considerarse que los datos presentados en el Informe de Posdespacho están sujetos a revisión y no deben considerarse como definitivos.</t>
  </si>
  <si>
    <t>CURVA DE INTERCONEXIÓN (MÉXICO)</t>
  </si>
  <si>
    <t>CURVA DE INTERCONEXIÓN (MER)</t>
  </si>
  <si>
    <t>CURVA DE INTERCAMBIO DE ENERGÍA CON EL SISTEMA ELÉCTRICO MEXICANO</t>
  </si>
  <si>
    <t>*  Esta información corresponde a los valores horarios de energía registrados por el medidor de la S/E Los Brillantes.</t>
  </si>
  <si>
    <t>REAM - Requerimiento del Administrador del Mercado Mayorista</t>
  </si>
  <si>
    <t>Centrales hidráulicas con embalse de regulación (MW)</t>
  </si>
  <si>
    <t>RESERVA RÁPIDA (RRA)</t>
  </si>
  <si>
    <t>Código de Colores:</t>
  </si>
  <si>
    <t>Unidad Marginal</t>
  </si>
  <si>
    <t>Generación Forzada (ver hoja GF)</t>
  </si>
  <si>
    <t>Generación Forzada por estipulaciones contractuales</t>
  </si>
  <si>
    <t>Columnas de interconexiones ESA-I, MEX-I:   Valores negativos ( - ) Importación de energía</t>
  </si>
  <si>
    <t>NCC-5  (5.3.1)</t>
  </si>
  <si>
    <t>NCC-5  (5.3.2)</t>
  </si>
  <si>
    <t>NCC-5  (5.3.4)</t>
  </si>
  <si>
    <t>NCC-5  (5.3.5)</t>
  </si>
  <si>
    <t>NCC-5  (5.3.7)</t>
  </si>
  <si>
    <t>NCC-5  (5.3.10)</t>
  </si>
  <si>
    <t>NCC-5  (5.3.9)</t>
  </si>
  <si>
    <t>RSPT  - Restricciones Sistema Principal</t>
  </si>
  <si>
    <t>RSST  - Restricciones Sistema Secundario</t>
  </si>
  <si>
    <t>AYP    -  Arranque y Parada</t>
  </si>
  <si>
    <t>CC      -  Compromisos Contractuales</t>
  </si>
  <si>
    <t>RRA  - Reserva Rápida</t>
  </si>
  <si>
    <t>IOI     - Inflexibilidad de la Oferta de Importación</t>
  </si>
  <si>
    <t>SDE  - Exportación de Energía.</t>
  </si>
  <si>
    <r>
      <t xml:space="preserve">La hoja electrónica llamada </t>
    </r>
    <r>
      <rPr>
        <b/>
        <sz val="11"/>
        <rFont val="Arial"/>
        <family val="2"/>
      </rPr>
      <t>"</t>
    </r>
    <r>
      <rPr>
        <b/>
        <sz val="11"/>
        <color indexed="12"/>
        <rFont val="Arial"/>
        <family val="2"/>
      </rPr>
      <t>POE</t>
    </r>
    <r>
      <rPr>
        <b/>
        <sz val="11"/>
        <rFont val="Arial"/>
        <family val="2"/>
      </rPr>
      <t>"</t>
    </r>
    <r>
      <rPr>
        <sz val="11"/>
        <rFont val="Arial"/>
        <family val="2"/>
      </rPr>
      <t xml:space="preserve"> contiene 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(US$/MWH) en el nodo de referencia (Barra de 230 KV de la S/E Guatemala-Sur) y la central generadora marginal para cada hora del día.</t>
    </r>
  </si>
  <si>
    <r>
      <t>El Informe de Posdespacho contiene el Precio de Oportunidad de la Energía (</t>
    </r>
    <r>
      <rPr>
        <b/>
        <sz val="11"/>
        <color indexed="12"/>
        <rFont val="Arial"/>
        <family val="2"/>
      </rPr>
      <t>POE</t>
    </r>
    <r>
      <rPr>
        <sz val="11"/>
        <rFont val="Arial"/>
        <family val="2"/>
      </rPr>
      <t>), el cálculo de los Servicios Complementarios (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>), identificación de la Generación Forzada (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>) y cálculo de su sobrecosto, información de las fallas de corta o larga duración de los equipos de transmisión y generación, y un resumen de datos e incidencias de importancia en la operación del Sistema Nacional Interconectado (</t>
    </r>
    <r>
      <rPr>
        <b/>
        <sz val="11"/>
        <color indexed="12"/>
        <rFont val="Arial"/>
        <family val="2"/>
      </rPr>
      <t>S.N.I.</t>
    </r>
    <r>
      <rPr>
        <sz val="11"/>
        <rFont val="Arial"/>
        <family val="2"/>
      </rPr>
      <t>)</t>
    </r>
  </si>
  <si>
    <r>
      <t>La hoja  electrónica "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 xml:space="preserve">" contiene la identificación de las centrales generadoras que operaron como Generación Forzada en el despacho, calculando los respectivos sobrecostos (US$/MWH) para cada central y para cada hora. Cabe mencionar que el sobrecosto total de la energía forzada generada, así como la asignación del cargo correspondiente se presentan en el Informe de Transacciones Económicas ( ITE ), cuando ya se cuenta con la información del </t>
    </r>
    <r>
      <rPr>
        <sz val="11"/>
        <color indexed="10"/>
        <rFont val="Arial"/>
        <family val="2"/>
      </rPr>
      <t>S</t>
    </r>
    <r>
      <rPr>
        <sz val="11"/>
        <rFont val="Arial"/>
        <family val="2"/>
      </rPr>
      <t xml:space="preserve">istema de </t>
    </r>
    <r>
      <rPr>
        <sz val="11"/>
        <color indexed="10"/>
        <rFont val="Arial"/>
        <family val="2"/>
      </rPr>
      <t>M</t>
    </r>
    <r>
      <rPr>
        <sz val="11"/>
        <rFont val="Arial"/>
        <family val="2"/>
      </rPr>
      <t xml:space="preserve">edición </t>
    </r>
    <r>
      <rPr>
        <sz val="11"/>
        <color indexed="10"/>
        <rFont val="Arial"/>
        <family val="2"/>
      </rPr>
      <t>C</t>
    </r>
    <r>
      <rPr>
        <sz val="11"/>
        <rFont val="Arial"/>
        <family val="2"/>
      </rPr>
      <t>omercial (SMEC).</t>
    </r>
  </si>
  <si>
    <r>
      <t>La hoja electrónica "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 xml:space="preserve">" contiene la asignación y el costo de los Servicios Complementarios que son remunerados. Actualmente estos servicios son: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eserva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odante </t>
    </r>
    <r>
      <rPr>
        <sz val="11"/>
        <color indexed="10"/>
        <rFont val="Arial"/>
        <family val="2"/>
      </rPr>
      <t>O</t>
    </r>
    <r>
      <rPr>
        <sz val="11"/>
        <rFont val="Arial"/>
        <family val="2"/>
      </rPr>
      <t>perativa (</t>
    </r>
    <r>
      <rPr>
        <sz val="11"/>
        <color indexed="10"/>
        <rFont val="Arial"/>
        <family val="2"/>
      </rPr>
      <t>RRO</t>
    </r>
    <r>
      <rPr>
        <sz val="11"/>
        <rFont val="Arial"/>
        <family val="2"/>
      </rPr>
      <t xml:space="preserve">) y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>eserva</t>
    </r>
    <r>
      <rPr>
        <sz val="11"/>
        <color indexed="10"/>
        <rFont val="Arial"/>
        <family val="2"/>
      </rPr>
      <t xml:space="preserve"> R</t>
    </r>
    <r>
      <rPr>
        <sz val="11"/>
        <rFont val="Arial"/>
        <family val="2"/>
      </rPr>
      <t>ápida (</t>
    </r>
    <r>
      <rPr>
        <sz val="11"/>
        <color indexed="10"/>
        <rFont val="Arial"/>
        <family val="2"/>
      </rPr>
      <t>RRa</t>
    </r>
    <r>
      <rPr>
        <sz val="11"/>
        <rFont val="Arial"/>
        <family val="2"/>
      </rPr>
      <t>). La asignación de este cargo es presentado en el ITE cuando ya se cuenta con la información del SMEC.</t>
    </r>
  </si>
  <si>
    <r>
      <t>En la hoja electrónica "</t>
    </r>
    <r>
      <rPr>
        <b/>
        <sz val="11"/>
        <color indexed="12"/>
        <rFont val="Arial"/>
        <family val="2"/>
      </rPr>
      <t>PPOE</t>
    </r>
    <r>
      <rPr>
        <sz val="11"/>
        <rFont val="Arial"/>
        <family val="2"/>
      </rPr>
      <t xml:space="preserve">" se incluye una comparación de la Proyección del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incluida en el Programa de Despacho Diario (PDD) y el POE calculado luego de la operación del S.N.I. Se incluye de forma resumida la comparación de las condiciones reales de generación y las que fueron proyectadas en el PDD para las horas en las cuales la proyección es diferente al valor real. La gráfica presentada en la hoja "Curvaspot" muestra éstas diferencias.</t>
    </r>
  </si>
  <si>
    <r>
      <t xml:space="preserve">En las hojas "RSO1", "RSO2", "Carga Horaria" e "Indisponibilidades" se incorpora la información relativa a las fallas de corta o larga duración de los equipos de transmisión y unidades  generadoras, resumen de la operación del parque generador, cotas de embalses, incidencias en la operación del S.N.I. y en el </t>
    </r>
    <r>
      <rPr>
        <b/>
        <sz val="11"/>
        <color indexed="12"/>
        <rFont val="Arial"/>
        <family val="2"/>
      </rPr>
      <t>M</t>
    </r>
    <r>
      <rPr>
        <sz val="11"/>
        <rFont val="Arial"/>
        <family val="2"/>
      </rPr>
      <t xml:space="preserve">ercado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 xml:space="preserve">léctrico </t>
    </r>
    <r>
      <rPr>
        <b/>
        <sz val="11"/>
        <color indexed="12"/>
        <rFont val="Arial"/>
        <family val="2"/>
      </rPr>
      <t>R</t>
    </r>
    <r>
      <rPr>
        <sz val="11"/>
        <rFont val="Arial"/>
        <family val="2"/>
      </rPr>
      <t>egional (</t>
    </r>
    <r>
      <rPr>
        <b/>
        <sz val="11"/>
        <color indexed="12"/>
        <rFont val="Arial"/>
        <family val="2"/>
      </rPr>
      <t>MER</t>
    </r>
    <r>
      <rPr>
        <sz val="11"/>
        <rFont val="Arial"/>
        <family val="2"/>
      </rPr>
      <t>). Adicionalmente las hojas "Curva S.N.I." y "Curva MER", incluyen información sobre las curvas de demanda y generación nacional y las ofertas de inyecciónes o retiros del MER respectivamente.</t>
    </r>
  </si>
  <si>
    <t xml:space="preserve"> </t>
  </si>
  <si>
    <t>*  Esta información corresponde a los valores netos horarios de energía registrados por los medidores de las S/E Moyuta, Panaluya y La Vega II.</t>
  </si>
  <si>
    <t>Demanda Máxima S.N.I. (MW)</t>
  </si>
  <si>
    <t>Página 1 de 3</t>
  </si>
  <si>
    <t>Página 2 de 3</t>
  </si>
  <si>
    <t>CHX-H</t>
  </si>
  <si>
    <t>AGU-H</t>
  </si>
  <si>
    <t>JUR-H</t>
  </si>
  <si>
    <t>LES-H</t>
  </si>
  <si>
    <t>SMA-H</t>
  </si>
  <si>
    <t>POR-H</t>
  </si>
  <si>
    <t>SAL-H</t>
  </si>
  <si>
    <t>RBO-H</t>
  </si>
  <si>
    <t>SEC-H</t>
  </si>
  <si>
    <t>PAS-H</t>
  </si>
  <si>
    <t>MTZ-H</t>
  </si>
  <si>
    <t>SIS-H</t>
  </si>
  <si>
    <t>PVE-H</t>
  </si>
  <si>
    <t>LVA-H</t>
  </si>
  <si>
    <t>CAN-H</t>
  </si>
  <si>
    <t>MTO-H</t>
  </si>
  <si>
    <t>REN-H</t>
  </si>
  <si>
    <t>RE2-H</t>
  </si>
  <si>
    <t>RE3-H</t>
  </si>
  <si>
    <t>PAL-H</t>
  </si>
  <si>
    <t>CND-H</t>
  </si>
  <si>
    <t>REC-H</t>
  </si>
  <si>
    <t>RC2-H</t>
  </si>
  <si>
    <t>XAC-H</t>
  </si>
  <si>
    <t>XAD-H</t>
  </si>
  <si>
    <t>PNA-H</t>
  </si>
  <si>
    <t>STS-H</t>
  </si>
  <si>
    <t>CHO-H</t>
  </si>
  <si>
    <t>PVI-H</t>
  </si>
  <si>
    <t>HLP-H</t>
  </si>
  <si>
    <t>HHS-H</t>
  </si>
  <si>
    <t>VDA-H</t>
  </si>
  <si>
    <t>HEL-H</t>
  </si>
  <si>
    <t>HAG-H</t>
  </si>
  <si>
    <t>HIX-H</t>
  </si>
  <si>
    <t>MNL-H1</t>
  </si>
  <si>
    <t>MNL-H2</t>
  </si>
  <si>
    <t>MNL-H3</t>
  </si>
  <si>
    <t>HGY-H</t>
  </si>
  <si>
    <t>CBN-H</t>
  </si>
  <si>
    <t>HCR-H</t>
  </si>
  <si>
    <t>OXE-H</t>
  </si>
  <si>
    <t>HCV-H</t>
  </si>
  <si>
    <t>LIB-H</t>
  </si>
  <si>
    <t>LFU-H</t>
  </si>
  <si>
    <t>CAF-H</t>
  </si>
  <si>
    <t>RAA-H</t>
  </si>
  <si>
    <t>FLO-H</t>
  </si>
  <si>
    <t>HST-H</t>
  </si>
  <si>
    <t>HSM-H</t>
  </si>
  <si>
    <t>HPT-H</t>
  </si>
  <si>
    <t>HXO-H</t>
  </si>
  <si>
    <t>ZUN-G</t>
  </si>
  <si>
    <t>ORT-G</t>
  </si>
  <si>
    <t>CAL-G</t>
  </si>
  <si>
    <t>ESC-V</t>
  </si>
  <si>
    <t>HRU-F1</t>
  </si>
  <si>
    <t>HRU-F2</t>
  </si>
  <si>
    <t>SNT-E</t>
  </si>
  <si>
    <t>VBL-E</t>
  </si>
  <si>
    <t>PNT-B1</t>
  </si>
  <si>
    <t>PNT-B2</t>
  </si>
  <si>
    <t>PNT-B3</t>
  </si>
  <si>
    <t>CON-B</t>
  </si>
  <si>
    <t>MAG-B1</t>
  </si>
  <si>
    <t>MAG-B2</t>
  </si>
  <si>
    <t>MAG-B3</t>
  </si>
  <si>
    <t>MAG-B4</t>
  </si>
  <si>
    <t>MAG-B5</t>
  </si>
  <si>
    <t>MAG-B6</t>
  </si>
  <si>
    <t>MAG-B7</t>
  </si>
  <si>
    <t>LUN-B</t>
  </si>
  <si>
    <t>LUN-B2</t>
  </si>
  <si>
    <t>MTI-B</t>
  </si>
  <si>
    <t>SAA-B</t>
  </si>
  <si>
    <t>SAA-B2</t>
  </si>
  <si>
    <t>TUL-B1</t>
  </si>
  <si>
    <t>TUL-B2</t>
  </si>
  <si>
    <t>TUL-B4</t>
  </si>
  <si>
    <t>SDI-B1</t>
  </si>
  <si>
    <t>DAR-B</t>
  </si>
  <si>
    <t>TND-B1</t>
  </si>
  <si>
    <t>TND-B2</t>
  </si>
  <si>
    <t>TND-B3</t>
  </si>
  <si>
    <t>TND-B4</t>
  </si>
  <si>
    <t>TND-B5</t>
  </si>
  <si>
    <t>EPI-B1</t>
  </si>
  <si>
    <t>EPI-B2</t>
  </si>
  <si>
    <t>EPI-B3</t>
  </si>
  <si>
    <t>EPI-B</t>
  </si>
  <si>
    <t>PGO-B</t>
  </si>
  <si>
    <t>PGO-B2</t>
  </si>
  <si>
    <t>ISI-B</t>
  </si>
  <si>
    <t>SJO-C</t>
  </si>
  <si>
    <t>LLI-C</t>
  </si>
  <si>
    <t>LPA-C</t>
  </si>
  <si>
    <t>GCS-C</t>
  </si>
  <si>
    <t>GSL-C</t>
  </si>
  <si>
    <t>JEN-C1</t>
  </si>
  <si>
    <t>JEN-C2</t>
  </si>
  <si>
    <t>ARI-V</t>
  </si>
  <si>
    <t>GAT-V1</t>
  </si>
  <si>
    <t>ESC-G3</t>
  </si>
  <si>
    <t>ESC-G5</t>
  </si>
  <si>
    <t>LAG-G1</t>
  </si>
  <si>
    <t>LAG-G2</t>
  </si>
  <si>
    <t>S&amp;S-D</t>
  </si>
  <si>
    <t>TAM-G1</t>
  </si>
  <si>
    <t>TAM-G2</t>
  </si>
  <si>
    <t>LPA-B1</t>
  </si>
  <si>
    <t>LPA-B2</t>
  </si>
  <si>
    <t>LPA-B3</t>
  </si>
  <si>
    <t>LPA-B4</t>
  </si>
  <si>
    <t>LPA-B5</t>
  </si>
  <si>
    <t>TDL-B1</t>
  </si>
  <si>
    <t>TDL-B2</t>
  </si>
  <si>
    <t>TDL-B3</t>
  </si>
  <si>
    <t>ELG-B</t>
  </si>
  <si>
    <t>PQP-B</t>
  </si>
  <si>
    <t>PWT-B</t>
  </si>
  <si>
    <t>ARI-O</t>
  </si>
  <si>
    <t>TER-B</t>
  </si>
  <si>
    <t>TER-B2</t>
  </si>
  <si>
    <t>CGP-B</t>
  </si>
  <si>
    <t>ECR-B</t>
  </si>
  <si>
    <t>INT-B</t>
  </si>
  <si>
    <t>GGO-B</t>
  </si>
  <si>
    <t>GAT-B</t>
  </si>
  <si>
    <t>BVT-B</t>
  </si>
  <si>
    <t>CGP-D</t>
  </si>
  <si>
    <t>COE-D</t>
  </si>
  <si>
    <t>ECR-D</t>
  </si>
  <si>
    <t>INT-D</t>
  </si>
  <si>
    <t>SID-B</t>
  </si>
  <si>
    <t>GEN-B</t>
  </si>
  <si>
    <t>SER-I</t>
  </si>
  <si>
    <t>MEX-I</t>
  </si>
  <si>
    <t>Total Generado</t>
  </si>
  <si>
    <t>Demanda SNI</t>
  </si>
  <si>
    <t>HMA-H</t>
  </si>
  <si>
    <t>LCU-E</t>
  </si>
  <si>
    <t>OX2-H</t>
  </si>
  <si>
    <t>HKC-H</t>
  </si>
  <si>
    <t>RE4-H</t>
  </si>
  <si>
    <t>HUV-H</t>
  </si>
  <si>
    <t>MNL-H4</t>
  </si>
  <si>
    <t>ACG-G</t>
  </si>
  <si>
    <t>G (Qprom*Turb)</t>
  </si>
  <si>
    <t>Caudal Min</t>
  </si>
  <si>
    <t>Caudal Max</t>
  </si>
  <si>
    <t>Q promedio</t>
  </si>
  <si>
    <t>23:01__24:00</t>
  </si>
  <si>
    <t>22:01__23:00</t>
  </si>
  <si>
    <t>21:01__22:00</t>
  </si>
  <si>
    <t>20:01__21:00</t>
  </si>
  <si>
    <t>19:01__20:00</t>
  </si>
  <si>
    <t>18:01__19:00</t>
  </si>
  <si>
    <t>17:01__18:00</t>
  </si>
  <si>
    <t>16:01__17:00</t>
  </si>
  <si>
    <t>15:01__16:00</t>
  </si>
  <si>
    <t>14:01__15:00</t>
  </si>
  <si>
    <t>13:01__14:00</t>
  </si>
  <si>
    <t>12:01__13:00</t>
  </si>
  <si>
    <t>11:01__12:00</t>
  </si>
  <si>
    <t>10:01__11:00</t>
  </si>
  <si>
    <t>09:01__10:00</t>
  </si>
  <si>
    <t>08:01__09:00</t>
  </si>
  <si>
    <t>07:01__08:00</t>
  </si>
  <si>
    <t>06:01__07:00</t>
  </si>
  <si>
    <t>05:01__06:00</t>
  </si>
  <si>
    <t>04:01__05:00</t>
  </si>
  <si>
    <t>03:01__04:00</t>
  </si>
  <si>
    <t>02:01__03:00</t>
  </si>
  <si>
    <t>01:01__02:00</t>
  </si>
  <si>
    <t>00:01__01:00</t>
  </si>
  <si>
    <t>CAUDALES ENTRANTES</t>
  </si>
  <si>
    <t>Página 3 de 3</t>
  </si>
  <si>
    <t>INFORMACIÓN DE LA OPERACIÓN DEL S.N.I. HOJA 3</t>
  </si>
  <si>
    <t>Q</t>
  </si>
  <si>
    <t>Hora.</t>
  </si>
  <si>
    <t>Fecha.</t>
  </si>
  <si>
    <t>MW de RRO asignados para bajar</t>
  </si>
  <si>
    <t>MW de RRO asignados para subir</t>
  </si>
  <si>
    <t xml:space="preserve">PRECIOS RESERVA RODANTE OPERATIVA PARA BAJAR (US$/MW) </t>
  </si>
  <si>
    <t>PRECIOS RESERVA RODANTE OPERATIVA PARA SUBIR (US$/MW)</t>
  </si>
  <si>
    <t>CARGOS  A UNIDADES GENERADORAS QUE INCUMPLIERON LA PRESTACIÓN DEL SC DE RRO PARA SUBIR  (US$)</t>
  </si>
  <si>
    <t>CARGOS  A UNIDADES GENERADORAS QUE INCUMPLIERON LA PRESTACIÓN DEL SC DE RRO PARA BAJAR (US$)</t>
  </si>
  <si>
    <t>Centrales solares y eólicas (MW)</t>
  </si>
  <si>
    <t>ESU-G</t>
  </si>
  <si>
    <t>REPRO - Requerimiento Propio</t>
  </si>
  <si>
    <t>NCC-5  (5.3.6)</t>
  </si>
  <si>
    <t>OCT-G</t>
  </si>
  <si>
    <t>YOL-F</t>
  </si>
  <si>
    <t>OXL-G</t>
  </si>
  <si>
    <t>CRZ-F</t>
  </si>
  <si>
    <t>TSO-F</t>
  </si>
  <si>
    <t>SDT-F</t>
  </si>
  <si>
    <t>INV-G</t>
  </si>
  <si>
    <t>SLR-F</t>
  </si>
  <si>
    <t>MSO-F</t>
  </si>
  <si>
    <t>SES-F</t>
  </si>
  <si>
    <t>CMP-E</t>
  </si>
  <si>
    <t>Guatemala, jueves 22 de octubre del 2026</t>
  </si>
  <si>
    <t>jueves 22 de octubre del 2026</t>
  </si>
  <si>
    <t>JAGUAR ENERGY U1</t>
  </si>
  <si>
    <t>SAN JOSE</t>
  </si>
  <si>
    <t>SAN ISIDRO</t>
  </si>
  <si>
    <t>ARIZONA</t>
  </si>
  <si>
    <t>GENOR</t>
  </si>
  <si>
    <t>LAS PALMAS II</t>
  </si>
  <si>
    <t>TRINIDAD BLOQUE 4</t>
  </si>
  <si>
    <t>TEXTILES DEL LAGO 2</t>
  </si>
  <si>
    <t>GENOSA</t>
  </si>
  <si>
    <t>TÉRMICA, 1</t>
  </si>
  <si>
    <t>LAS PALMAS 5</t>
  </si>
  <si>
    <t>AYP</t>
  </si>
  <si>
    <t>REPRO</t>
  </si>
  <si>
    <t>RRO</t>
  </si>
  <si>
    <t>CHX-H2</t>
  </si>
  <si>
    <t>CHX-H3</t>
  </si>
  <si>
    <t>CHX-H4</t>
  </si>
  <si>
    <t>JUR-H3</t>
  </si>
  <si>
    <t>ARI-O1</t>
  </si>
  <si>
    <t>ARI-O2</t>
  </si>
  <si>
    <t>ARI-O3</t>
  </si>
  <si>
    <t>ARI-O4</t>
  </si>
  <si>
    <t>ARI-O5</t>
  </si>
  <si>
    <t>ARI-O6</t>
  </si>
  <si>
    <t>ARI-O7</t>
  </si>
  <si>
    <t>ARI-O9</t>
  </si>
  <si>
    <t>LVA-H1</t>
  </si>
  <si>
    <t>LVA-H2</t>
  </si>
  <si>
    <t>CAN-H1</t>
  </si>
  <si>
    <t>CAN-H2</t>
  </si>
  <si>
    <t>CHO-H1</t>
  </si>
  <si>
    <t>MNL-H10</t>
  </si>
  <si>
    <t>MNL-H11</t>
  </si>
  <si>
    <t>MNL-H13</t>
  </si>
  <si>
    <t>MNL-H14</t>
  </si>
  <si>
    <t>MNL-H15</t>
  </si>
  <si>
    <t>MNL-H6</t>
  </si>
  <si>
    <t>MNL-H7</t>
  </si>
  <si>
    <t>MNL-H8</t>
  </si>
  <si>
    <t>MNL-H9</t>
  </si>
  <si>
    <t>OX2-H1</t>
  </si>
  <si>
    <t>OX2-H3</t>
  </si>
  <si>
    <t>PVI-H1</t>
  </si>
  <si>
    <t>PVI-H2</t>
  </si>
  <si>
    <t>RE4-H2</t>
  </si>
  <si>
    <t>STS-H2</t>
  </si>
  <si>
    <t>XAC-H1</t>
  </si>
  <si>
    <t>XAC-H2</t>
  </si>
  <si>
    <t>XAD-H1</t>
  </si>
  <si>
    <t>XAD-H2</t>
  </si>
  <si>
    <t>TAMPA 2</t>
  </si>
  <si>
    <t>TAMPA 1</t>
  </si>
  <si>
    <t>ARIZONA 8</t>
  </si>
  <si>
    <t>JAGUAR ENERGY</t>
  </si>
  <si>
    <t>PLANTA GENERADORA CON GAS NATURAL OOXOL</t>
  </si>
  <si>
    <t>ELECTRO GENERACION</t>
  </si>
  <si>
    <t>PLANTA DE GENERACIÓN OCULTÚN</t>
  </si>
  <si>
    <t>JUR-H1</t>
  </si>
  <si>
    <t>AGU-H1</t>
  </si>
  <si>
    <t>CHX-H1</t>
  </si>
  <si>
    <t>REN-H1</t>
  </si>
  <si>
    <t>RE4-H1</t>
  </si>
  <si>
    <t>ACG-G1</t>
  </si>
  <si>
    <t>Indisponibilidad Forzada</t>
  </si>
  <si>
    <t>Disparo de Unidad, No informa motivo y no se logra comunicación</t>
  </si>
  <si>
    <t>ARI-O10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</si>
  <si>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procemas de aceite valvua venteo de la culata del cilindro B3</t>
  </si>
  <si>
    <t>Mantenimiento Programado</t>
  </si>
  <si>
    <t>Inicia MP AMM-OCT26-GEN302</t>
  </si>
  <si>
    <t>Inicia MP AMM-OCT26-GEN296</t>
  </si>
  <si>
    <t>Inicia MP AMM-OCT26-GEN298</t>
  </si>
  <si>
    <t>ARI-V1</t>
  </si>
  <si>
    <t>No indica.</t>
  </si>
  <si>
    <t>BOR-I1</t>
  </si>
  <si>
    <t>Se abre indisponibilidad, según planilla de transacciones CF</t>
  </si>
  <si>
    <t>BOR-I2</t>
  </si>
  <si>
    <t>BOR-I3</t>
  </si>
  <si>
    <t>BOR-I4</t>
  </si>
  <si>
    <t>BOR-I5</t>
  </si>
  <si>
    <t>BOR-I6</t>
  </si>
  <si>
    <t>BOR-I7</t>
  </si>
  <si>
    <t>BOR-I8</t>
  </si>
  <si>
    <t>BVT-B1</t>
  </si>
  <si>
    <t>Salida Forzada, De acuerdo con la nota con referencia IN-AMM-02-96-2023 y CRDC-025-2023</t>
  </si>
  <si>
    <t>BVT-B2</t>
  </si>
  <si>
    <t>se retira del Mercado Mayorista. Ver Nota  ref. crdc-009-2019</t>
  </si>
  <si>
    <t>BVT-B3</t>
  </si>
  <si>
    <t>BVT-B4</t>
  </si>
  <si>
    <t>problemas con el regulador de voltaje.</t>
  </si>
  <si>
    <t>CAL-G1</t>
  </si>
  <si>
    <t>trasladan el pozo a Ortitlan</t>
  </si>
  <si>
    <t>CCEE-I1</t>
  </si>
  <si>
    <t>CGP-B1</t>
  </si>
  <si>
    <t>Por declaración de indisponibilidad, ver criterios 1may14.</t>
  </si>
  <si>
    <t>CGP-B2</t>
  </si>
  <si>
    <t>CGP-B3</t>
  </si>
  <si>
    <t>CGP-B4</t>
  </si>
  <si>
    <t>CGP-D5</t>
  </si>
  <si>
    <t>CGP-D6</t>
  </si>
  <si>
    <t>COE-D1</t>
  </si>
  <si>
    <t>no contesto las vias de comunicación oficiales, tenia programado pradis el 14/05/2018 a partir de las 18:00 h. se le aplica retroactiva.</t>
  </si>
  <si>
    <t>COE-D2</t>
  </si>
  <si>
    <t>COE-D3</t>
  </si>
  <si>
    <t>pendiente informacion, unicamente se recibio confirmacion de disparo via telefonica</t>
  </si>
  <si>
    <t>COE-D4</t>
  </si>
  <si>
    <t>COE-D5</t>
  </si>
  <si>
    <t>CON-B1</t>
  </si>
  <si>
    <t>Por desconexion y sece de operaciones en el SNI. Ref: RC (2021-02-26, maniobras desconexion central Concepcion 28feb21)</t>
  </si>
  <si>
    <t>CVO-H1</t>
  </si>
  <si>
    <t>Por fenómeno natural según reportó en nota con fecha de 14/11/2013</t>
  </si>
  <si>
    <t>DAR-B1</t>
  </si>
  <si>
    <t>problemas internos, (no reporto el evento).</t>
  </si>
  <si>
    <t>DEORI002</t>
  </si>
  <si>
    <t>DIEOR-I1</t>
  </si>
  <si>
    <t>ECR-B1</t>
  </si>
  <si>
    <t>Segun nota GG-488-2010 del 27Sep2010, por finalizacion de operación comercial.</t>
  </si>
  <si>
    <t>ECR-B2</t>
  </si>
  <si>
    <t>Calentamiento en bomba de agua de enfriamiento del motor.</t>
  </si>
  <si>
    <t>EGSAI001</t>
  </si>
  <si>
    <t>Degradación</t>
  </si>
  <si>
    <t>Se abre degradación, según planilla de transacciones CF</t>
  </si>
  <si>
    <t>EGSAI002</t>
  </si>
  <si>
    <t>EGSAI003</t>
  </si>
  <si>
    <t>EGSAI004</t>
  </si>
  <si>
    <t>ELG-B1</t>
  </si>
  <si>
    <t>Por baja presion de combustible</t>
  </si>
  <si>
    <t>ELG-B2</t>
  </si>
  <si>
    <t>por problemas en fabrica</t>
  </si>
  <si>
    <t>Salida Forzada,</t>
  </si>
  <si>
    <t>EPMAI001</t>
  </si>
  <si>
    <t>EPMAI002</t>
  </si>
  <si>
    <t>Reparacion del aislamiento del generador electrico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</si>
  <si>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Se convoco a las 12:04 h, para prestar R, Ra  (ESC-G5), no ingreso a línea, se le dieron 10 minutos de arranque según R.Ra.  CG1 informo que la unidad no ingresa por baja presión en aceite lubricante.</t>
  </si>
  <si>
    <t>ESC-V2</t>
  </si>
  <si>
    <t>NO SINCRONIZAR AL SER CONVOCADA POR ODM POR FUGAS, NO ESPECIFICARON MAS</t>
  </si>
  <si>
    <t>GAT-B1</t>
  </si>
  <si>
    <t>Por variacion de voltaje</t>
  </si>
  <si>
    <t>GAT-B2</t>
  </si>
  <si>
    <t>Disparo de Unidad, por baja presión de gas</t>
  </si>
  <si>
    <t>GAT-B3</t>
  </si>
  <si>
    <t>Salida Forzada, sin combustible.</t>
  </si>
  <si>
    <t>operador indica "bajo nivel de combustible"</t>
  </si>
  <si>
    <t>GCS-C1</t>
  </si>
  <si>
    <t>AMM-OCT26-GEN130</t>
  </si>
  <si>
    <t>GEC-B1</t>
  </si>
  <si>
    <t>por baja presion de combustible.</t>
  </si>
  <si>
    <t>GEC-B2</t>
  </si>
  <si>
    <t>GEC-B3</t>
  </si>
  <si>
    <t>POR TAPONAMIENTO EN FILTROS DE COMBUSTIBLE.</t>
  </si>
  <si>
    <t>GEC-B4</t>
  </si>
  <si>
    <t>atoramiento en valvula de HT</t>
  </si>
  <si>
    <t>GEN-B3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</si>
  <si>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Alta temperatura en cilindro</t>
  </si>
  <si>
    <t>GGO-B1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</si>
  <si>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Fue convocada a las 17:37 h del 07 de noviembre de 2024 y no ingreso. CDC solicitó informe de falla. El agente no indico causa por la cual no pudo ingresar e indicó que enviaría el informe de falla el 08 de noviembre luego de realizar una revisión a la unidad.</t>
  </si>
  <si>
    <t>GSL-C1</t>
  </si>
  <si>
    <t>No atribuible al generador</t>
  </si>
  <si>
    <t>perdida de tension por disparo de la linea Disparo de linea MIR-GSL, cierre a las 00:27 h</t>
  </si>
  <si>
    <t>HCR-H1</t>
  </si>
  <si>
    <t>variacion de tension</t>
  </si>
  <si>
    <t>HEL-H1</t>
  </si>
  <si>
    <t>Informo el operador que ya no estarán vendiendo potencia y energia al Mercado Mayorista.</t>
  </si>
  <si>
    <t>HLP-H1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</si>
  <si>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Retroactiva, indica el operador que no puede ingresar por problemas con el regulador..</t>
  </si>
  <si>
    <t>HUV-H1</t>
  </si>
  <si>
    <t>perdida de tensión</t>
  </si>
  <si>
    <t>HXO-H1</t>
  </si>
  <si>
    <t>Disparo de Unidad, sobrevelocidad</t>
  </si>
  <si>
    <t>INT-B1</t>
  </si>
  <si>
    <t>fuga de combustible</t>
  </si>
  <si>
    <t>INT-D1</t>
  </si>
  <si>
    <t>INDICA POR REPARACION DE PUNTO CALIENTE.</t>
  </si>
  <si>
    <t>INT-D2</t>
  </si>
  <si>
    <t>INT-D3</t>
  </si>
  <si>
    <t>Por alarma de baja presion de lubricación.</t>
  </si>
  <si>
    <t>INT-D4</t>
  </si>
  <si>
    <t>INT-D5</t>
  </si>
  <si>
    <t>Se convoca para prueba de disponibilidad de potencia el dia 09/12/2014 a las 16:00 horas, operador reporta a las 17:50 horas que tienen inconvenientes en la energización de la barra de 13.8KV</t>
  </si>
  <si>
    <t>ISI-B1</t>
  </si>
  <si>
    <t>Degradación según registro de carga horaria</t>
  </si>
  <si>
    <t>Por problemas de alimentación no completa</t>
  </si>
  <si>
    <t>Pérdio tensión, DP de LBR-ISI</t>
  </si>
  <si>
    <t>Por consumos de la unidad 2 no completa</t>
  </si>
  <si>
    <t>Degradación según registro de carga horaria. Por consumos de la unidad 2.</t>
  </si>
  <si>
    <t>Degradación según registro de carga horaria. Por consumos de unidad 2.</t>
  </si>
  <si>
    <t>por consmos d ela unidad 2</t>
  </si>
  <si>
    <t>AMM-OCT26-GEN212</t>
  </si>
  <si>
    <t>JEN-I2</t>
  </si>
  <si>
    <t>JUR-H2</t>
  </si>
  <si>
    <t>Indica que no tiene tensión, se verifica en el SITR que no hay evento en el área.</t>
  </si>
  <si>
    <t>Indisponibilidad retroactiva, por falla en PRADIS el día 11/05/2009, Por problemas en el motor de arranque</t>
  </si>
  <si>
    <t>Indisponibilidad retroactiva pues falló al ser convocada para RRA el día 26/02/2015 a las 17.58 horas por problemas con rele.</t>
  </si>
  <si>
    <t>LAG-G4</t>
  </si>
  <si>
    <t>falla al ser convocada por PRADIS el día 23/agosto/2005, pero por norma se abre la indisponibilidad este día que fue el último que entro a linea</t>
  </si>
  <si>
    <t>LAG-V4</t>
  </si>
  <si>
    <t>FALLA AL SER CONVOCADA POR EL CDC</t>
  </si>
  <si>
    <t>LES-H1</t>
  </si>
  <si>
    <t>Excede tiempo Programado para Mantenimiento, AMM-ENE24-GEN47, el mantenimiento estaba programado finalizar a las 23:59 horas del 30 de abril de 2026.</t>
  </si>
  <si>
    <t>LES-H2</t>
  </si>
  <si>
    <t>LLI-C1</t>
  </si>
  <si>
    <t>Por problemas de combustion en caldera no completa</t>
  </si>
  <si>
    <t>No completa por problemas de combustion en caldera</t>
  </si>
  <si>
    <t>mantenimiento AMM-OCT26-GEN281 finaliza el 23/10/2026  a las 23:59</t>
  </si>
  <si>
    <t>no informan motivo</t>
  </si>
  <si>
    <t>LVA-H3</t>
  </si>
  <si>
    <t>problemas internos.</t>
  </si>
  <si>
    <t>El bloque deja de apotar carga.</t>
  </si>
  <si>
    <t>Salida Forzada, problemas en los motores de induccion</t>
  </si>
  <si>
    <t xml:space="preserve">AMM-OCT26-GEN213	14-oct	mié	00:00	12-nov	jue	23:59
</t>
  </si>
  <si>
    <t>MEX-I1</t>
  </si>
  <si>
    <t>Según información del resumen de transacciones de CENACE.</t>
  </si>
  <si>
    <t>MNTLI001</t>
  </si>
  <si>
    <t>OXL-G1</t>
  </si>
  <si>
    <t>quedó sin tensión</t>
  </si>
  <si>
    <t>OXL-G2</t>
  </si>
  <si>
    <t>Disparo de Unidad,baja presión en sistema de presurización de gas.</t>
  </si>
  <si>
    <t>OXL-G3</t>
  </si>
  <si>
    <t>OXL-G4</t>
  </si>
  <si>
    <t>PAS-H1</t>
  </si>
  <si>
    <t>Excede tiempo Programado para Mantenimiento, Según nota AMM aviso conflicto 20 mayo 2025</t>
  </si>
  <si>
    <t>PAS-H2</t>
  </si>
  <si>
    <t>PGO-B1</t>
  </si>
  <si>
    <t>Salida Forzada, Según declaración del agente.</t>
  </si>
  <si>
    <t xml:space="preserve">AMM-OCT26-GEN109	9-oct	vie	00:00	26-nov	jue	23:59
</t>
  </si>
  <si>
    <t>finaliza zafra.</t>
  </si>
  <si>
    <t>Excede tiempo Programado para Mantenimiento, Continuan con los trabajos.</t>
  </si>
  <si>
    <t>POR-H1</t>
  </si>
  <si>
    <t>CG1 reporta problemas con la población que retrasaron los trabajos programados AMM-NOV15-GEN279, por tal motivo no se cumple con horario.</t>
  </si>
  <si>
    <t>PQP-B1</t>
  </si>
  <si>
    <t>por escases de combustible, no tienen condiciones para generar con ninguna unidad</t>
  </si>
  <si>
    <t>PQP-B10</t>
  </si>
  <si>
    <t>escases de combustible</t>
  </si>
  <si>
    <t>PQP-B11</t>
  </si>
  <si>
    <t>Indica que realizaran trabajos en sistema de combustible, por tiempo indefinido.</t>
  </si>
  <si>
    <t>PQP-B12</t>
  </si>
  <si>
    <t>PQP-B13</t>
  </si>
  <si>
    <t>PQP-B14</t>
  </si>
  <si>
    <t>PQP-B15</t>
  </si>
  <si>
    <t>PQP-B16</t>
  </si>
  <si>
    <t>PQP-B17</t>
  </si>
  <si>
    <t>PQP-B18</t>
  </si>
  <si>
    <t>PQP-B19</t>
  </si>
  <si>
    <t>PQP-B2</t>
  </si>
  <si>
    <t>PQP-B20</t>
  </si>
  <si>
    <t>PQP-B3</t>
  </si>
  <si>
    <t>PQP-B4</t>
  </si>
  <si>
    <t>PQP-B5</t>
  </si>
  <si>
    <t>PQP-B6</t>
  </si>
  <si>
    <t>PQP-B7</t>
  </si>
  <si>
    <t>PQP-B8</t>
  </si>
  <si>
    <t>PQP-B9</t>
  </si>
  <si>
    <t>PWT-B1</t>
  </si>
  <si>
    <t>se declara indisponible</t>
  </si>
  <si>
    <t>PWT-B2</t>
  </si>
  <si>
    <t>PWT-B3</t>
  </si>
  <si>
    <t>PWT-B4</t>
  </si>
  <si>
    <t>PWT-B5</t>
  </si>
  <si>
    <t>PWT-B6</t>
  </si>
  <si>
    <t>PWT-B7</t>
  </si>
  <si>
    <t>RAA-H1</t>
  </si>
  <si>
    <t>Salida Forzada, Por crecida de río.</t>
  </si>
  <si>
    <t>RAA-H2</t>
  </si>
  <si>
    <t>RBO-H1</t>
  </si>
  <si>
    <t>Perdida de tension</t>
  </si>
  <si>
    <t>S&amp;S-D1</t>
  </si>
  <si>
    <t>Se le abre indisponibilidad retroactiva desde su ultima declaracion de disponibilidad, al fallar a ser convocada el día 21/04/2020 para pradis de las 12:00 h.</t>
  </si>
  <si>
    <t>SAA-B1</t>
  </si>
  <si>
    <t>Mantenimiento AMM-JUN26-GEN28 que fnaliza el miércoles 25 de noviembre a las 23:59 h.</t>
  </si>
  <si>
    <t xml:space="preserve">AMM-SEP26-GEN337
06-nov	vie	23:59
</t>
  </si>
  <si>
    <t>indican que estan fuera de línea y que finalizaron zafra. Según el PDD, tienen programado generación hasta las 24:00 horas de este día (25/03/2010)</t>
  </si>
  <si>
    <t>SID-B1</t>
  </si>
  <si>
    <t>Finlaiza operación comercial en el Mercado Mayorisa</t>
  </si>
  <si>
    <t>SID-B10</t>
  </si>
  <si>
    <t>SID-B2</t>
  </si>
  <si>
    <t>SID-B3</t>
  </si>
  <si>
    <t>SID-B4</t>
  </si>
  <si>
    <t>SID-B5</t>
  </si>
  <si>
    <t>SID-B6</t>
  </si>
  <si>
    <t>SID-B7</t>
  </si>
  <si>
    <t>SID-B8</t>
  </si>
  <si>
    <t>SID-B9</t>
  </si>
  <si>
    <t>SMA-H2</t>
  </si>
  <si>
    <t>mantenimiento mayor anual AMM-OCT26-GEN259 finaliza el 02/11/2026 a las 06:59 h</t>
  </si>
  <si>
    <t>Disparo de Unidad, rotura de pin</t>
  </si>
  <si>
    <t>TAM-I1</t>
  </si>
  <si>
    <t>TAM-I2</t>
  </si>
  <si>
    <t>TAM-I3</t>
  </si>
  <si>
    <t>TAM-I4</t>
  </si>
  <si>
    <t xml:space="preserve">AMM-OCT26-GEN292	22-oct	jue	00:01	22-oct	jue	17:00
</t>
  </si>
  <si>
    <t>Por desconexión del trafo elevador del SNI</t>
  </si>
  <si>
    <t>Salida Forzada, problemas en parrilla viajera</t>
  </si>
  <si>
    <t>No puede subir a 40.3 MW por problemas en la torre de enfriamiento.</t>
  </si>
  <si>
    <t>Informan que no pueden completar 40.3 MW</t>
  </si>
  <si>
    <t xml:space="preserve">TND-B5	P	AMM-OCT26-GEN23	2-oct	vie	00:00	3-nov	mar	23:59	--	Mantenimiento mayor a la unidad de generación TND-B5.	--
</t>
  </si>
  <si>
    <t>TRMCI001</t>
  </si>
  <si>
    <t>Por declaración del agente, vía nota recibida el 05/12/05 a las 13:09 horas,  por  cambio de unidad para consumo interno.</t>
  </si>
  <si>
    <t>TUL-B3</t>
  </si>
  <si>
    <t>ZUN-G4</t>
  </si>
  <si>
    <t xml:space="preserve">AMM-OCT26-GEN332	22-oct	jue	00:00	21-nov	sáb	23:59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</si>
</sst>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-* #,##0.00_-;\-* #,##0.00_-;_-* &quot;-&quot;??_-;_-@_-"/>
    <numFmt numFmtId="164" formatCode="_(* #,##0.00_);_(* \(#,##0.00\);_(* &quot;-&quot;??_);_(@_)"/>
    <numFmt numFmtId="165" formatCode="[$-100A]dddd\ d&quot; de &quot;mmmm&quot; de &quot;yyyy;@"/>
    <numFmt numFmtId="166" formatCode="0.0"/>
    <numFmt numFmtId="167" formatCode="00.00"/>
    <numFmt numFmtId="168" formatCode="#.#_);[Red]\(#.#\)"/>
    <numFmt numFmtId="169" formatCode="0.0_);[Red]\(0.0\)"/>
    <numFmt numFmtId="170" formatCode="0.000"/>
    <numFmt numFmtId="171" formatCode="#,##0.0000"/>
    <numFmt numFmtId="172" formatCode="0.00000"/>
    <numFmt numFmtId="173" formatCode="0.0000"/>
    <numFmt numFmtId="174" formatCode="#,##0.0"/>
    <numFmt numFmtId="175" formatCode="dd/mm/yy;@"/>
    <numFmt numFmtId="176" formatCode="##0.0\ &quot;MW&quot;"/>
    <numFmt numFmtId="177" formatCode="#,##0.0000_);\(#,##0.0000\)"/>
    <numFmt numFmtId="178" formatCode="_([$$-409]* #,##0.00_);_([$$-409]* \(#,##0.00\);_([$$-409]* &quot;-&quot;??_);_(@_)"/>
    <numFmt numFmtId="179" formatCode="hh:mm;@"/>
    <numFmt numFmtId="180" formatCode="#,##0."/>
    <numFmt numFmtId="181" formatCode="\$#.00"/>
    <numFmt numFmtId="182" formatCode="\$#."/>
    <numFmt numFmtId="183" formatCode="_([$€-2]* #,##0.00_);_([$€-2]* \(#,##0.00\);_([$€-2]* &quot;-&quot;??_)"/>
    <numFmt numFmtId="184" formatCode="#.00"/>
    <numFmt numFmtId="185" formatCode="%#.00"/>
    <numFmt numFmtId="186" formatCode="##0.000\ &quot;MW&quot;"/>
    <numFmt numFmtId="187" formatCode="[$-F400]h:mm:ss\ AM/PM"/>
    <numFmt numFmtId="188" formatCode="dd/mm/yyyy"/>
  </numFmts>
  <fonts count="7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sz val="10"/>
      <name val="Albertus Medium"/>
      <family val="2"/>
    </font>
    <font>
      <sz val="10"/>
      <name val="Arial"/>
      <family val="2"/>
    </font>
    <font>
      <b/>
      <i/>
      <u/>
      <sz val="20"/>
      <color indexed="62"/>
      <name val="Arial"/>
      <family val="2"/>
    </font>
    <font>
      <b/>
      <sz val="10"/>
      <color indexed="12"/>
      <name val="Metrostyle Extended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u/>
      <sz val="10"/>
      <name val="Arial"/>
      <family val="2"/>
    </font>
    <font>
      <u/>
      <sz val="12"/>
      <color indexed="54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9"/>
      <name val="Arial"/>
      <family val="2"/>
    </font>
    <font>
      <b/>
      <sz val="18"/>
      <color indexed="9"/>
      <name val="Arial"/>
      <family val="2"/>
    </font>
    <font>
      <sz val="10"/>
      <color indexed="42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26"/>
      <color indexed="23"/>
      <name val="Arial"/>
      <family val="2"/>
    </font>
    <font>
      <sz val="11"/>
      <name val="Arial"/>
      <family val="2"/>
    </font>
    <font>
      <sz val="11"/>
      <color indexed="52"/>
      <name val="Arial"/>
      <family val="2"/>
    </font>
    <font>
      <u/>
      <sz val="12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sz val="10"/>
      <color indexed="48"/>
      <name val="Arial"/>
      <family val="2"/>
    </font>
    <font>
      <u/>
      <sz val="12"/>
      <color indexed="10"/>
      <name val="Arial"/>
      <family val="2"/>
    </font>
    <font>
      <sz val="10"/>
      <color indexed="48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8"/>
      <color indexed="11"/>
      <name val="Tahoma"/>
      <family val="2"/>
    </font>
    <font>
      <b/>
      <sz val="8"/>
      <color indexed="12"/>
      <name val="Tahoma"/>
      <family val="2"/>
    </font>
    <font>
      <sz val="8"/>
      <color indexed="12"/>
      <name val="Tahoma"/>
      <family val="2"/>
    </font>
    <font>
      <b/>
      <sz val="12"/>
      <color indexed="11"/>
      <name val="Arial"/>
      <family val="2"/>
    </font>
    <font>
      <sz val="11"/>
      <color indexed="11"/>
      <name val="Arial"/>
      <family val="2"/>
    </font>
    <font>
      <b/>
      <sz val="10"/>
      <color indexed="11"/>
      <name val="Arial"/>
      <family val="2"/>
    </font>
    <font>
      <b/>
      <u/>
      <sz val="8"/>
      <color indexed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b/>
      <sz val="9"/>
      <color indexed="11"/>
      <name val="Arial"/>
      <family val="2"/>
    </font>
    <font>
      <b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11"/>
      <name val="Arial"/>
      <family val="2"/>
    </font>
    <font>
      <b/>
      <sz val="12"/>
      <color indexed="55"/>
      <name val="Arial"/>
      <family val="2"/>
    </font>
    <font>
      <sz val="11"/>
      <color indexed="55"/>
      <name val="Arial"/>
      <family val="2"/>
    </font>
    <font>
      <sz val="10"/>
      <color indexed="49"/>
      <name val="Arial"/>
      <family val="2"/>
    </font>
    <font>
      <b/>
      <sz val="10"/>
      <color indexed="49"/>
      <name val="Arial"/>
      <family val="2"/>
    </font>
    <font>
      <sz val="11"/>
      <color theme="9"/>
      <name val="Arial"/>
      <family val="2"/>
    </font>
    <font>
      <sz val="10"/>
      <color theme="9"/>
      <name val="Arial"/>
      <family val="2"/>
    </font>
    <font>
      <u/>
      <sz val="12"/>
      <color theme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u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CAF9A"/>
        <bgColor indexed="64"/>
      </patternFill>
    </fill>
    <fill>
      <patternFill patternType="solid">
        <fgColor rgb="FFA9FACD"/>
        <bgColor indexed="64"/>
      </patternFill>
    </fill>
    <fill>
      <patternFill patternType="solid">
        <fgColor rgb="FF976200"/>
        <bgColor indexed="64"/>
      </patternFill>
    </fill>
  </fills>
  <borders count="8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180" fontId="47" fillId="0" borderId="0">
      <protection locked="0"/>
    </xf>
    <xf numFmtId="181" fontId="47" fillId="0" borderId="0">
      <protection locked="0"/>
    </xf>
    <xf numFmtId="182" fontId="47" fillId="0" borderId="0">
      <protection locked="0"/>
    </xf>
    <xf numFmtId="0" fontId="47" fillId="0" borderId="0">
      <protection locked="0"/>
    </xf>
    <xf numFmtId="183" fontId="1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7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>
      <alignment wrapText="1"/>
    </xf>
    <xf numFmtId="185" fontId="47" fillId="0" borderId="0">
      <protection locked="0"/>
    </xf>
    <xf numFmtId="0" fontId="47" fillId="0" borderId="1">
      <protection locked="0"/>
    </xf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57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6" fillId="4" borderId="2" xfId="0" applyFont="1" applyFill="1" applyBorder="1"/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6" fontId="1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left"/>
    </xf>
    <xf numFmtId="166" fontId="0" fillId="0" borderId="0" xfId="0" applyNumberFormat="1"/>
    <xf numFmtId="4" fontId="1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7" fillId="0" borderId="0" xfId="0" quotePrefix="1" applyNumberFormat="1" applyFont="1"/>
    <xf numFmtId="166" fontId="17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166" fontId="15" fillId="0" borderId="3" xfId="0" applyNumberFormat="1" applyFont="1" applyBorder="1" applyAlignment="1">
      <alignment horizontal="center"/>
    </xf>
    <xf numFmtId="167" fontId="15" fillId="5" borderId="3" xfId="0" applyNumberFormat="1" applyFont="1" applyFill="1" applyBorder="1" applyAlignment="1">
      <alignment horizontal="center"/>
    </xf>
    <xf numFmtId="168" fontId="0" fillId="0" borderId="0" xfId="0" applyNumberFormat="1"/>
    <xf numFmtId="167" fontId="20" fillId="5" borderId="3" xfId="0" applyNumberFormat="1" applyFont="1" applyFill="1" applyBorder="1" applyAlignment="1">
      <alignment horizontal="center"/>
    </xf>
    <xf numFmtId="16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170" fontId="5" fillId="6" borderId="0" xfId="10" applyNumberFormat="1" applyFill="1" applyAlignment="1" applyProtection="1">
      <alignment horizontal="center"/>
    </xf>
    <xf numFmtId="171" fontId="0" fillId="6" borderId="0" xfId="0" applyNumberFormat="1" applyFill="1"/>
    <xf numFmtId="170" fontId="0" fillId="6" borderId="0" xfId="0" applyNumberFormat="1" applyFill="1"/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 vertical="distributed"/>
    </xf>
    <xf numFmtId="0" fontId="7" fillId="7" borderId="5" xfId="0" applyFont="1" applyFill="1" applyBorder="1" applyAlignment="1">
      <alignment horizontal="center" vertical="distributed"/>
    </xf>
    <xf numFmtId="170" fontId="7" fillId="6" borderId="0" xfId="0" applyNumberFormat="1" applyFont="1" applyFill="1" applyAlignment="1">
      <alignment horizontal="center" vertical="justify"/>
    </xf>
    <xf numFmtId="20" fontId="12" fillId="8" borderId="6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 applyProtection="1">
      <alignment horizontal="center"/>
      <protection locked="0"/>
    </xf>
    <xf numFmtId="4" fontId="12" fillId="6" borderId="0" xfId="0" applyNumberFormat="1" applyFont="1" applyFill="1" applyAlignment="1">
      <alignment horizontal="center"/>
    </xf>
    <xf numFmtId="1" fontId="22" fillId="6" borderId="0" xfId="0" applyNumberFormat="1" applyFont="1" applyFill="1"/>
    <xf numFmtId="0" fontId="23" fillId="6" borderId="0" xfId="0" applyFont="1" applyFill="1"/>
    <xf numFmtId="172" fontId="23" fillId="6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 applyProtection="1">
      <alignment horizontal="center"/>
      <protection locked="0"/>
    </xf>
    <xf numFmtId="20" fontId="12" fillId="10" borderId="6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 applyProtection="1">
      <alignment horizontal="center"/>
      <protection locked="0"/>
    </xf>
    <xf numFmtId="20" fontId="12" fillId="8" borderId="7" xfId="0" applyNumberFormat="1" applyFont="1" applyFill="1" applyBorder="1" applyAlignment="1">
      <alignment horizontal="center"/>
    </xf>
    <xf numFmtId="46" fontId="12" fillId="8" borderId="8" xfId="0" applyNumberFormat="1" applyFont="1" applyFill="1" applyBorder="1" applyAlignment="1">
      <alignment horizontal="center"/>
    </xf>
    <xf numFmtId="0" fontId="5" fillId="6" borderId="0" xfId="10" applyFill="1" applyAlignment="1" applyProtection="1">
      <alignment horizontal="right"/>
    </xf>
    <xf numFmtId="4" fontId="24" fillId="7" borderId="9" xfId="0" applyNumberFormat="1" applyFont="1" applyFill="1" applyBorder="1" applyAlignment="1">
      <alignment horizontal="center"/>
    </xf>
    <xf numFmtId="4" fontId="24" fillId="11" borderId="10" xfId="0" applyNumberFormat="1" applyFont="1" applyFill="1" applyBorder="1" applyAlignment="1">
      <alignment horizontal="center"/>
    </xf>
    <xf numFmtId="4" fontId="24" fillId="6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 vertical="top" wrapText="1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6" fillId="6" borderId="0" xfId="10" applyFont="1" applyFill="1" applyAlignment="1" applyProtection="1"/>
    <xf numFmtId="0" fontId="0" fillId="12" borderId="0" xfId="0" applyFill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20" fontId="12" fillId="8" borderId="6" xfId="0" applyNumberFormat="1" applyFont="1" applyFill="1" applyBorder="1" applyAlignment="1">
      <alignment horizontal="center" vertical="center"/>
    </xf>
    <xf numFmtId="20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 applyProtection="1">
      <alignment horizontal="center" vertical="center"/>
      <protection locked="0"/>
    </xf>
    <xf numFmtId="20" fontId="12" fillId="9" borderId="6" xfId="0" applyNumberFormat="1" applyFont="1" applyFill="1" applyBorder="1" applyAlignment="1">
      <alignment horizontal="center" vertical="center"/>
    </xf>
    <xf numFmtId="20" fontId="12" fillId="9" borderId="3" xfId="0" applyNumberFormat="1" applyFont="1" applyFill="1" applyBorder="1" applyAlignment="1">
      <alignment horizontal="center" vertical="center"/>
    </xf>
    <xf numFmtId="170" fontId="12" fillId="9" borderId="3" xfId="0" applyNumberFormat="1" applyFont="1" applyFill="1" applyBorder="1" applyAlignment="1" applyProtection="1">
      <alignment horizontal="center" vertical="center"/>
      <protection locked="0"/>
    </xf>
    <xf numFmtId="20" fontId="12" fillId="10" borderId="6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 applyProtection="1">
      <alignment horizontal="center" vertical="center"/>
      <protection locked="0"/>
    </xf>
    <xf numFmtId="20" fontId="12" fillId="8" borderId="7" xfId="0" applyNumberFormat="1" applyFont="1" applyFill="1" applyBorder="1" applyAlignment="1">
      <alignment horizontal="center" vertical="center"/>
    </xf>
    <xf numFmtId="46" fontId="12" fillId="8" borderId="8" xfId="0" applyNumberFormat="1" applyFont="1" applyFill="1" applyBorder="1" applyAlignment="1">
      <alignment horizontal="center" vertical="center"/>
    </xf>
    <xf numFmtId="170" fontId="1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20" fontId="0" fillId="13" borderId="0" xfId="0" applyNumberFormat="1" applyFill="1" applyAlignment="1" applyProtection="1">
      <alignment horizontal="center"/>
      <protection locked="0"/>
    </xf>
    <xf numFmtId="0" fontId="0" fillId="13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20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29" fillId="8" borderId="0" xfId="0" applyFont="1" applyFill="1" applyProtection="1">
      <protection locked="0"/>
    </xf>
    <xf numFmtId="20" fontId="29" fillId="8" borderId="0" xfId="0" applyNumberFormat="1" applyFont="1" applyFill="1" applyAlignment="1">
      <alignment horizontal="center" vertical="center"/>
    </xf>
    <xf numFmtId="46" fontId="29" fillId="8" borderId="0" xfId="0" applyNumberFormat="1" applyFont="1" applyFill="1" applyAlignment="1">
      <alignment horizontal="center" vertical="center"/>
    </xf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0" fontId="30" fillId="0" borderId="0" xfId="0" applyFont="1"/>
    <xf numFmtId="0" fontId="5" fillId="11" borderId="0" xfId="10" applyFill="1" applyAlignment="1" applyProtection="1">
      <alignment horizontal="left"/>
    </xf>
    <xf numFmtId="0" fontId="31" fillId="11" borderId="0" xfId="0" applyFont="1" applyFill="1"/>
    <xf numFmtId="0" fontId="31" fillId="0" borderId="0" xfId="0" applyFont="1"/>
    <xf numFmtId="0" fontId="7" fillId="4" borderId="11" xfId="0" applyFont="1" applyFill="1" applyBorder="1" applyAlignment="1">
      <alignment vertical="center" textRotation="90"/>
    </xf>
    <xf numFmtId="0" fontId="7" fillId="4" borderId="0" xfId="0" applyFont="1" applyFill="1" applyAlignment="1">
      <alignment vertical="center" textRotation="90"/>
    </xf>
    <xf numFmtId="173" fontId="25" fillId="5" borderId="12" xfId="0" applyNumberFormat="1" applyFont="1" applyFill="1" applyBorder="1" applyAlignment="1" applyProtection="1">
      <alignment horizontal="center" vertical="center"/>
      <protection locked="0"/>
    </xf>
    <xf numFmtId="0" fontId="25" fillId="5" borderId="12" xfId="0" applyFont="1" applyFill="1" applyBorder="1" applyAlignment="1" applyProtection="1">
      <alignment horizontal="center" vertical="center"/>
      <protection locked="0"/>
    </xf>
    <xf numFmtId="17" fontId="25" fillId="5" borderId="12" xfId="0" applyNumberFormat="1" applyFont="1" applyFill="1" applyBorder="1" applyAlignment="1" applyProtection="1">
      <alignment horizontal="center" vertical="center"/>
      <protection locked="0"/>
    </xf>
    <xf numFmtId="20" fontId="2" fillId="8" borderId="4" xfId="0" applyNumberFormat="1" applyFont="1" applyFill="1" applyBorder="1" applyAlignment="1">
      <alignment horizontal="center"/>
    </xf>
    <xf numFmtId="177" fontId="33" fillId="8" borderId="5" xfId="0" applyNumberFormat="1" applyFont="1" applyFill="1" applyBorder="1" applyAlignment="1" applyProtection="1">
      <alignment horizontal="center"/>
      <protection locked="0"/>
    </xf>
    <xf numFmtId="177" fontId="33" fillId="8" borderId="9" xfId="0" applyNumberFormat="1" applyFont="1" applyFill="1" applyBorder="1" applyAlignment="1" applyProtection="1">
      <alignment horizontal="center"/>
      <protection locked="0"/>
    </xf>
    <xf numFmtId="20" fontId="2" fillId="8" borderId="6" xfId="0" applyNumberFormat="1" applyFont="1" applyFill="1" applyBorder="1" applyAlignment="1">
      <alignment horizontal="center"/>
    </xf>
    <xf numFmtId="177" fontId="33" fillId="8" borderId="3" xfId="0" applyNumberFormat="1" applyFont="1" applyFill="1" applyBorder="1" applyAlignment="1" applyProtection="1">
      <alignment horizontal="center"/>
      <protection locked="0"/>
    </xf>
    <xf numFmtId="177" fontId="33" fillId="8" borderId="10" xfId="0" applyNumberFormat="1" applyFont="1" applyFill="1" applyBorder="1" applyAlignment="1" applyProtection="1">
      <alignment horizontal="center"/>
      <protection locked="0"/>
    </xf>
    <xf numFmtId="20" fontId="2" fillId="9" borderId="6" xfId="0" applyNumberFormat="1" applyFont="1" applyFill="1" applyBorder="1" applyAlignment="1">
      <alignment horizontal="center"/>
    </xf>
    <xf numFmtId="177" fontId="33" fillId="9" borderId="3" xfId="0" applyNumberFormat="1" applyFont="1" applyFill="1" applyBorder="1" applyAlignment="1" applyProtection="1">
      <alignment horizontal="center"/>
      <protection locked="0"/>
    </xf>
    <xf numFmtId="177" fontId="33" fillId="9" borderId="10" xfId="0" applyNumberFormat="1" applyFont="1" applyFill="1" applyBorder="1" applyAlignment="1" applyProtection="1">
      <alignment horizontal="center"/>
      <protection locked="0"/>
    </xf>
    <xf numFmtId="20" fontId="2" fillId="10" borderId="6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 applyAlignment="1" applyProtection="1">
      <alignment horizontal="center"/>
      <protection locked="0"/>
    </xf>
    <xf numFmtId="177" fontId="33" fillId="10" borderId="10" xfId="0" applyNumberFormat="1" applyFont="1" applyFill="1" applyBorder="1" applyAlignment="1" applyProtection="1">
      <alignment horizontal="center"/>
      <protection locked="0"/>
    </xf>
    <xf numFmtId="177" fontId="33" fillId="8" borderId="12" xfId="0" applyNumberFormat="1" applyFont="1" applyFill="1" applyBorder="1" applyAlignment="1" applyProtection="1">
      <alignment horizontal="center"/>
      <protection locked="0"/>
    </xf>
    <xf numFmtId="177" fontId="33" fillId="8" borderId="13" xfId="0" applyNumberFormat="1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/>
    </xf>
    <xf numFmtId="177" fontId="2" fillId="8" borderId="3" xfId="0" applyNumberFormat="1" applyFont="1" applyFill="1" applyBorder="1" applyAlignment="1">
      <alignment horizontal="center"/>
    </xf>
    <xf numFmtId="177" fontId="2" fillId="8" borderId="3" xfId="0" applyNumberFormat="1" applyFont="1" applyFill="1" applyBorder="1"/>
    <xf numFmtId="0" fontId="12" fillId="9" borderId="3" xfId="0" applyFont="1" applyFill="1" applyBorder="1" applyAlignment="1">
      <alignment horizontal="center"/>
    </xf>
    <xf numFmtId="177" fontId="2" fillId="9" borderId="3" xfId="0" applyNumberFormat="1" applyFont="1" applyFill="1" applyBorder="1" applyAlignment="1">
      <alignment horizontal="center"/>
    </xf>
    <xf numFmtId="177" fontId="2" fillId="9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177" fontId="2" fillId="10" borderId="3" xfId="0" applyNumberFormat="1" applyFont="1" applyFill="1" applyBorder="1" applyAlignment="1">
      <alignment horizontal="center"/>
    </xf>
    <xf numFmtId="177" fontId="2" fillId="10" borderId="3" xfId="0" applyNumberFormat="1" applyFont="1" applyFill="1" applyBorder="1"/>
    <xf numFmtId="0" fontId="15" fillId="11" borderId="0" xfId="0" applyFont="1" applyFill="1" applyAlignment="1">
      <alignment horizontal="center" vertical="center" wrapText="1"/>
    </xf>
    <xf numFmtId="0" fontId="30" fillId="8" borderId="0" xfId="0" applyFont="1" applyFill="1"/>
    <xf numFmtId="0" fontId="30" fillId="8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4" fillId="11" borderId="0" xfId="0" applyFont="1" applyFill="1" applyAlignment="1">
      <alignment horizontal="center"/>
    </xf>
    <xf numFmtId="0" fontId="35" fillId="11" borderId="0" xfId="10" applyFont="1" applyFill="1" applyAlignment="1" applyProtection="1">
      <alignment horizontal="left"/>
    </xf>
    <xf numFmtId="166" fontId="2" fillId="8" borderId="3" xfId="0" applyNumberFormat="1" applyFont="1" applyFill="1" applyBorder="1" applyAlignment="1" applyProtection="1">
      <alignment horizontal="center" vertical="center"/>
      <protection locked="0"/>
    </xf>
    <xf numFmtId="166" fontId="2" fillId="9" borderId="3" xfId="0" applyNumberFormat="1" applyFont="1" applyFill="1" applyBorder="1" applyAlignment="1" applyProtection="1">
      <alignment horizontal="center" vertical="center"/>
      <protection locked="0"/>
    </xf>
    <xf numFmtId="166" fontId="2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7" fillId="13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/>
      <protection locked="0"/>
    </xf>
    <xf numFmtId="0" fontId="39" fillId="13" borderId="0" xfId="0" applyFont="1" applyFill="1" applyProtection="1"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5" fillId="14" borderId="0" xfId="10" applyFill="1" applyAlignment="1" applyProtection="1">
      <protection locked="0"/>
    </xf>
    <xf numFmtId="0" fontId="41" fillId="13" borderId="0" xfId="0" applyFont="1" applyFill="1" applyProtection="1">
      <protection locked="0"/>
    </xf>
    <xf numFmtId="20" fontId="7" fillId="13" borderId="0" xfId="0" applyNumberFormat="1" applyFont="1" applyFill="1" applyAlignment="1" applyProtection="1">
      <alignment horizontal="center"/>
      <protection locked="0"/>
    </xf>
    <xf numFmtId="2" fontId="7" fillId="13" borderId="0" xfId="0" applyNumberFormat="1" applyFont="1" applyFill="1" applyAlignment="1" applyProtection="1">
      <alignment horizontal="center"/>
      <protection locked="0"/>
    </xf>
    <xf numFmtId="0" fontId="2" fillId="9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8" xfId="0" applyFont="1" applyFill="1" applyBorder="1" applyAlignment="1" applyProtection="1">
      <alignment vertical="top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3" fillId="3" borderId="18" xfId="0" applyFont="1" applyFill="1" applyBorder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2" fillId="3" borderId="0" xfId="0" applyFont="1" applyFill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9" borderId="0" xfId="10" applyFill="1" applyAlignment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2" fillId="16" borderId="0" xfId="0" applyFont="1" applyFill="1" applyProtection="1">
      <protection locked="0"/>
    </xf>
    <xf numFmtId="0" fontId="5" fillId="16" borderId="0" xfId="10" applyFill="1" applyAlignment="1" applyProtection="1">
      <protection locked="0"/>
    </xf>
    <xf numFmtId="0" fontId="0" fillId="16" borderId="0" xfId="0" applyFill="1" applyProtection="1">
      <protection locked="0"/>
    </xf>
    <xf numFmtId="0" fontId="0" fillId="5" borderId="0" xfId="0" applyFill="1" applyProtection="1">
      <protection locked="0"/>
    </xf>
    <xf numFmtId="0" fontId="12" fillId="8" borderId="8" xfId="0" applyFont="1" applyFill="1" applyBorder="1" applyAlignment="1">
      <alignment horizontal="center"/>
    </xf>
    <xf numFmtId="177" fontId="2" fillId="8" borderId="8" xfId="0" applyNumberFormat="1" applyFont="1" applyFill="1" applyBorder="1" applyAlignment="1">
      <alignment horizontal="center"/>
    </xf>
    <xf numFmtId="177" fontId="2" fillId="8" borderId="8" xfId="0" applyNumberFormat="1" applyFont="1" applyFill="1" applyBorder="1"/>
    <xf numFmtId="0" fontId="7" fillId="4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21" xfId="0" applyFont="1" applyFill="1" applyBorder="1" applyAlignment="1">
      <alignment vertical="center" textRotation="90"/>
    </xf>
    <xf numFmtId="0" fontId="30" fillId="7" borderId="0" xfId="0" applyFont="1" applyFill="1"/>
    <xf numFmtId="0" fontId="30" fillId="4" borderId="0" xfId="0" applyFont="1" applyFill="1"/>
    <xf numFmtId="20" fontId="2" fillId="8" borderId="5" xfId="0" applyNumberFormat="1" applyFont="1" applyFill="1" applyBorder="1" applyAlignment="1">
      <alignment horizontal="center"/>
    </xf>
    <xf numFmtId="20" fontId="2" fillId="8" borderId="3" xfId="0" applyNumberFormat="1" applyFont="1" applyFill="1" applyBorder="1" applyAlignment="1">
      <alignment horizontal="center"/>
    </xf>
    <xf numFmtId="20" fontId="2" fillId="9" borderId="3" xfId="0" applyNumberFormat="1" applyFont="1" applyFill="1" applyBorder="1" applyAlignment="1">
      <alignment horizontal="center"/>
    </xf>
    <xf numFmtId="20" fontId="2" fillId="10" borderId="3" xfId="0" applyNumberFormat="1" applyFont="1" applyFill="1" applyBorder="1" applyAlignment="1">
      <alignment horizontal="center"/>
    </xf>
    <xf numFmtId="46" fontId="2" fillId="8" borderId="12" xfId="0" quotePrefix="1" applyNumberFormat="1" applyFont="1" applyFill="1" applyBorder="1" applyAlignment="1">
      <alignment horizontal="center"/>
    </xf>
    <xf numFmtId="177" fontId="33" fillId="8" borderId="23" xfId="0" applyNumberFormat="1" applyFont="1" applyFill="1" applyBorder="1" applyAlignment="1" applyProtection="1">
      <alignment horizontal="center"/>
      <protection locked="0"/>
    </xf>
    <xf numFmtId="177" fontId="33" fillId="8" borderId="24" xfId="0" applyNumberFormat="1" applyFont="1" applyFill="1" applyBorder="1" applyAlignment="1" applyProtection="1">
      <alignment horizontal="center"/>
      <protection locked="0"/>
    </xf>
    <xf numFmtId="177" fontId="33" fillId="9" borderId="24" xfId="0" applyNumberFormat="1" applyFont="1" applyFill="1" applyBorder="1" applyAlignment="1" applyProtection="1">
      <alignment horizontal="center"/>
      <protection locked="0"/>
    </xf>
    <xf numFmtId="177" fontId="33" fillId="10" borderId="24" xfId="0" applyNumberFormat="1" applyFont="1" applyFill="1" applyBorder="1" applyAlignment="1" applyProtection="1">
      <alignment horizontal="center"/>
      <protection locked="0"/>
    </xf>
    <xf numFmtId="177" fontId="33" fillId="8" borderId="25" xfId="0" applyNumberFormat="1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 vertical="center" wrapText="1"/>
    </xf>
    <xf numFmtId="171" fontId="7" fillId="7" borderId="5" xfId="0" applyNumberFormat="1" applyFont="1" applyFill="1" applyBorder="1" applyAlignment="1">
      <alignment horizontal="center" vertical="center" wrapText="1"/>
    </xf>
    <xf numFmtId="0" fontId="5" fillId="6" borderId="0" xfId="10" applyFill="1" applyAlignment="1" applyProtection="1"/>
    <xf numFmtId="0" fontId="5" fillId="6" borderId="0" xfId="10" applyFill="1" applyAlignment="1" applyProtection="1">
      <alignment vertical="top"/>
    </xf>
    <xf numFmtId="0" fontId="45" fillId="6" borderId="0" xfId="0" applyFont="1" applyFill="1" applyAlignment="1">
      <alignment horizontal="center" vertical="top"/>
    </xf>
    <xf numFmtId="170" fontId="45" fillId="6" borderId="0" xfId="0" applyNumberFormat="1" applyFont="1" applyFill="1" applyAlignment="1">
      <alignment vertical="top"/>
    </xf>
    <xf numFmtId="171" fontId="45" fillId="6" borderId="0" xfId="0" applyNumberFormat="1" applyFont="1" applyFill="1" applyAlignment="1">
      <alignment vertical="top"/>
    </xf>
    <xf numFmtId="0" fontId="45" fillId="0" borderId="0" xfId="0" applyFont="1" applyAlignment="1">
      <alignment vertical="top"/>
    </xf>
    <xf numFmtId="0" fontId="2" fillId="6" borderId="0" xfId="0" applyFont="1" applyFill="1" applyAlignment="1">
      <alignment horizontal="center"/>
    </xf>
    <xf numFmtId="170" fontId="2" fillId="6" borderId="0" xfId="0" applyNumberFormat="1" applyFont="1" applyFill="1"/>
    <xf numFmtId="171" fontId="2" fillId="6" borderId="0" xfId="0" applyNumberFormat="1" applyFont="1" applyFill="1"/>
    <xf numFmtId="0" fontId="2" fillId="0" borderId="0" xfId="0" applyFont="1"/>
    <xf numFmtId="0" fontId="37" fillId="13" borderId="0" xfId="0" applyFont="1" applyFill="1" applyProtection="1">
      <protection locked="0"/>
    </xf>
    <xf numFmtId="0" fontId="37" fillId="0" borderId="0" xfId="0" applyFont="1"/>
    <xf numFmtId="20" fontId="37" fillId="13" borderId="0" xfId="0" applyNumberFormat="1" applyFont="1" applyFill="1" applyAlignment="1" applyProtection="1">
      <alignment horizont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37" fillId="8" borderId="0" xfId="0" applyFont="1" applyFill="1" applyProtection="1">
      <protection locked="0"/>
    </xf>
    <xf numFmtId="0" fontId="21" fillId="11" borderId="0" xfId="10" applyFont="1" applyFill="1" applyAlignment="1" applyProtection="1">
      <alignment horizontal="right"/>
    </xf>
    <xf numFmtId="0" fontId="21" fillId="11" borderId="0" xfId="10" applyFont="1" applyFill="1" applyAlignment="1" applyProtection="1"/>
    <xf numFmtId="0" fontId="5" fillId="11" borderId="0" xfId="10" applyFill="1" applyAlignment="1" applyProtection="1">
      <alignment horizontal="right"/>
    </xf>
    <xf numFmtId="0" fontId="5" fillId="9" borderId="0" xfId="10" applyFill="1" applyAlignment="1" applyProtection="1">
      <alignment horizontal="left"/>
      <protection locked="0"/>
    </xf>
    <xf numFmtId="0" fontId="5" fillId="9" borderId="0" xfId="10" applyFill="1" applyAlignment="1" applyProtection="1">
      <alignment horizontal="right"/>
      <protection locked="0"/>
    </xf>
    <xf numFmtId="0" fontId="4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45" fillId="7" borderId="0" xfId="0" applyFont="1" applyFill="1" applyProtection="1">
      <protection locked="0"/>
    </xf>
    <xf numFmtId="0" fontId="45" fillId="3" borderId="0" xfId="0" applyFont="1" applyFill="1" applyProtection="1">
      <protection locked="0"/>
    </xf>
    <xf numFmtId="0" fontId="45" fillId="5" borderId="0" xfId="0" applyFont="1" applyFill="1" applyProtection="1"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0" fillId="0" borderId="0" xfId="0" applyAlignment="1">
      <alignment vertical="top"/>
    </xf>
    <xf numFmtId="0" fontId="27" fillId="13" borderId="0" xfId="10" applyFont="1" applyFill="1" applyAlignment="1" applyProtection="1">
      <protection locked="0"/>
    </xf>
    <xf numFmtId="0" fontId="0" fillId="0" borderId="0" xfId="0" applyAlignment="1">
      <alignment vertical="top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6" fontId="15" fillId="5" borderId="3" xfId="0" applyNumberFormat="1" applyFont="1" applyFill="1" applyBorder="1" applyAlignment="1">
      <alignment horizontal="center"/>
    </xf>
    <xf numFmtId="166" fontId="15" fillId="5" borderId="3" xfId="0" applyNumberFormat="1" applyFont="1" applyFill="1" applyBorder="1" applyAlignment="1">
      <alignment wrapText="1"/>
    </xf>
    <xf numFmtId="166" fontId="15" fillId="5" borderId="3" xfId="0" applyNumberFormat="1" applyFont="1" applyFill="1" applyBorder="1"/>
    <xf numFmtId="166" fontId="0" fillId="5" borderId="3" xfId="0" applyNumberFormat="1" applyFill="1" applyBorder="1"/>
    <xf numFmtId="14" fontId="0" fillId="0" borderId="3" xfId="0" applyNumberFormat="1" applyBorder="1"/>
    <xf numFmtId="20" fontId="0" fillId="0" borderId="3" xfId="0" applyNumberFormat="1" applyBorder="1"/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2" fillId="5" borderId="26" xfId="0" applyFont="1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6" fillId="5" borderId="26" xfId="0" applyFont="1" applyFill="1" applyBorder="1"/>
    <xf numFmtId="0" fontId="10" fillId="0" borderId="0" xfId="0" applyFont="1"/>
    <xf numFmtId="0" fontId="52" fillId="14" borderId="4" xfId="0" applyFont="1" applyFill="1" applyBorder="1" applyAlignment="1">
      <alignment horizontal="center" vertical="distributed"/>
    </xf>
    <xf numFmtId="0" fontId="52" fillId="14" borderId="5" xfId="0" applyFont="1" applyFill="1" applyBorder="1" applyAlignment="1">
      <alignment horizontal="center" vertical="distributed"/>
    </xf>
    <xf numFmtId="170" fontId="52" fillId="14" borderId="5" xfId="0" applyNumberFormat="1" applyFont="1" applyFill="1" applyBorder="1" applyAlignment="1">
      <alignment horizontal="center" vertical="distributed"/>
    </xf>
    <xf numFmtId="170" fontId="54" fillId="14" borderId="5" xfId="0" applyNumberFormat="1" applyFont="1" applyFill="1" applyBorder="1" applyAlignment="1">
      <alignment horizontal="center" vertical="center" wrapText="1"/>
    </xf>
    <xf numFmtId="170" fontId="52" fillId="14" borderId="5" xfId="0" applyNumberFormat="1" applyFont="1" applyFill="1" applyBorder="1" applyAlignment="1">
      <alignment horizontal="center" vertical="center" wrapText="1"/>
    </xf>
    <xf numFmtId="2" fontId="12" fillId="8" borderId="8" xfId="0" applyNumberFormat="1" applyFont="1" applyFill="1" applyBorder="1" applyAlignment="1" applyProtection="1">
      <alignment horizontal="center" vertical="center"/>
      <protection locked="0"/>
    </xf>
    <xf numFmtId="2" fontId="12" fillId="9" borderId="8" xfId="0" applyNumberFormat="1" applyFont="1" applyFill="1" applyBorder="1" applyAlignment="1" applyProtection="1">
      <alignment horizontal="center" vertical="center"/>
      <protection locked="0"/>
    </xf>
    <xf numFmtId="2" fontId="12" fillId="10" borderId="8" xfId="0" applyNumberFormat="1" applyFont="1" applyFill="1" applyBorder="1" applyAlignment="1" applyProtection="1">
      <alignment horizontal="center" vertical="center"/>
      <protection locked="0"/>
    </xf>
    <xf numFmtId="0" fontId="55" fillId="6" borderId="0" xfId="10" applyFont="1" applyFill="1" applyAlignment="1" applyProtection="1"/>
    <xf numFmtId="170" fontId="10" fillId="6" borderId="0" xfId="0" applyNumberFormat="1" applyFont="1" applyFill="1"/>
    <xf numFmtId="171" fontId="10" fillId="6" borderId="0" xfId="0" applyNumberFormat="1" applyFont="1" applyFill="1"/>
    <xf numFmtId="0" fontId="10" fillId="6" borderId="0" xfId="0" applyFont="1" applyFill="1"/>
    <xf numFmtId="0" fontId="56" fillId="6" borderId="0" xfId="10" applyFont="1" applyFill="1" applyAlignment="1" applyProtection="1">
      <alignment horizontal="right"/>
    </xf>
    <xf numFmtId="0" fontId="12" fillId="6" borderId="0" xfId="0" applyFont="1" applyFill="1"/>
    <xf numFmtId="2" fontId="1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9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10" borderId="8" xfId="0" applyNumberFormat="1" applyFont="1" applyFill="1" applyBorder="1" applyAlignment="1" applyProtection="1">
      <alignment horizontal="left" vertical="center" wrapText="1"/>
      <protection locked="0"/>
    </xf>
    <xf numFmtId="0" fontId="57" fillId="13" borderId="0" xfId="0" applyFont="1" applyFill="1" applyProtection="1">
      <protection locked="0"/>
    </xf>
    <xf numFmtId="0" fontId="0" fillId="5" borderId="0" xfId="0" applyFill="1"/>
    <xf numFmtId="170" fontId="58" fillId="14" borderId="5" xfId="0" applyNumberFormat="1" applyFont="1" applyFill="1" applyBorder="1" applyAlignment="1">
      <alignment horizontal="center" vertical="center" wrapText="1"/>
    </xf>
    <xf numFmtId="0" fontId="56" fillId="6" borderId="0" xfId="10" applyFont="1" applyFill="1" applyAlignment="1" applyProtection="1"/>
    <xf numFmtId="0" fontId="59" fillId="6" borderId="0" xfId="10" applyFont="1" applyFill="1" applyAlignment="1" applyProtection="1">
      <alignment horizontal="right"/>
    </xf>
    <xf numFmtId="166" fontId="44" fillId="0" borderId="0" xfId="0" applyNumberFormat="1" applyFont="1" applyAlignment="1">
      <alignment horizontal="center"/>
    </xf>
    <xf numFmtId="0" fontId="6" fillId="4" borderId="27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 wrapText="1"/>
    </xf>
    <xf numFmtId="0" fontId="36" fillId="5" borderId="4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20" fontId="2" fillId="8" borderId="24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 applyProtection="1">
      <alignment horizontal="center" vertical="center"/>
      <protection locked="0"/>
    </xf>
    <xf numFmtId="176" fontId="2" fillId="8" borderId="30" xfId="0" applyNumberFormat="1" applyFont="1" applyFill="1" applyBorder="1" applyAlignment="1">
      <alignment horizontal="center" vertical="center"/>
    </xf>
    <xf numFmtId="20" fontId="2" fillId="9" borderId="24" xfId="0" applyNumberFormat="1" applyFont="1" applyFill="1" applyBorder="1" applyAlignment="1">
      <alignment horizontal="center" vertical="center"/>
    </xf>
    <xf numFmtId="166" fontId="2" fillId="9" borderId="6" xfId="0" applyNumberFormat="1" applyFont="1" applyFill="1" applyBorder="1" applyAlignment="1" applyProtection="1">
      <alignment horizontal="center" vertical="center"/>
      <protection locked="0"/>
    </xf>
    <xf numFmtId="176" fontId="2" fillId="9" borderId="30" xfId="0" applyNumberFormat="1" applyFont="1" applyFill="1" applyBorder="1" applyAlignment="1">
      <alignment horizontal="center" vertical="center"/>
    </xf>
    <xf numFmtId="20" fontId="2" fillId="10" borderId="24" xfId="0" applyNumberFormat="1" applyFont="1" applyFill="1" applyBorder="1" applyAlignment="1">
      <alignment horizontal="center" vertical="center"/>
    </xf>
    <xf numFmtId="166" fontId="2" fillId="10" borderId="6" xfId="0" applyNumberFormat="1" applyFont="1" applyFill="1" applyBorder="1" applyAlignment="1" applyProtection="1">
      <alignment horizontal="center" vertical="center"/>
      <protection locked="0"/>
    </xf>
    <xf numFmtId="176" fontId="2" fillId="10" borderId="30" xfId="0" applyNumberFormat="1" applyFont="1" applyFill="1" applyBorder="1" applyAlignment="1">
      <alignment horizontal="center" vertical="center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6" fontId="2" fillId="8" borderId="12" xfId="0" applyNumberFormat="1" applyFont="1" applyFill="1" applyBorder="1" applyAlignment="1" applyProtection="1">
      <alignment horizontal="center" vertical="center"/>
      <protection locked="0"/>
    </xf>
    <xf numFmtId="0" fontId="25" fillId="11" borderId="11" xfId="0" applyFont="1" applyFill="1" applyBorder="1" applyAlignment="1">
      <alignment horizontal="left" vertical="center"/>
    </xf>
    <xf numFmtId="0" fontId="25" fillId="11" borderId="1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center" wrapText="1"/>
    </xf>
    <xf numFmtId="0" fontId="12" fillId="11" borderId="0" xfId="0" applyFont="1" applyFill="1"/>
    <xf numFmtId="0" fontId="0" fillId="11" borderId="0" xfId="0" applyFill="1"/>
    <xf numFmtId="0" fontId="36" fillId="5" borderId="23" xfId="0" applyFont="1" applyFill="1" applyBorder="1" applyAlignment="1">
      <alignment horizontal="center" vertical="center"/>
    </xf>
    <xf numFmtId="166" fontId="2" fillId="8" borderId="24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66" fontId="2" fillId="10" borderId="24" xfId="0" applyNumberFormat="1" applyFont="1" applyFill="1" applyBorder="1" applyAlignment="1" applyProtection="1">
      <alignment horizontal="center" vertical="center"/>
      <protection locked="0"/>
    </xf>
    <xf numFmtId="178" fontId="0" fillId="11" borderId="0" xfId="0" applyNumberFormat="1" applyFill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/>
    <xf numFmtId="0" fontId="0" fillId="3" borderId="35" xfId="0" applyFill="1" applyBorder="1"/>
    <xf numFmtId="0" fontId="0" fillId="3" borderId="36" xfId="0" applyFill="1" applyBorder="1"/>
    <xf numFmtId="0" fontId="1" fillId="3" borderId="0" xfId="0" applyFont="1" applyFill="1"/>
    <xf numFmtId="22" fontId="1" fillId="3" borderId="0" xfId="0" applyNumberFormat="1" applyFont="1" applyFill="1"/>
    <xf numFmtId="0" fontId="10" fillId="3" borderId="35" xfId="0" applyFont="1" applyFill="1" applyBorder="1"/>
    <xf numFmtId="0" fontId="10" fillId="3" borderId="36" xfId="0" applyFont="1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1" fillId="9" borderId="0" xfId="0" applyFont="1" applyFill="1"/>
    <xf numFmtId="0" fontId="0" fillId="9" borderId="0" xfId="0" applyFill="1"/>
    <xf numFmtId="0" fontId="30" fillId="11" borderId="40" xfId="0" applyFont="1" applyFill="1" applyBorder="1"/>
    <xf numFmtId="0" fontId="30" fillId="11" borderId="40" xfId="0" applyFont="1" applyFill="1" applyBorder="1" applyAlignment="1">
      <alignment horizontal="center"/>
    </xf>
    <xf numFmtId="0" fontId="30" fillId="4" borderId="40" xfId="0" applyFont="1" applyFill="1" applyBorder="1"/>
    <xf numFmtId="173" fontId="25" fillId="5" borderId="5" xfId="0" applyNumberFormat="1" applyFont="1" applyFill="1" applyBorder="1" applyAlignment="1">
      <alignment horizontal="center" vertical="distributed"/>
    </xf>
    <xf numFmtId="173" fontId="25" fillId="5" borderId="9" xfId="0" applyNumberFormat="1" applyFont="1" applyFill="1" applyBorder="1" applyAlignment="1">
      <alignment horizontal="center" vertical="distributed"/>
    </xf>
    <xf numFmtId="173" fontId="25" fillId="5" borderId="13" xfId="0" applyNumberFormat="1" applyFont="1" applyFill="1" applyBorder="1" applyAlignment="1" applyProtection="1">
      <alignment horizontal="center" vertical="center"/>
      <protection locked="0"/>
    </xf>
    <xf numFmtId="0" fontId="24" fillId="6" borderId="0" xfId="0" applyFont="1" applyFill="1" applyAlignment="1">
      <alignment horizontal="right"/>
    </xf>
    <xf numFmtId="4" fontId="24" fillId="17" borderId="13" xfId="0" applyNumberFormat="1" applyFont="1" applyFill="1" applyBorder="1" applyAlignment="1">
      <alignment horizontal="center"/>
    </xf>
    <xf numFmtId="2" fontId="12" fillId="8" borderId="3" xfId="15" applyNumberFormat="1" applyFont="1" applyFill="1" applyBorder="1" applyAlignment="1" applyProtection="1">
      <alignment horizontal="center" vertical="center"/>
      <protection locked="0"/>
    </xf>
    <xf numFmtId="2" fontId="12" fillId="8" borderId="3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 applyProtection="1">
      <alignment horizontal="center" vertical="center"/>
      <protection locked="0"/>
    </xf>
    <xf numFmtId="2" fontId="12" fillId="9" borderId="3" xfId="0" applyNumberFormat="1" applyFont="1" applyFill="1" applyBorder="1" applyAlignment="1">
      <alignment horizontal="center" vertical="center"/>
    </xf>
    <xf numFmtId="2" fontId="12" fillId="10" borderId="3" xfId="0" applyNumberFormat="1" applyFont="1" applyFill="1" applyBorder="1" applyAlignment="1" applyProtection="1">
      <alignment horizontal="center" vertical="center"/>
      <protection locked="0"/>
    </xf>
    <xf numFmtId="2" fontId="12" fillId="8" borderId="8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/>
    </xf>
    <xf numFmtId="2" fontId="24" fillId="11" borderId="3" xfId="0" applyNumberFormat="1" applyFont="1" applyFill="1" applyBorder="1" applyAlignment="1">
      <alignment horizontal="center"/>
    </xf>
    <xf numFmtId="2" fontId="24" fillId="17" borderId="12" xfId="0" applyNumberFormat="1" applyFont="1" applyFill="1" applyBorder="1" applyAlignment="1">
      <alignment horizontal="center"/>
    </xf>
    <xf numFmtId="2" fontId="12" fillId="8" borderId="3" xfId="0" applyNumberFormat="1" applyFont="1" applyFill="1" applyBorder="1" applyAlignment="1" applyProtection="1">
      <alignment horizontal="center"/>
      <protection locked="0"/>
    </xf>
    <xf numFmtId="2" fontId="12" fillId="9" borderId="3" xfId="0" applyNumberFormat="1" applyFont="1" applyFill="1" applyBorder="1" applyAlignment="1" applyProtection="1">
      <alignment horizontal="center"/>
      <protection locked="0"/>
    </xf>
    <xf numFmtId="2" fontId="12" fillId="10" borderId="3" xfId="0" applyNumberFormat="1" applyFont="1" applyFill="1" applyBorder="1" applyAlignment="1" applyProtection="1">
      <alignment horizontal="center"/>
      <protection locked="0"/>
    </xf>
    <xf numFmtId="2" fontId="24" fillId="7" borderId="3" xfId="0" applyNumberFormat="1" applyFont="1" applyFill="1" applyBorder="1" applyAlignment="1">
      <alignment horizontal="center"/>
    </xf>
    <xf numFmtId="2" fontId="24" fillId="17" borderId="3" xfId="0" applyNumberFormat="1" applyFont="1" applyFill="1" applyBorder="1" applyAlignment="1">
      <alignment horizontal="center"/>
    </xf>
    <xf numFmtId="2" fontId="24" fillId="7" borderId="12" xfId="0" applyNumberFormat="1" applyFont="1" applyFill="1" applyBorder="1" applyAlignment="1">
      <alignment horizontal="center"/>
    </xf>
    <xf numFmtId="166" fontId="2" fillId="8" borderId="3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166" fontId="2" fillId="10" borderId="30" xfId="0" applyNumberFormat="1" applyFont="1" applyFill="1" applyBorder="1" applyAlignment="1" applyProtection="1">
      <alignment horizontal="center" vertical="center"/>
      <protection locked="0"/>
    </xf>
    <xf numFmtId="0" fontId="36" fillId="5" borderId="41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166" fontId="0" fillId="6" borderId="0" xfId="0" applyNumberFormat="1" applyFill="1"/>
    <xf numFmtId="168" fontId="0" fillId="6" borderId="0" xfId="0" applyNumberFormat="1" applyFill="1"/>
    <xf numFmtId="166" fontId="0" fillId="11" borderId="0" xfId="0" applyNumberFormat="1" applyFill="1"/>
    <xf numFmtId="168" fontId="0" fillId="11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64" fillId="4" borderId="16" xfId="0" applyFont="1" applyFill="1" applyBorder="1" applyAlignment="1">
      <alignment vertical="center"/>
    </xf>
    <xf numFmtId="0" fontId="64" fillId="4" borderId="16" xfId="0" applyFont="1" applyFill="1" applyBorder="1" applyAlignment="1">
      <alignment vertical="center" textRotation="90"/>
    </xf>
    <xf numFmtId="0" fontId="64" fillId="4" borderId="0" xfId="0" applyFont="1" applyFill="1" applyAlignment="1">
      <alignment vertical="center" textRotation="90"/>
    </xf>
    <xf numFmtId="0" fontId="64" fillId="4" borderId="0" xfId="0" applyFont="1" applyFill="1" applyAlignment="1">
      <alignment vertical="center"/>
    </xf>
    <xf numFmtId="0" fontId="64" fillId="4" borderId="21" xfId="0" applyFont="1" applyFill="1" applyBorder="1" applyAlignment="1">
      <alignment vertical="center" textRotation="90"/>
    </xf>
    <xf numFmtId="0" fontId="7" fillId="4" borderId="40" xfId="0" applyFont="1" applyFill="1" applyBorder="1" applyAlignment="1">
      <alignment vertical="center" textRotation="90"/>
    </xf>
    <xf numFmtId="166" fontId="0" fillId="5" borderId="3" xfId="0" applyNumberFormat="1" applyFill="1" applyBorder="1" applyAlignment="1">
      <alignment horizontal="center" vertical="center" wrapText="1"/>
    </xf>
    <xf numFmtId="4" fontId="66" fillId="6" borderId="0" xfId="0" applyNumberFormat="1" applyFont="1" applyFill="1" applyAlignment="1">
      <alignment horizontal="center"/>
    </xf>
    <xf numFmtId="4" fontId="67" fillId="6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justify" vertical="distributed"/>
    </xf>
    <xf numFmtId="0" fontId="30" fillId="3" borderId="0" xfId="0" applyFont="1" applyFill="1"/>
    <xf numFmtId="166" fontId="0" fillId="5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1" fillId="5" borderId="3" xfId="11" applyNumberFormat="1" applyFont="1" applyFill="1" applyBorder="1" applyAlignment="1">
      <alignment horizontal="center"/>
    </xf>
    <xf numFmtId="0" fontId="23" fillId="13" borderId="0" xfId="0" applyFont="1" applyFill="1" applyProtection="1">
      <protection locked="0"/>
    </xf>
    <xf numFmtId="2" fontId="12" fillId="21" borderId="3" xfId="0" applyNumberFormat="1" applyFont="1" applyFill="1" applyBorder="1" applyAlignment="1">
      <alignment horizontal="center" vertical="center"/>
    </xf>
    <xf numFmtId="0" fontId="64" fillId="4" borderId="20" xfId="0" applyFont="1" applyFill="1" applyBorder="1" applyAlignment="1">
      <alignment vertical="center" textRotation="90"/>
    </xf>
    <xf numFmtId="0" fontId="65" fillId="4" borderId="0" xfId="0" applyFont="1" applyFill="1"/>
    <xf numFmtId="0" fontId="64" fillId="4" borderId="17" xfId="0" applyFont="1" applyFill="1" applyBorder="1" applyAlignment="1">
      <alignment vertical="center" textRotation="90"/>
    </xf>
    <xf numFmtId="0" fontId="64" fillId="4" borderId="19" xfId="0" applyFont="1" applyFill="1" applyBorder="1" applyAlignment="1">
      <alignment vertical="center" textRotation="90"/>
    </xf>
    <xf numFmtId="0" fontId="65" fillId="4" borderId="19" xfId="0" applyFont="1" applyFill="1" applyBorder="1"/>
    <xf numFmtId="0" fontId="64" fillId="4" borderId="2" xfId="0" applyFont="1" applyFill="1" applyBorder="1" applyAlignment="1">
      <alignment vertical="center" textRotation="90"/>
    </xf>
    <xf numFmtId="20" fontId="2" fillId="8" borderId="31" xfId="0" applyNumberFormat="1" applyFont="1" applyFill="1" applyBorder="1" applyAlignment="1">
      <alignment horizontal="center"/>
    </xf>
    <xf numFmtId="0" fontId="5" fillId="11" borderId="0" xfId="10" applyFill="1" applyAlignment="1" applyProtection="1"/>
    <xf numFmtId="0" fontId="68" fillId="11" borderId="0" xfId="0" applyFont="1" applyFill="1"/>
    <xf numFmtId="0" fontId="69" fillId="11" borderId="0" xfId="0" applyFont="1" applyFill="1"/>
    <xf numFmtId="0" fontId="70" fillId="11" borderId="0" xfId="10" applyFont="1" applyFill="1" applyAlignment="1" applyProtection="1"/>
    <xf numFmtId="0" fontId="70" fillId="11" borderId="0" xfId="10" applyFont="1" applyFill="1" applyAlignment="1" applyProtection="1">
      <alignment horizontal="right"/>
    </xf>
    <xf numFmtId="166" fontId="2" fillId="8" borderId="25" xfId="0" applyNumberFormat="1" applyFont="1" applyFill="1" applyBorder="1" applyAlignment="1" applyProtection="1">
      <alignment horizontal="center" vertical="center"/>
      <protection locked="0"/>
    </xf>
    <xf numFmtId="166" fontId="2" fillId="8" borderId="10" xfId="0" applyNumberFormat="1" applyFont="1" applyFill="1" applyBorder="1" applyAlignment="1" applyProtection="1">
      <alignment horizontal="center" vertical="center"/>
      <protection locked="0"/>
    </xf>
    <xf numFmtId="166" fontId="2" fillId="9" borderId="10" xfId="0" applyNumberFormat="1" applyFont="1" applyFill="1" applyBorder="1" applyAlignment="1" applyProtection="1">
      <alignment horizontal="center" vertical="center"/>
      <protection locked="0"/>
    </xf>
    <xf numFmtId="166" fontId="2" fillId="10" borderId="10" xfId="0" applyNumberFormat="1" applyFont="1" applyFill="1" applyBorder="1" applyAlignment="1" applyProtection="1">
      <alignment horizontal="center" vertical="center"/>
      <protection locked="0"/>
    </xf>
    <xf numFmtId="0" fontId="52" fillId="18" borderId="0" xfId="0" applyFont="1" applyFill="1" applyAlignment="1" applyProtection="1">
      <alignment horizontal="center"/>
      <protection locked="0"/>
    </xf>
    <xf numFmtId="2" fontId="7" fillId="13" borderId="3" xfId="0" applyNumberFormat="1" applyFont="1" applyFill="1" applyBorder="1" applyAlignment="1" applyProtection="1">
      <alignment horizontal="center" vertical="center"/>
      <protection locked="0"/>
    </xf>
    <xf numFmtId="166" fontId="71" fillId="0" borderId="0" xfId="0" applyNumberFormat="1" applyFont="1" applyAlignment="1">
      <alignment horizontal="center"/>
    </xf>
    <xf numFmtId="187" fontId="29" fillId="8" borderId="0" xfId="0" applyNumberFormat="1" applyFont="1" applyFill="1" applyProtection="1">
      <protection locked="0"/>
    </xf>
    <xf numFmtId="0" fontId="5" fillId="0" borderId="0" xfId="0" applyFont="1" applyAlignment="1">
      <alignment vertical="top"/>
    </xf>
    <xf numFmtId="0" fontId="73" fillId="22" borderId="10" xfId="0" applyFont="1" applyFill="1" applyBorder="1" applyAlignment="1" applyProtection="1">
      <alignment horizontal="center" vertical="center"/>
      <protection locked="0"/>
    </xf>
    <xf numFmtId="0" fontId="73" fillId="22" borderId="3" xfId="0" applyFont="1" applyFill="1" applyBorder="1" applyAlignment="1" applyProtection="1">
      <alignment horizontal="center" vertical="center"/>
      <protection locked="0"/>
    </xf>
    <xf numFmtId="0" fontId="30" fillId="3" borderId="52" xfId="0" applyFont="1" applyFill="1" applyBorder="1" applyAlignment="1" applyProtection="1">
      <alignment horizontal="left" vertical="distributed"/>
      <protection locked="0"/>
    </xf>
    <xf numFmtId="0" fontId="30" fillId="3" borderId="53" xfId="0" applyFont="1" applyFill="1" applyBorder="1" applyAlignment="1" applyProtection="1">
      <alignment horizontal="left" vertical="distributed"/>
      <protection locked="0"/>
    </xf>
    <xf numFmtId="0" fontId="30" fillId="3" borderId="40" xfId="0" applyFont="1" applyFill="1" applyBorder="1" applyAlignment="1" applyProtection="1">
      <alignment horizontal="left" vertical="distributed"/>
      <protection locked="0"/>
    </xf>
    <xf numFmtId="0" fontId="0" fillId="0" borderId="30" xfId="0" applyBorder="1"/>
    <xf numFmtId="0" fontId="0" fillId="0" borderId="24" xfId="0" applyBorder="1"/>
    <xf numFmtId="0" fontId="0" fillId="0" borderId="52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20" fontId="0" fillId="0" borderId="14" xfId="0" applyNumberFormat="1" applyBorder="1"/>
    <xf numFmtId="0" fontId="0" fillId="0" borderId="14" xfId="0" applyBorder="1"/>
    <xf numFmtId="0" fontId="0" fillId="0" borderId="45" xfId="0" applyBorder="1"/>
    <xf numFmtId="2" fontId="74" fillId="26" borderId="3" xfId="0" applyNumberFormat="1" applyFont="1" applyFill="1" applyBorder="1" applyAlignment="1" applyProtection="1">
      <alignment horizontal="center" vertical="center"/>
      <protection locked="0"/>
    </xf>
    <xf numFmtId="2" fontId="74" fillId="26" borderId="10" xfId="0" applyNumberFormat="1" applyFont="1" applyFill="1" applyBorder="1" applyAlignment="1" applyProtection="1">
      <alignment horizontal="center" vertical="center"/>
      <protection locked="0"/>
    </xf>
    <xf numFmtId="2" fontId="72" fillId="23" borderId="3" xfId="0" applyNumberFormat="1" applyFont="1" applyFill="1" applyBorder="1" applyAlignment="1" applyProtection="1">
      <alignment horizontal="center" vertical="center"/>
      <protection locked="0"/>
    </xf>
    <xf numFmtId="2" fontId="72" fillId="23" borderId="10" xfId="0" applyNumberFormat="1" applyFont="1" applyFill="1" applyBorder="1" applyAlignment="1" applyProtection="1">
      <alignment horizontal="center" vertical="center"/>
      <protection locked="0"/>
    </xf>
    <xf numFmtId="2" fontId="72" fillId="25" borderId="3" xfId="0" applyNumberFormat="1" applyFont="1" applyFill="1" applyBorder="1" applyAlignment="1" applyProtection="1">
      <alignment horizontal="center" vertical="center"/>
      <protection locked="0"/>
    </xf>
    <xf numFmtId="2" fontId="72" fillId="25" borderId="10" xfId="0" applyNumberFormat="1" applyFont="1" applyFill="1" applyBorder="1" applyAlignment="1" applyProtection="1">
      <alignment horizontal="center" vertical="center"/>
      <protection locked="0"/>
    </xf>
    <xf numFmtId="2" fontId="72" fillId="24" borderId="3" xfId="0" applyNumberFormat="1" applyFont="1" applyFill="1" applyBorder="1" applyAlignment="1" applyProtection="1">
      <alignment horizontal="center" vertical="center"/>
      <protection locked="0"/>
    </xf>
    <xf numFmtId="2" fontId="72" fillId="24" borderId="10" xfId="0" applyNumberFormat="1" applyFont="1" applyFill="1" applyBorder="1" applyAlignment="1" applyProtection="1">
      <alignment horizontal="center" vertical="center"/>
      <protection locked="0"/>
    </xf>
    <xf numFmtId="2" fontId="72" fillId="3" borderId="3" xfId="0" applyNumberFormat="1" applyFont="1" applyFill="1" applyBorder="1" applyAlignment="1" applyProtection="1">
      <alignment horizontal="center" vertical="center"/>
      <protection locked="0"/>
    </xf>
    <xf numFmtId="2" fontId="72" fillId="3" borderId="10" xfId="0" applyNumberFormat="1" applyFont="1" applyFill="1" applyBorder="1" applyAlignment="1" applyProtection="1">
      <alignment horizontal="center" vertical="center"/>
      <protection locked="0"/>
    </xf>
    <xf numFmtId="174" fontId="7" fillId="4" borderId="54" xfId="14" applyNumberFormat="1" applyFont="1" applyFill="1" applyBorder="1" applyAlignment="1">
      <alignment vertical="center" wrapText="1"/>
    </xf>
    <xf numFmtId="40" fontId="7" fillId="4" borderId="54" xfId="14" applyNumberFormat="1" applyFont="1" applyFill="1" applyBorder="1" applyAlignment="1">
      <alignment vertical="center"/>
    </xf>
    <xf numFmtId="174" fontId="7" fillId="4" borderId="58" xfId="14" applyNumberFormat="1" applyFont="1" applyFill="1" applyBorder="1" applyAlignment="1">
      <alignment vertical="center" wrapText="1"/>
    </xf>
    <xf numFmtId="15" fontId="7" fillId="4" borderId="58" xfId="14" applyNumberFormat="1" applyFont="1" applyFill="1" applyBorder="1" applyAlignment="1">
      <alignment horizontal="center" vertical="center"/>
    </xf>
    <xf numFmtId="20" fontId="7" fillId="4" borderId="58" xfId="14" applyNumberFormat="1" applyFont="1" applyFill="1" applyBorder="1" applyAlignment="1">
      <alignment horizontal="center" vertical="center"/>
    </xf>
    <xf numFmtId="40" fontId="7" fillId="4" borderId="58" xfId="14" applyNumberFormat="1" applyFont="1" applyFill="1" applyBorder="1" applyAlignment="1">
      <alignment vertical="center"/>
    </xf>
    <xf numFmtId="1" fontId="7" fillId="4" borderId="58" xfId="14" applyNumberFormat="1" applyFont="1" applyFill="1" applyBorder="1" applyAlignment="1">
      <alignment horizontal="center" vertical="center" wrapText="1"/>
    </xf>
    <xf numFmtId="173" fontId="7" fillId="4" borderId="58" xfId="14" applyNumberFormat="1" applyFont="1" applyFill="1" applyBorder="1" applyAlignment="1">
      <alignment horizontal="center" vertical="center" wrapText="1"/>
    </xf>
    <xf numFmtId="0" fontId="36" fillId="5" borderId="59" xfId="0" applyFont="1" applyFill="1" applyBorder="1" applyAlignment="1">
      <alignment horizontal="center" vertical="center"/>
    </xf>
    <xf numFmtId="20" fontId="2" fillId="8" borderId="6" xfId="0" applyNumberFormat="1" applyFont="1" applyFill="1" applyBorder="1" applyAlignment="1">
      <alignment horizontal="center" vertical="center"/>
    </xf>
    <xf numFmtId="166" fontId="2" fillId="8" borderId="60" xfId="0" applyNumberFormat="1" applyFont="1" applyFill="1" applyBorder="1" applyAlignment="1" applyProtection="1">
      <alignment horizontal="center" vertical="center"/>
      <protection locked="0"/>
    </xf>
    <xf numFmtId="20" fontId="2" fillId="9" borderId="6" xfId="0" applyNumberFormat="1" applyFont="1" applyFill="1" applyBorder="1" applyAlignment="1">
      <alignment horizontal="center" vertical="center"/>
    </xf>
    <xf numFmtId="166" fontId="2" fillId="9" borderId="60" xfId="0" applyNumberFormat="1" applyFont="1" applyFill="1" applyBorder="1" applyAlignment="1" applyProtection="1">
      <alignment horizontal="center" vertical="center"/>
      <protection locked="0"/>
    </xf>
    <xf numFmtId="20" fontId="2" fillId="10" borderId="6" xfId="0" applyNumberFormat="1" applyFont="1" applyFill="1" applyBorder="1" applyAlignment="1">
      <alignment horizontal="center" vertical="center"/>
    </xf>
    <xf numFmtId="166" fontId="2" fillId="10" borderId="60" xfId="0" applyNumberFormat="1" applyFont="1" applyFill="1" applyBorder="1" applyAlignment="1" applyProtection="1">
      <alignment horizontal="center" vertical="center"/>
      <protection locked="0"/>
    </xf>
    <xf numFmtId="166" fontId="2" fillId="8" borderId="44" xfId="0" applyNumberFormat="1" applyFont="1" applyFill="1" applyBorder="1" applyAlignment="1" applyProtection="1">
      <alignment horizontal="center" vertical="center"/>
      <protection locked="0"/>
    </xf>
    <xf numFmtId="20" fontId="2" fillId="8" borderId="10" xfId="0" applyNumberFormat="1" applyFont="1" applyFill="1" applyBorder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2" fillId="10" borderId="10" xfId="0" applyNumberFormat="1" applyFont="1" applyFill="1" applyBorder="1" applyAlignment="1">
      <alignment horizontal="center" vertical="center"/>
    </xf>
    <xf numFmtId="20" fontId="2" fillId="8" borderId="31" xfId="0" applyNumberFormat="1" applyFont="1" applyFill="1" applyBorder="1" applyAlignment="1">
      <alignment horizontal="center" vertical="center"/>
    </xf>
    <xf numFmtId="20" fontId="2" fillId="8" borderId="13" xfId="0" applyNumberFormat="1" applyFont="1" applyFill="1" applyBorder="1" applyAlignment="1">
      <alignment horizontal="center" vertical="center"/>
    </xf>
    <xf numFmtId="20" fontId="2" fillId="8" borderId="25" xfId="0" applyNumberFormat="1" applyFont="1" applyFill="1" applyBorder="1" applyAlignment="1">
      <alignment horizontal="center" vertical="center"/>
    </xf>
    <xf numFmtId="176" fontId="2" fillId="8" borderId="63" xfId="0" applyNumberFormat="1" applyFont="1" applyFill="1" applyBorder="1" applyAlignment="1">
      <alignment horizontal="center" vertical="center"/>
    </xf>
    <xf numFmtId="176" fontId="2" fillId="9" borderId="63" xfId="0" applyNumberFormat="1" applyFont="1" applyFill="1" applyBorder="1" applyAlignment="1">
      <alignment horizontal="center" vertical="center"/>
    </xf>
    <xf numFmtId="176" fontId="2" fillId="10" borderId="63" xfId="0" applyNumberFormat="1" applyFont="1" applyFill="1" applyBorder="1" applyAlignment="1">
      <alignment horizontal="center" vertical="center"/>
    </xf>
    <xf numFmtId="176" fontId="10" fillId="5" borderId="64" xfId="0" applyNumberFormat="1" applyFont="1" applyFill="1" applyBorder="1" applyAlignment="1">
      <alignment horizontal="center" vertical="center"/>
    </xf>
    <xf numFmtId="166" fontId="2" fillId="8" borderId="13" xfId="0" applyNumberFormat="1" applyFont="1" applyFill="1" applyBorder="1" applyAlignment="1" applyProtection="1">
      <alignment horizontal="center" vertical="center"/>
      <protection locked="0"/>
    </xf>
    <xf numFmtId="0" fontId="36" fillId="4" borderId="65" xfId="0" applyFont="1" applyFill="1" applyBorder="1" applyAlignment="1">
      <alignment horizontal="center"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0" fontId="36" fillId="4" borderId="69" xfId="0" applyFont="1" applyFill="1" applyBorder="1" applyAlignment="1">
      <alignment horizontal="center" vertical="center"/>
    </xf>
    <xf numFmtId="20" fontId="2" fillId="8" borderId="49" xfId="0" applyNumberFormat="1" applyFont="1" applyFill="1" applyBorder="1" applyAlignment="1">
      <alignment horizontal="center" vertical="center"/>
    </xf>
    <xf numFmtId="20" fontId="2" fillId="8" borderId="70" xfId="0" applyNumberFormat="1" applyFont="1" applyFill="1" applyBorder="1" applyAlignment="1">
      <alignment horizontal="center" vertical="center"/>
    </xf>
    <xf numFmtId="166" fontId="2" fillId="8" borderId="49" xfId="0" applyNumberFormat="1" applyFont="1" applyFill="1" applyBorder="1" applyAlignment="1" applyProtection="1">
      <alignment horizontal="center" vertical="center"/>
      <protection locked="0"/>
    </xf>
    <xf numFmtId="166" fontId="2" fillId="8" borderId="14" xfId="0" applyNumberFormat="1" applyFont="1" applyFill="1" applyBorder="1" applyAlignment="1" applyProtection="1">
      <alignment horizontal="center" vertical="center"/>
      <protection locked="0"/>
    </xf>
    <xf numFmtId="166" fontId="2" fillId="8" borderId="45" xfId="0" applyNumberFormat="1" applyFont="1" applyFill="1" applyBorder="1" applyAlignment="1" applyProtection="1">
      <alignment horizontal="center" vertical="center"/>
      <protection locked="0"/>
    </xf>
    <xf numFmtId="166" fontId="2" fillId="8" borderId="52" xfId="0" applyNumberFormat="1" applyFont="1" applyFill="1" applyBorder="1" applyAlignment="1" applyProtection="1">
      <alignment horizontal="center" vertical="center"/>
      <protection locked="0"/>
    </xf>
    <xf numFmtId="166" fontId="2" fillId="8" borderId="70" xfId="0" applyNumberFormat="1" applyFont="1" applyFill="1" applyBorder="1" applyAlignment="1" applyProtection="1">
      <alignment horizontal="center" vertical="center"/>
      <protection locked="0"/>
    </xf>
    <xf numFmtId="0" fontId="36" fillId="4" borderId="71" xfId="0" applyFont="1" applyFill="1" applyBorder="1" applyAlignment="1">
      <alignment horizontal="center" vertical="center"/>
    </xf>
    <xf numFmtId="0" fontId="36" fillId="4" borderId="73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0" fontId="36" fillId="4" borderId="75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4" fontId="10" fillId="5" borderId="14" xfId="0" applyNumberFormat="1" applyFont="1" applyFill="1" applyBorder="1" applyAlignment="1">
      <alignment horizontal="center" vertical="center"/>
    </xf>
    <xf numFmtId="4" fontId="2" fillId="8" borderId="60" xfId="0" applyNumberFormat="1" applyFont="1" applyFill="1" applyBorder="1" applyAlignment="1">
      <alignment horizontal="center" vertical="center"/>
    </xf>
    <xf numFmtId="4" fontId="2" fillId="9" borderId="60" xfId="0" applyNumberFormat="1" applyFont="1" applyFill="1" applyBorder="1" applyAlignment="1">
      <alignment horizontal="center" vertical="center"/>
    </xf>
    <xf numFmtId="4" fontId="2" fillId="10" borderId="60" xfId="0" applyNumberFormat="1" applyFont="1" applyFill="1" applyBorder="1" applyAlignment="1">
      <alignment horizontal="center" vertical="center"/>
    </xf>
    <xf numFmtId="176" fontId="2" fillId="8" borderId="42" xfId="0" applyNumberFormat="1" applyFont="1" applyFill="1" applyBorder="1" applyAlignment="1">
      <alignment horizontal="center" vertical="center"/>
    </xf>
    <xf numFmtId="4" fontId="2" fillId="8" borderId="44" xfId="0" applyNumberFormat="1" applyFont="1" applyFill="1" applyBorder="1" applyAlignment="1">
      <alignment horizontal="center" vertical="center"/>
    </xf>
    <xf numFmtId="20" fontId="2" fillId="8" borderId="45" xfId="0" applyNumberFormat="1" applyFont="1" applyFill="1" applyBorder="1" applyAlignment="1">
      <alignment horizontal="center" vertical="center"/>
    </xf>
    <xf numFmtId="166" fontId="2" fillId="8" borderId="53" xfId="0" applyNumberFormat="1" applyFont="1" applyFill="1" applyBorder="1" applyAlignment="1" applyProtection="1">
      <alignment horizontal="center" vertical="center"/>
      <protection locked="0"/>
    </xf>
    <xf numFmtId="176" fontId="2" fillId="8" borderId="52" xfId="0" applyNumberFormat="1" applyFont="1" applyFill="1" applyBorder="1" applyAlignment="1">
      <alignment horizontal="center" vertical="center"/>
    </xf>
    <xf numFmtId="4" fontId="2" fillId="8" borderId="53" xfId="0" applyNumberFormat="1" applyFont="1" applyFill="1" applyBorder="1" applyAlignment="1">
      <alignment horizontal="center" vertical="center"/>
    </xf>
    <xf numFmtId="0" fontId="36" fillId="5" borderId="71" xfId="0" applyFont="1" applyFill="1" applyBorder="1" applyAlignment="1">
      <alignment horizontal="center" vertical="center"/>
    </xf>
    <xf numFmtId="0" fontId="36" fillId="5" borderId="73" xfId="0" applyFont="1" applyFill="1" applyBorder="1" applyAlignment="1">
      <alignment horizontal="center" vertical="center"/>
    </xf>
    <xf numFmtId="0" fontId="36" fillId="5" borderId="75" xfId="0" applyFont="1" applyFill="1" applyBorder="1" applyAlignment="1">
      <alignment horizontal="center" vertical="center"/>
    </xf>
    <xf numFmtId="0" fontId="36" fillId="5" borderId="74" xfId="0" applyFont="1" applyFill="1" applyBorder="1" applyAlignment="1">
      <alignment horizontal="center" vertical="center"/>
    </xf>
    <xf numFmtId="0" fontId="36" fillId="5" borderId="29" xfId="0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/>
    </xf>
    <xf numFmtId="166" fontId="1" fillId="5" borderId="3" xfId="0" applyNumberFormat="1" applyFont="1" applyFill="1" applyBorder="1"/>
    <xf numFmtId="167" fontId="1" fillId="5" borderId="3" xfId="0" applyNumberFormat="1" applyFont="1" applyFill="1" applyBorder="1" applyAlignment="1">
      <alignment horizontal="center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4" fillId="13" borderId="27" xfId="10" applyFont="1" applyFill="1" applyBorder="1" applyAlignment="1" applyProtection="1">
      <alignment horizontal="center" vertical="center"/>
      <protection locked="0"/>
    </xf>
    <xf numFmtId="0" fontId="4" fillId="13" borderId="28" xfId="10" applyFont="1" applyFill="1" applyBorder="1" applyAlignment="1" applyProtection="1">
      <alignment horizontal="center" vertical="center"/>
      <protection locked="0"/>
    </xf>
    <xf numFmtId="0" fontId="4" fillId="13" borderId="29" xfId="1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4" fillId="6" borderId="27" xfId="10" applyFont="1" applyFill="1" applyBorder="1" applyAlignment="1" applyProtection="1">
      <alignment horizontal="center" vertical="center"/>
      <protection locked="0"/>
    </xf>
    <xf numFmtId="0" fontId="4" fillId="6" borderId="28" xfId="10" applyFont="1" applyFill="1" applyBorder="1" applyAlignment="1" applyProtection="1">
      <alignment horizontal="center" vertical="center"/>
      <protection locked="0"/>
    </xf>
    <xf numFmtId="0" fontId="4" fillId="6" borderId="29" xfId="1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  <protection locked="0"/>
    </xf>
    <xf numFmtId="0" fontId="4" fillId="9" borderId="28" xfId="10" applyFont="1" applyFill="1" applyBorder="1" applyAlignment="1" applyProtection="1">
      <alignment horizontal="center" vertical="center"/>
      <protection locked="0"/>
    </xf>
    <xf numFmtId="0" fontId="4" fillId="9" borderId="29" xfId="1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center"/>
      <protection locked="0"/>
    </xf>
    <xf numFmtId="0" fontId="4" fillId="11" borderId="27" xfId="10" applyFont="1" applyFill="1" applyBorder="1" applyAlignment="1" applyProtection="1">
      <alignment horizontal="center" vertical="center"/>
    </xf>
    <xf numFmtId="0" fontId="4" fillId="11" borderId="28" xfId="10" applyFont="1" applyFill="1" applyBorder="1" applyAlignment="1" applyProtection="1">
      <alignment horizontal="center" vertical="center"/>
    </xf>
    <xf numFmtId="0" fontId="4" fillId="11" borderId="29" xfId="10" applyFont="1" applyFill="1" applyBorder="1" applyAlignment="1" applyProtection="1">
      <alignment horizontal="center" vertical="center"/>
    </xf>
    <xf numFmtId="0" fontId="4" fillId="8" borderId="27" xfId="10" applyFont="1" applyFill="1" applyBorder="1" applyAlignment="1" applyProtection="1">
      <alignment horizontal="center" vertical="center"/>
    </xf>
    <xf numFmtId="0" fontId="4" fillId="8" borderId="28" xfId="10" applyFont="1" applyFill="1" applyBorder="1" applyAlignment="1" applyProtection="1">
      <alignment horizontal="center" vertical="center"/>
    </xf>
    <xf numFmtId="0" fontId="4" fillId="8" borderId="29" xfId="10" applyFont="1" applyFill="1" applyBorder="1" applyAlignment="1" applyProtection="1">
      <alignment horizontal="center" vertical="center"/>
    </xf>
    <xf numFmtId="0" fontId="24" fillId="19" borderId="27" xfId="10" applyFont="1" applyFill="1" applyBorder="1" applyAlignment="1" applyProtection="1">
      <alignment horizontal="center" vertical="center"/>
      <protection locked="0"/>
    </xf>
    <xf numFmtId="0" fontId="24" fillId="19" borderId="28" xfId="10" applyFont="1" applyFill="1" applyBorder="1" applyAlignment="1" applyProtection="1">
      <alignment horizontal="center" vertical="center"/>
      <protection locked="0"/>
    </xf>
    <xf numFmtId="0" fontId="24" fillId="19" borderId="29" xfId="1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</xf>
    <xf numFmtId="0" fontId="4" fillId="9" borderId="28" xfId="10" applyFont="1" applyFill="1" applyBorder="1" applyAlignment="1" applyProtection="1">
      <alignment horizontal="center" vertical="center"/>
    </xf>
    <xf numFmtId="0" fontId="4" fillId="9" borderId="29" xfId="10" applyFont="1" applyFill="1" applyBorder="1" applyAlignment="1" applyProtection="1">
      <alignment horizontal="center" vertical="center"/>
    </xf>
    <xf numFmtId="0" fontId="4" fillId="7" borderId="27" xfId="10" applyFont="1" applyFill="1" applyBorder="1" applyAlignment="1" applyProtection="1">
      <alignment horizontal="center" vertical="center"/>
      <protection locked="0"/>
    </xf>
    <xf numFmtId="0" fontId="4" fillId="7" borderId="28" xfId="10" applyFont="1" applyFill="1" applyBorder="1" applyAlignment="1" applyProtection="1">
      <alignment horizontal="center" vertical="center"/>
      <protection locked="0"/>
    </xf>
    <xf numFmtId="0" fontId="4" fillId="7" borderId="29" xfId="10" applyFont="1" applyFill="1" applyBorder="1" applyAlignment="1" applyProtection="1">
      <alignment horizontal="center" vertical="center"/>
      <protection locked="0"/>
    </xf>
    <xf numFmtId="0" fontId="25" fillId="3" borderId="3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6" xfId="0" applyFill="1" applyBorder="1" applyAlignment="1">
      <alignment horizontal="center"/>
    </xf>
    <xf numFmtId="0" fontId="10" fillId="5" borderId="0" xfId="0" applyFont="1" applyFill="1" applyAlignment="1">
      <alignment horizontal="center" vertical="distributed"/>
    </xf>
    <xf numFmtId="0" fontId="30" fillId="3" borderId="0" xfId="0" applyFont="1" applyFill="1" applyAlignment="1">
      <alignment horizontal="justify" vertical="distributed"/>
    </xf>
    <xf numFmtId="0" fontId="5" fillId="6" borderId="0" xfId="10" applyFill="1" applyAlignment="1" applyProtection="1">
      <alignment horizontal="right" vertical="top"/>
    </xf>
    <xf numFmtId="165" fontId="7" fillId="7" borderId="15" xfId="0" applyNumberFormat="1" applyFont="1" applyFill="1" applyBorder="1" applyAlignment="1">
      <alignment horizontal="center"/>
    </xf>
    <xf numFmtId="165" fontId="7" fillId="7" borderId="16" xfId="0" applyNumberFormat="1" applyFont="1" applyFill="1" applyBorder="1" applyAlignment="1">
      <alignment horizontal="center"/>
    </xf>
    <xf numFmtId="165" fontId="7" fillId="7" borderId="17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4" fillId="7" borderId="31" xfId="0" applyFont="1" applyFill="1" applyBorder="1" applyAlignment="1">
      <alignment horizontal="right"/>
    </xf>
    <xf numFmtId="0" fontId="24" fillId="7" borderId="12" xfId="0" applyFont="1" applyFill="1" applyBorder="1" applyAlignment="1">
      <alignment horizontal="right"/>
    </xf>
    <xf numFmtId="0" fontId="5" fillId="6" borderId="0" xfId="10" applyFill="1" applyAlignment="1" applyProtection="1">
      <alignment horizontal="right"/>
    </xf>
    <xf numFmtId="0" fontId="10" fillId="6" borderId="0" xfId="0" applyFont="1" applyFill="1" applyAlignment="1">
      <alignment horizontal="center"/>
    </xf>
    <xf numFmtId="0" fontId="24" fillId="7" borderId="4" xfId="0" applyFont="1" applyFill="1" applyBorder="1" applyAlignment="1">
      <alignment horizontal="right"/>
    </xf>
    <xf numFmtId="0" fontId="24" fillId="7" borderId="5" xfId="0" applyFont="1" applyFill="1" applyBorder="1" applyAlignment="1">
      <alignment horizontal="right"/>
    </xf>
    <xf numFmtId="0" fontId="24" fillId="7" borderId="6" xfId="0" applyFont="1" applyFill="1" applyBorder="1" applyAlignment="1">
      <alignment horizontal="right"/>
    </xf>
    <xf numFmtId="0" fontId="24" fillId="7" borderId="3" xfId="0" applyFont="1" applyFill="1" applyBorder="1" applyAlignment="1">
      <alignment horizontal="right"/>
    </xf>
    <xf numFmtId="0" fontId="24" fillId="11" borderId="6" xfId="0" applyFont="1" applyFill="1" applyBorder="1" applyAlignment="1">
      <alignment horizontal="right"/>
    </xf>
    <xf numFmtId="0" fontId="24" fillId="11" borderId="3" xfId="0" applyFont="1" applyFill="1" applyBorder="1" applyAlignment="1">
      <alignment horizontal="right"/>
    </xf>
    <xf numFmtId="0" fontId="24" fillId="17" borderId="6" xfId="0" applyFont="1" applyFill="1" applyBorder="1" applyAlignment="1">
      <alignment horizontal="right"/>
    </xf>
    <xf numFmtId="0" fontId="24" fillId="17" borderId="3" xfId="0" applyFont="1" applyFill="1" applyBorder="1" applyAlignment="1">
      <alignment horizontal="right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5" fillId="6" borderId="0" xfId="0" applyFont="1" applyFill="1" applyAlignment="1">
      <alignment horizontal="center" vertical="top" wrapText="1"/>
    </xf>
    <xf numFmtId="0" fontId="5" fillId="11" borderId="0" xfId="10" applyFill="1" applyAlignment="1" applyProtection="1">
      <alignment horizontal="left"/>
    </xf>
    <xf numFmtId="165" fontId="6" fillId="4" borderId="15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17" xfId="0" applyBorder="1"/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0" borderId="2" xfId="0" applyBorder="1"/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distributed"/>
    </xf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0" fontId="36" fillId="4" borderId="61" xfId="0" applyFont="1" applyFill="1" applyBorder="1" applyAlignment="1">
      <alignment horizontal="center" vertical="center" wrapText="1"/>
    </xf>
    <xf numFmtId="0" fontId="36" fillId="4" borderId="62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5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shrinkToFit="1"/>
    </xf>
    <xf numFmtId="0" fontId="7" fillId="4" borderId="28" xfId="0" applyFont="1" applyFill="1" applyBorder="1" applyAlignment="1">
      <alignment horizontal="center" shrinkToFit="1"/>
    </xf>
    <xf numFmtId="0" fontId="7" fillId="4" borderId="29" xfId="0" applyFont="1" applyFill="1" applyBorder="1" applyAlignment="1">
      <alignment horizontal="center" shrinkToFit="1"/>
    </xf>
    <xf numFmtId="0" fontId="36" fillId="4" borderId="71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173" fontId="2" fillId="20" borderId="3" xfId="0" applyNumberFormat="1" applyFont="1" applyFill="1" applyBorder="1" applyAlignment="1" applyProtection="1">
      <alignment horizontal="center" vertical="center"/>
      <protection locked="0"/>
    </xf>
    <xf numFmtId="178" fontId="2" fillId="20" borderId="3" xfId="0" applyNumberFormat="1" applyFont="1" applyFill="1" applyBorder="1" applyAlignment="1">
      <alignment horizontal="center" vertical="center"/>
    </xf>
    <xf numFmtId="178" fontId="2" fillId="20" borderId="10" xfId="0" applyNumberFormat="1" applyFont="1" applyFill="1" applyBorder="1" applyAlignment="1">
      <alignment horizontal="center" vertical="center"/>
    </xf>
    <xf numFmtId="186" fontId="2" fillId="20" borderId="3" xfId="0" applyNumberFormat="1" applyFont="1" applyFill="1" applyBorder="1" applyAlignment="1" applyProtection="1">
      <alignment horizontal="center" vertical="center"/>
      <protection locked="0"/>
    </xf>
    <xf numFmtId="0" fontId="2" fillId="20" borderId="6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2" fillId="20" borderId="48" xfId="0" applyFont="1" applyFill="1" applyBorder="1" applyAlignment="1">
      <alignment horizontal="center" vertical="center"/>
    </xf>
    <xf numFmtId="0" fontId="2" fillId="20" borderId="22" xfId="0" applyFont="1" applyFill="1" applyBorder="1" applyAlignment="1">
      <alignment horizontal="center" vertical="center"/>
    </xf>
    <xf numFmtId="0" fontId="2" fillId="20" borderId="30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 shrinkToFit="1"/>
    </xf>
    <xf numFmtId="165" fontId="6" fillId="4" borderId="16" xfId="0" applyNumberFormat="1" applyFont="1" applyFill="1" applyBorder="1" applyAlignment="1">
      <alignment horizontal="center" shrinkToFit="1"/>
    </xf>
    <xf numFmtId="165" fontId="6" fillId="4" borderId="17" xfId="0" applyNumberFormat="1" applyFont="1" applyFill="1" applyBorder="1" applyAlignment="1">
      <alignment horizontal="center" shrinkToFit="1"/>
    </xf>
    <xf numFmtId="0" fontId="6" fillId="4" borderId="20" xfId="0" applyFont="1" applyFill="1" applyBorder="1" applyAlignment="1">
      <alignment horizontal="center" shrinkToFit="1"/>
    </xf>
    <xf numFmtId="0" fontId="6" fillId="4" borderId="21" xfId="0" applyFont="1" applyFill="1" applyBorder="1" applyAlignment="1">
      <alignment horizontal="center" shrinkToFit="1"/>
    </xf>
    <xf numFmtId="0" fontId="6" fillId="4" borderId="2" xfId="0" applyFont="1" applyFill="1" applyBorder="1" applyAlignment="1">
      <alignment horizontal="center" shrinkToFit="1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36" fillId="4" borderId="31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69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 wrapText="1"/>
    </xf>
    <xf numFmtId="0" fontId="36" fillId="4" borderId="66" xfId="0" applyFont="1" applyFill="1" applyBorder="1" applyAlignment="1">
      <alignment horizontal="center" vertical="center" wrapText="1"/>
    </xf>
    <xf numFmtId="0" fontId="36" fillId="4" borderId="77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176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5" borderId="13" xfId="0" applyNumberFormat="1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right" vertical="center"/>
    </xf>
    <xf numFmtId="0" fontId="60" fillId="5" borderId="12" xfId="0" applyFont="1" applyFill="1" applyBorder="1" applyAlignment="1">
      <alignment horizontal="right" vertical="center"/>
    </xf>
    <xf numFmtId="0" fontId="10" fillId="5" borderId="45" xfId="0" applyFont="1" applyFill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52" fillId="14" borderId="15" xfId="0" applyFont="1" applyFill="1" applyBorder="1" applyAlignment="1">
      <alignment horizontal="center"/>
    </xf>
    <xf numFmtId="0" fontId="63" fillId="14" borderId="16" xfId="0" applyFont="1" applyFill="1" applyBorder="1" applyAlignment="1">
      <alignment horizontal="center"/>
    </xf>
    <xf numFmtId="0" fontId="63" fillId="14" borderId="17" xfId="0" applyFont="1" applyFill="1" applyBorder="1" applyAlignment="1">
      <alignment horizontal="center"/>
    </xf>
    <xf numFmtId="0" fontId="54" fillId="14" borderId="27" xfId="0" applyFont="1" applyFill="1" applyBorder="1" applyAlignment="1">
      <alignment horizontal="center" vertical="center"/>
    </xf>
    <xf numFmtId="0" fontId="54" fillId="14" borderId="28" xfId="0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/>
    </xf>
    <xf numFmtId="0" fontId="24" fillId="17" borderId="43" xfId="0" applyFont="1" applyFill="1" applyBorder="1" applyAlignment="1">
      <alignment horizontal="center"/>
    </xf>
    <xf numFmtId="0" fontId="24" fillId="17" borderId="42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24" fillId="7" borderId="46" xfId="0" applyFont="1" applyFill="1" applyBorder="1" applyAlignment="1">
      <alignment horizontal="center"/>
    </xf>
    <xf numFmtId="0" fontId="24" fillId="7" borderId="50" xfId="0" applyFont="1" applyFill="1" applyBorder="1" applyAlignment="1">
      <alignment horizontal="center"/>
    </xf>
    <xf numFmtId="0" fontId="24" fillId="7" borderId="41" xfId="0" applyFont="1" applyFill="1" applyBorder="1" applyAlignment="1">
      <alignment horizontal="center"/>
    </xf>
    <xf numFmtId="0" fontId="52" fillId="14" borderId="20" xfId="0" applyFont="1" applyFill="1" applyBorder="1" applyAlignment="1">
      <alignment horizontal="center"/>
    </xf>
    <xf numFmtId="0" fontId="63" fillId="14" borderId="21" xfId="0" applyFont="1" applyFill="1" applyBorder="1" applyAlignment="1">
      <alignment horizontal="center"/>
    </xf>
    <xf numFmtId="0" fontId="63" fillId="14" borderId="2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center"/>
    </xf>
    <xf numFmtId="0" fontId="27" fillId="13" borderId="0" xfId="10" applyFont="1" applyFill="1" applyAlignment="1" applyProtection="1">
      <alignment horizontal="left"/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27" fillId="13" borderId="0" xfId="10" applyFont="1" applyFill="1" applyAlignment="1" applyProtection="1"/>
    <xf numFmtId="0" fontId="28" fillId="13" borderId="0" xfId="0" applyFont="1" applyFill="1" applyAlignment="1">
      <alignment horizontal="center"/>
    </xf>
    <xf numFmtId="165" fontId="6" fillId="13" borderId="0" xfId="0" applyNumberFormat="1" applyFont="1" applyFill="1" applyAlignment="1">
      <alignment horizontal="center" vertical="center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2" fillId="9" borderId="21" xfId="0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horizontal="left" vertical="distributed"/>
    </xf>
    <xf numFmtId="0" fontId="20" fillId="0" borderId="19" xfId="0" applyFont="1" applyBorder="1" applyAlignment="1">
      <alignment horizontal="left" vertical="distributed"/>
    </xf>
    <xf numFmtId="165" fontId="7" fillId="7" borderId="20" xfId="0" applyNumberFormat="1" applyFont="1" applyFill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165" fontId="7" fillId="7" borderId="21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0" fontId="42" fillId="9" borderId="28" xfId="0" applyFont="1" applyFill="1" applyBorder="1" applyAlignment="1" applyProtection="1">
      <alignment horizontal="center"/>
      <protection locked="0"/>
    </xf>
    <xf numFmtId="0" fontId="73" fillId="22" borderId="6" xfId="0" applyFont="1" applyFill="1" applyBorder="1" applyAlignment="1" applyProtection="1">
      <alignment horizontal="left" vertical="top"/>
      <protection locked="0"/>
    </xf>
    <xf numFmtId="0" fontId="73" fillId="22" borderId="3" xfId="0" applyFont="1" applyFill="1" applyBorder="1" applyAlignment="1" applyProtection="1">
      <alignment horizontal="left" vertical="top"/>
      <protection locked="0"/>
    </xf>
    <xf numFmtId="0" fontId="73" fillId="22" borderId="6" xfId="0" applyFont="1" applyFill="1" applyBorder="1" applyAlignment="1" applyProtection="1">
      <alignment horizontal="center" vertical="top"/>
      <protection locked="0"/>
    </xf>
    <xf numFmtId="0" fontId="73" fillId="22" borderId="3" xfId="0" applyFont="1" applyFill="1" applyBorder="1" applyAlignment="1" applyProtection="1">
      <alignment horizontal="center" vertical="top"/>
      <protection locked="0"/>
    </xf>
    <xf numFmtId="0" fontId="75" fillId="3" borderId="0" xfId="0" applyFont="1" applyFill="1" applyAlignment="1" applyProtection="1">
      <alignment horizontal="center" vertical="distributed"/>
      <protection locked="0"/>
    </xf>
    <xf numFmtId="166" fontId="16" fillId="0" borderId="0" xfId="0" applyNumberFormat="1" applyFont="1" applyAlignment="1">
      <alignment horizontal="center"/>
    </xf>
    <xf numFmtId="166" fontId="44" fillId="0" borderId="0" xfId="0" applyNumberFormat="1" applyFont="1" applyAlignment="1">
      <alignment horizontal="center"/>
    </xf>
    <xf numFmtId="175" fontId="7" fillId="4" borderId="55" xfId="14" applyNumberFormat="1" applyFont="1" applyFill="1" applyBorder="1" applyAlignment="1">
      <alignment horizontal="center" vertical="center"/>
    </xf>
    <xf numFmtId="175" fontId="7" fillId="4" borderId="56" xfId="14" applyNumberFormat="1" applyFont="1" applyFill="1" applyBorder="1" applyAlignment="1">
      <alignment horizontal="center" vertical="center"/>
    </xf>
    <xf numFmtId="174" fontId="7" fillId="4" borderId="55" xfId="14" applyNumberFormat="1" applyFont="1" applyFill="1" applyBorder="1" applyAlignment="1">
      <alignment horizontal="center" vertical="center"/>
    </xf>
    <xf numFmtId="174" fontId="7" fillId="4" borderId="56" xfId="14" applyNumberFormat="1" applyFont="1" applyFill="1" applyBorder="1" applyAlignment="1">
      <alignment horizontal="center" vertical="center"/>
    </xf>
    <xf numFmtId="1" fontId="7" fillId="4" borderId="55" xfId="14" applyNumberFormat="1" applyFont="1" applyFill="1" applyBorder="1" applyAlignment="1">
      <alignment horizontal="center" vertical="center" wrapText="1"/>
    </xf>
    <xf numFmtId="1" fontId="7" fillId="4" borderId="57" xfId="14" applyNumberFormat="1" applyFont="1" applyFill="1" applyBorder="1" applyAlignment="1">
      <alignment horizontal="center" vertical="center" wrapText="1"/>
    </xf>
    <xf numFmtId="1" fontId="7" fillId="4" borderId="56" xfId="14" applyNumberFormat="1" applyFont="1" applyFill="1" applyBorder="1" applyAlignment="1">
      <alignment horizontal="center" vertical="center" wrapText="1"/>
    </xf>
    <xf numFmtId="179" fontId="24" fillId="4" borderId="51" xfId="14" applyNumberFormat="1" applyFont="1" applyFill="1" applyBorder="1" applyAlignment="1">
      <alignment horizontal="center" vertical="center"/>
    </xf>
    <xf numFmtId="4" fontId="37" fillId="19" borderId="51" xfId="14" applyNumberFormat="1" applyFont="1" applyFill="1" applyBorder="1" applyAlignment="1">
      <alignment horizontal="center" wrapText="1"/>
    </xf>
    <xf numFmtId="0" fontId="0" fillId="0" borderId="0" xfId="0"/>
    <xf numFmtId="0" fontId="5" fillId="14" borderId="0" xfId="10" applyFill="1" applyAlignment="1" applyProtection="1">
      <alignment horizontal="center"/>
      <protection locked="0"/>
    </xf>
    <xf numFmtId="0" fontId="27" fillId="13" borderId="0" xfId="10" applyFont="1" applyFill="1" applyBorder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center"/>
      <protection locked="0"/>
    </xf>
    <xf numFmtId="0" fontId="40" fillId="13" borderId="0" xfId="10" applyFont="1" applyFill="1" applyAlignment="1" applyProtection="1">
      <alignment horizontal="center"/>
      <protection locked="0"/>
    </xf>
    <xf numFmtId="0" fontId="53" fillId="18" borderId="0" xfId="0" applyFont="1" applyFill="1" applyAlignment="1" applyProtection="1">
      <alignment horizontal="center"/>
      <protection locked="0"/>
    </xf>
    <xf numFmtId="0" fontId="7" fillId="13" borderId="24" xfId="0" applyFont="1" applyFill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5" fillId="13" borderId="0" xfId="10" applyFill="1" applyAlignment="1" applyProtection="1">
      <alignment horizontal="center"/>
      <protection locked="0"/>
    </xf>
    <xf numFmtId="0" fontId="5" fillId="13" borderId="0" xfId="10" applyFill="1" applyAlignment="1" applyProtection="1">
      <alignment horizontal="left"/>
      <protection locked="0"/>
    </xf>
    <xf numFmtId="0" fontId="6" fillId="13" borderId="0" xfId="0" applyFont="1" applyFill="1" applyAlignment="1">
      <alignment horizontal="center"/>
    </xf>
    <xf numFmtId="166" fontId="15" fillId="11" borderId="3" xfId="0" applyNumberFormat="1" applyFont="1" applyFill="1" applyBorder="1" applyAlignment="1">
      <alignment horizontal="center"/>
    </xf>
    <xf numFmtId="166" fontId="15" fillId="6" borderId="3" xfId="0" applyNumberFormat="1" applyFont="1" applyFill="1" applyBorder="1" applyAlignment="1">
      <alignment horizontal="center"/>
    </xf>
    <xf numFmtId="166" fontId="0" fillId="11" borderId="3" xfId="0" applyNumberForma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0" fontId="0" fillId="0" borderId="78" xfId="0" applyBorder="1"/>
    <xf numFmtId="0" fontId="0" fillId="0" borderId="8" xfId="0" applyBorder="1" applyAlignment="1">
      <alignment wrapText="1"/>
    </xf>
    <xf numFmtId="188" fontId="0" fillId="0" borderId="8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79" xfId="0" applyBorder="1"/>
    <xf numFmtId="14" fontId="0" fillId="0" borderId="8" xfId="0" applyNumberFormat="1" applyBorder="1"/>
  </cellXfs>
  <cellStyles count="22">
    <cellStyle name="Comma" xfId="11" xr:uid="{00000000-0005-0000-0000-000000000000}"/>
    <cellStyle name="Comma0" xfId="1" xr:uid="{00000000-0005-0000-0000-000001000000}"/>
    <cellStyle name="Currency" xfId="2" xr:uid="{00000000-0005-0000-0000-000002000000}"/>
    <cellStyle name="Currency0" xfId="3" xr:uid="{00000000-0005-0000-0000-000003000000}"/>
    <cellStyle name="Date" xfId="4" xr:uid="{00000000-0005-0000-0000-000004000000}"/>
    <cellStyle name="Euro" xfId="5" xr:uid="{00000000-0005-0000-0000-000005000000}"/>
    <cellStyle name="Euro 2" xfId="6" xr:uid="{00000000-0005-0000-0000-000006000000}"/>
    <cellStyle name="Euro 2 2" xfId="18" xr:uid="{7F5A02D7-A612-446F-BDF5-AD22EBC774BA}"/>
    <cellStyle name="Fixed" xfId="7" xr:uid="{00000000-0005-0000-0000-000007000000}"/>
    <cellStyle name="Heading 1" xfId="8" xr:uid="{00000000-0005-0000-0000-000008000000}"/>
    <cellStyle name="Heading 2" xfId="9" xr:uid="{00000000-0005-0000-0000-000009000000}"/>
    <cellStyle name="Hipervínculo" xfId="10" builtinId="8"/>
    <cellStyle name="Millares 2" xfId="12" xr:uid="{00000000-0005-0000-0000-00000C000000}"/>
    <cellStyle name="Millares 2 2" xfId="20" xr:uid="{9371B535-A33F-4B21-A443-6E0E8D935573}"/>
    <cellStyle name="Millares 3" xfId="19" xr:uid="{F5C0BDB9-9187-4544-B778-DFF124EF9F92}"/>
    <cellStyle name="Normal" xfId="0" builtinId="0"/>
    <cellStyle name="Normal 2" xfId="13" xr:uid="{00000000-0005-0000-0000-00000E000000}"/>
    <cellStyle name="Normal 2 2" xfId="21" xr:uid="{53E256D1-DA69-48DD-8D1B-61020C2300ED}"/>
    <cellStyle name="Normal_Hoja1" xfId="14" xr:uid="{00000000-0005-0000-0000-00000F000000}"/>
    <cellStyle name="Normal_Precios Nodales del 03 de Marzo 2004" xfId="15" xr:uid="{00000000-0005-0000-0000-000010000000}"/>
    <cellStyle name="Percent" xfId="16" xr:uid="{00000000-0005-0000-0000-000011000000}"/>
    <cellStyle name="Total" xfId="17" builtinId="25" customBuiltin="1"/>
  </cellStyles>
  <dxfs count="29"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5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1" formatCode="0"/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9"/>
        </left>
        <right style="thin">
          <color indexed="9"/>
        </right>
        <top/>
        <bottom/>
        <vertical style="thin">
          <color indexed="9"/>
        </vertical>
        <horizontal/>
      </border>
    </dxf>
  </dxfs>
  <tableStyles count="2" defaultTableStyle="TableStyleMedium9" defaultPivotStyle="PivotStyleLight16">
    <tableStyle name="Estilo de tabla 1" pivot="0" count="0" xr9:uid="{00000000-0011-0000-FFFF-FFFF00000000}"/>
    <tableStyle name="Formato Blanco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BE-4764-9216-04F7A3383376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9BE-4764-9216-04F7A338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87576"/>
        <c:axId val="1058615720"/>
      </c:lineChart>
      <c:catAx>
        <c:axId val="96308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861572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308757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4C-44F4-B6FB-517E5C84E26F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4C-44F4-B6FB-517E5C84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16504"/>
        <c:axId val="1058615328"/>
      </c:lineChart>
      <c:catAx>
        <c:axId val="105861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5861532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6504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POE Y PPOE. </a:t>
            </a:r>
          </a:p>
        </c:rich>
      </c:tx>
      <c:layout>
        <c:manualLayout>
          <c:xMode val="edge"/>
          <c:yMode val="edge"/>
          <c:x val="0.37444953387856389"/>
          <c:y val="3.65853973268090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18223710612624E-2"/>
          <c:y val="8.2042443809568058E-2"/>
          <c:w val="0.87136601363144173"/>
          <c:h val="0.85913443488400398"/>
        </c:manualLayout>
      </c:layout>
      <c:lineChart>
        <c:grouping val="standard"/>
        <c:varyColors val="0"/>
        <c:ser>
          <c:idx val="0"/>
          <c:order val="0"/>
          <c:tx>
            <c:v>SPOT PROYECTADO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Curvaspot!$A$55:$A$78</c:f>
              <c:numCache>
                <c:formatCode>General</c:formatCode>
                <c:ptCount val="24"/>
                <c:pt idx="0">
                  <c:v>66.209999999999994</c:v>
                </c:pt>
                <c:pt idx="1">
                  <c:v>66.209999999999994</c:v>
                </c:pt>
                <c:pt idx="2">
                  <c:v>66.209999999999994</c:v>
                </c:pt>
                <c:pt idx="3">
                  <c:v>66.209999999999994</c:v>
                </c:pt>
                <c:pt idx="4">
                  <c:v>52.332000000000001</c:v>
                </c:pt>
                <c:pt idx="5">
                  <c:v>66.209999999999994</c:v>
                </c:pt>
                <c:pt idx="6">
                  <c:v>81.040000000000006</c:v>
                </c:pt>
                <c:pt idx="7">
                  <c:v>81.040000000000006</c:v>
                </c:pt>
                <c:pt idx="8">
                  <c:v>81.040000000000006</c:v>
                </c:pt>
                <c:pt idx="9">
                  <c:v>66.816999999999993</c:v>
                </c:pt>
                <c:pt idx="10">
                  <c:v>66.888999999999996</c:v>
                </c:pt>
                <c:pt idx="11">
                  <c:v>66.888999999999996</c:v>
                </c:pt>
                <c:pt idx="12">
                  <c:v>66.888999999999996</c:v>
                </c:pt>
                <c:pt idx="13">
                  <c:v>81.040000000000006</c:v>
                </c:pt>
                <c:pt idx="14">
                  <c:v>189.071</c:v>
                </c:pt>
                <c:pt idx="15">
                  <c:v>189.071</c:v>
                </c:pt>
                <c:pt idx="16">
                  <c:v>189.071</c:v>
                </c:pt>
                <c:pt idx="17">
                  <c:v>190.01599999999999</c:v>
                </c:pt>
                <c:pt idx="18">
                  <c:v>188.559</c:v>
                </c:pt>
                <c:pt idx="19">
                  <c:v>188.559</c:v>
                </c:pt>
                <c:pt idx="20">
                  <c:v>188.559</c:v>
                </c:pt>
                <c:pt idx="21">
                  <c:v>164.9</c:v>
                </c:pt>
                <c:pt idx="22">
                  <c:v>138.23099999999999</c:v>
                </c:pt>
                <c:pt idx="23">
                  <c:v>71.519000000000005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9-42FE-A432-4C4683D3D45D}"/>
            </c:ext>
          </c:extLst>
        </c:ser>
        <c:ser>
          <c:idx val="1"/>
          <c:order val="1"/>
          <c:tx>
            <c:v>SPOT REAL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Curvaspot!$B$55:$B$78</c:f>
              <c:numCache>
                <c:formatCode>General</c:formatCode>
                <c:ptCount val="24"/>
                <c:pt idx="0">
                  <c:v>66.210078977245701</c:v>
                </c:pt>
                <c:pt idx="1">
                  <c:v>66.210078977245701</c:v>
                </c:pt>
                <c:pt idx="2">
                  <c:v>66.210078977245701</c:v>
                </c:pt>
                <c:pt idx="3">
                  <c:v>66.210078977245701</c:v>
                </c:pt>
                <c:pt idx="4">
                  <c:v>66.210078977245701</c:v>
                </c:pt>
                <c:pt idx="5">
                  <c:v>66.210078977245701</c:v>
                </c:pt>
                <c:pt idx="6">
                  <c:v>88.054901370642298</c:v>
                </c:pt>
                <c:pt idx="7">
                  <c:v>139.26391473955101</c:v>
                </c:pt>
                <c:pt idx="8">
                  <c:v>162.70240000000001</c:v>
                </c:pt>
                <c:pt idx="9">
                  <c:v>143.37870000000001</c:v>
                </c:pt>
                <c:pt idx="10">
                  <c:v>135.8697620447</c:v>
                </c:pt>
                <c:pt idx="11">
                  <c:v>100.9469</c:v>
                </c:pt>
                <c:pt idx="12">
                  <c:v>66.888702291977694</c:v>
                </c:pt>
                <c:pt idx="13">
                  <c:v>81.039959744784596</c:v>
                </c:pt>
                <c:pt idx="14">
                  <c:v>133.74482194103601</c:v>
                </c:pt>
                <c:pt idx="15">
                  <c:v>133.74482194103601</c:v>
                </c:pt>
                <c:pt idx="16">
                  <c:v>139.26391473955101</c:v>
                </c:pt>
                <c:pt idx="17">
                  <c:v>189.0712</c:v>
                </c:pt>
                <c:pt idx="18">
                  <c:v>222.33179999999999</c:v>
                </c:pt>
                <c:pt idx="19">
                  <c:v>222.33179999999999</c:v>
                </c:pt>
                <c:pt idx="20">
                  <c:v>201.017</c:v>
                </c:pt>
                <c:pt idx="21">
                  <c:v>185.93719999999999</c:v>
                </c:pt>
                <c:pt idx="22">
                  <c:v>164.90010000000001</c:v>
                </c:pt>
                <c:pt idx="23">
                  <c:v>139.92750000000001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9-42FE-A432-4C4683D3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462672"/>
        <c:axId val="1058463064"/>
      </c:lineChart>
      <c:catAx>
        <c:axId val="10584626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8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51124365166127"/>
              <c:y val="0.97954232122164675"/>
            </c:manualLayout>
          </c:layout>
          <c:overlay val="0"/>
          <c:spPr>
            <a:noFill/>
            <a:ln w="25400">
              <a:noFill/>
            </a:ln>
          </c:spPr>
        </c:title>
        <c:numFmt formatCode="[hh]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3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8463064"/>
        <c:scaling>
          <c:orientation val="minMax"/>
          <c:max val="18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(US$/MWH)</a:t>
                </a:r>
              </a:p>
            </c:rich>
          </c:tx>
          <c:layout>
            <c:manualLayout>
              <c:xMode val="edge"/>
              <c:yMode val="edge"/>
              <c:x val="1.1453717670176992E-2"/>
              <c:y val="0.49451224201694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8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672"/>
        <c:crosses val="autoZero"/>
        <c:crossBetween val="midCat"/>
        <c:majorUnit val="10"/>
        <c:minorUnit val="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788559382625502"/>
          <c:y val="4.3902476792170887E-2"/>
          <c:w val="0.41145390218138383"/>
          <c:h val="2.4999987096008279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32-4EB4-93C0-FBA2F097B4F2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32-4EB4-93C0-FBA2F097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62280"/>
        <c:axId val="960304624"/>
      </c:lineChart>
      <c:catAx>
        <c:axId val="105846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30462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280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B1-466B-B763-7DDC2BFC49B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B1-466B-B763-7DDC2BFC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4016"/>
        <c:axId val="711684408"/>
      </c:lineChart>
      <c:catAx>
        <c:axId val="7116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4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1168440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01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6-49B3-A2C8-EF7FF8F2C3E8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B6-49B3-A2C8-EF7FF8F2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5192"/>
        <c:axId val="711685584"/>
      </c:lineChart>
      <c:catAx>
        <c:axId val="7116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16855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1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14-4EBA-960A-446E1DC2F79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14-4EBA-960A-446E1DC2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37208"/>
        <c:axId val="138537600"/>
      </c:lineChart>
      <c:catAx>
        <c:axId val="13853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53760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20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37866997780926E-2"/>
          <c:y val="7.4074120266927251E-2"/>
          <c:w val="0.90206261247467356"/>
          <c:h val="0.86909377313179303"/>
        </c:manualLayout>
      </c:layout>
      <c:lineChart>
        <c:grouping val="standard"/>
        <c:varyColors val="0"/>
        <c:ser>
          <c:idx val="0"/>
          <c:order val="0"/>
          <c:tx>
            <c:v>GENERACION LOCAL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S.N.I.'!$G$23:$G$46</c:f>
              <c:numCache>
                <c:formatCode>General</c:formatCode>
                <c:ptCount val="24"/>
                <c:pt idx="0">
                  <c:v>1554.67</c:v>
                </c:pt>
                <c:pt idx="1">
                  <c:v>1514.29</c:v>
                </c:pt>
                <c:pt idx="2">
                  <c:v>1427.18</c:v>
                </c:pt>
                <c:pt idx="3">
                  <c:v>1434.91</c:v>
                </c:pt>
                <c:pt idx="4">
                  <c:v>1472.95</c:v>
                </c:pt>
                <c:pt idx="5">
                  <c:v>1665.01</c:v>
                </c:pt>
                <c:pt idx="6">
                  <c:v>1795.48</c:v>
                </c:pt>
                <c:pt idx="7">
                  <c:v>1869.2</c:v>
                </c:pt>
                <c:pt idx="8">
                  <c:v>1934.9</c:v>
                </c:pt>
                <c:pt idx="9">
                  <c:v>1903.51</c:v>
                </c:pt>
                <c:pt idx="10">
                  <c:v>1900.8</c:v>
                </c:pt>
                <c:pt idx="11">
                  <c:v>1968.22</c:v>
                </c:pt>
                <c:pt idx="12">
                  <c:v>1942.89</c:v>
                </c:pt>
                <c:pt idx="13">
                  <c:v>1958.2</c:v>
                </c:pt>
                <c:pt idx="14">
                  <c:v>2000.45</c:v>
                </c:pt>
                <c:pt idx="15">
                  <c:v>1970.05</c:v>
                </c:pt>
                <c:pt idx="16">
                  <c:v>2015.76</c:v>
                </c:pt>
                <c:pt idx="17">
                  <c:v>2155.61</c:v>
                </c:pt>
                <c:pt idx="18">
                  <c:v>2163.79</c:v>
                </c:pt>
                <c:pt idx="19">
                  <c:v>2111.86</c:v>
                </c:pt>
                <c:pt idx="20">
                  <c:v>2081.48</c:v>
                </c:pt>
                <c:pt idx="21">
                  <c:v>1849.68</c:v>
                </c:pt>
                <c:pt idx="22">
                  <c:v>1820.06</c:v>
                </c:pt>
                <c:pt idx="23">
                  <c:v>1595.06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DB-49F0-B279-311A1AB212B0}"/>
            </c:ext>
          </c:extLst>
        </c:ser>
        <c:ser>
          <c:idx val="1"/>
          <c:order val="1"/>
          <c:tx>
            <c:v>DEMANDA LOCAL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S.N.I.'!$H$23:$H$46</c:f>
              <c:numCache>
                <c:formatCode>General</c:formatCode>
                <c:ptCount val="24"/>
                <c:pt idx="0">
                  <c:v>1528.76</c:v>
                </c:pt>
                <c:pt idx="1">
                  <c:v>1486.86</c:v>
                </c:pt>
                <c:pt idx="2">
                  <c:v>1420.41</c:v>
                </c:pt>
                <c:pt idx="3">
                  <c:v>1468.34</c:v>
                </c:pt>
                <c:pt idx="4">
                  <c:v>1522.89</c:v>
                </c:pt>
                <c:pt idx="5">
                  <c:v>1679.07</c:v>
                </c:pt>
                <c:pt idx="6">
                  <c:v>1848.58</c:v>
                </c:pt>
                <c:pt idx="7">
                  <c:v>1939.36</c:v>
                </c:pt>
                <c:pt idx="8">
                  <c:v>1957.15</c:v>
                </c:pt>
                <c:pt idx="9">
                  <c:v>1925.26</c:v>
                </c:pt>
                <c:pt idx="10">
                  <c:v>1951.69</c:v>
                </c:pt>
                <c:pt idx="11">
                  <c:v>1990.88</c:v>
                </c:pt>
                <c:pt idx="12">
                  <c:v>1993.35</c:v>
                </c:pt>
                <c:pt idx="13">
                  <c:v>2015.56</c:v>
                </c:pt>
                <c:pt idx="14">
                  <c:v>2069.9699999999998</c:v>
                </c:pt>
                <c:pt idx="15">
                  <c:v>2048.66</c:v>
                </c:pt>
                <c:pt idx="16">
                  <c:v>2110.58</c:v>
                </c:pt>
                <c:pt idx="17">
                  <c:v>2236.1799999999998</c:v>
                </c:pt>
                <c:pt idx="18">
                  <c:v>2291.7199999999998</c:v>
                </c:pt>
                <c:pt idx="19">
                  <c:v>2235.42</c:v>
                </c:pt>
                <c:pt idx="20">
                  <c:v>2159.66</c:v>
                </c:pt>
                <c:pt idx="21">
                  <c:v>1861.75</c:v>
                </c:pt>
                <c:pt idx="22">
                  <c:v>1760.24</c:v>
                </c:pt>
                <c:pt idx="23">
                  <c:v>1585.19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DB-49F0-B279-311A1AB2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06072"/>
        <c:axId val="991506464"/>
      </c:lineChart>
      <c:dateAx>
        <c:axId val="991506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51116886738772049"/>
              <c:y val="0.98212062130044064"/>
            </c:manualLayout>
          </c:layout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464"/>
        <c:crossesAt val="30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91506464"/>
        <c:scaling>
          <c:orientation val="minMax"/>
          <c:max val="24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layout>
            <c:manualLayout>
              <c:xMode val="edge"/>
              <c:yMode val="edge"/>
              <c:x val="4.2955556005370796E-3"/>
              <c:y val="0.46679464239471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072"/>
        <c:crosses val="autoZero"/>
        <c:crossBetween val="midCat"/>
        <c:majorUnit val="10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47445611714987"/>
          <c:y val="4.0229888514094876E-2"/>
          <c:w val="0.36426145960546708"/>
          <c:h val="2.6181361320923364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BB-41B8-932E-2F69EA97F28D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BB-41B8-932E-2F69EA97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06856"/>
        <c:axId val="991507248"/>
      </c:lineChart>
      <c:catAx>
        <c:axId val="99150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7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150724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85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B5-44F6-9999-332970C298E3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5B5-44F6-9999-332970C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04232"/>
        <c:axId val="1007153440"/>
      </c:lineChart>
      <c:catAx>
        <c:axId val="96030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15344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23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0700466977983E-2"/>
          <c:y val="0.13824892569626526"/>
          <c:w val="0.88258839226150765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MER'!$L$7:$L$30</c:f>
              <c:numCache>
                <c:formatCode>General</c:formatCode>
                <c:ptCount val="24"/>
                <c:pt idx="0">
                  <c:v>147.58798716699999</c:v>
                </c:pt>
                <c:pt idx="1">
                  <c:v>148.33877539100001</c:v>
                </c:pt>
                <c:pt idx="2">
                  <c:v>150.46572314400001</c:v>
                </c:pt>
                <c:pt idx="3">
                  <c:v>162.33107861299999</c:v>
                </c:pt>
                <c:pt idx="4">
                  <c:v>150.12512939499999</c:v>
                </c:pt>
                <c:pt idx="5">
                  <c:v>149.76604931599999</c:v>
                </c:pt>
                <c:pt idx="6">
                  <c:v>128.194628846</c:v>
                </c:pt>
                <c:pt idx="7">
                  <c:v>139.42084572600001</c:v>
                </c:pt>
                <c:pt idx="8">
                  <c:v>130.335959793</c:v>
                </c:pt>
                <c:pt idx="9">
                  <c:v>116.48702438399999</c:v>
                </c:pt>
                <c:pt idx="10">
                  <c:v>74.513905746999995</c:v>
                </c:pt>
                <c:pt idx="11">
                  <c:v>74.624403853999993</c:v>
                </c:pt>
                <c:pt idx="12">
                  <c:v>60.518830463</c:v>
                </c:pt>
                <c:pt idx="13">
                  <c:v>69.386195831999999</c:v>
                </c:pt>
                <c:pt idx="14">
                  <c:v>63.801164643</c:v>
                </c:pt>
                <c:pt idx="15">
                  <c:v>57.365180344000002</c:v>
                </c:pt>
                <c:pt idx="16">
                  <c:v>44.779931603000001</c:v>
                </c:pt>
                <c:pt idx="17">
                  <c:v>32.588145019000002</c:v>
                </c:pt>
                <c:pt idx="18">
                  <c:v>37.322518692999999</c:v>
                </c:pt>
                <c:pt idx="19">
                  <c:v>48.329872680999998</c:v>
                </c:pt>
                <c:pt idx="20">
                  <c:v>62.709159182</c:v>
                </c:pt>
                <c:pt idx="21">
                  <c:v>62.507577896000001</c:v>
                </c:pt>
                <c:pt idx="22">
                  <c:v>172.94519921899999</c:v>
                </c:pt>
                <c:pt idx="23">
                  <c:v>192.501738281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2-49E0-A8AF-A192F0E5C8BF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MER'!$N$7:$N$30</c:f>
              <c:numCache>
                <c:formatCode>General</c:formatCode>
                <c:ptCount val="24"/>
                <c:pt idx="0">
                  <c:v>209.947</c:v>
                </c:pt>
                <c:pt idx="1">
                  <c:v>210.16900000000001</c:v>
                </c:pt>
                <c:pt idx="2">
                  <c:v>213.89099999999999</c:v>
                </c:pt>
                <c:pt idx="3">
                  <c:v>233.34700000000001</c:v>
                </c:pt>
                <c:pt idx="4">
                  <c:v>221.798</c:v>
                </c:pt>
                <c:pt idx="5">
                  <c:v>211.60499999999999</c:v>
                </c:pt>
                <c:pt idx="6">
                  <c:v>208.88300000000001</c:v>
                </c:pt>
                <c:pt idx="7">
                  <c:v>212.613</c:v>
                </c:pt>
                <c:pt idx="8">
                  <c:v>212.80099999999999</c:v>
                </c:pt>
                <c:pt idx="9">
                  <c:v>208.58699999999999</c:v>
                </c:pt>
                <c:pt idx="10">
                  <c:v>153.858</c:v>
                </c:pt>
                <c:pt idx="11">
                  <c:v>147.059</c:v>
                </c:pt>
                <c:pt idx="12">
                  <c:v>141.75899999999999</c:v>
                </c:pt>
                <c:pt idx="13">
                  <c:v>148.84299999999999</c:v>
                </c:pt>
                <c:pt idx="14">
                  <c:v>136.60499999999999</c:v>
                </c:pt>
                <c:pt idx="15">
                  <c:v>131.38399999999999</c:v>
                </c:pt>
                <c:pt idx="16">
                  <c:v>282.52999999999997</c:v>
                </c:pt>
                <c:pt idx="17">
                  <c:v>282.64800000000002</c:v>
                </c:pt>
                <c:pt idx="18">
                  <c:v>108.976</c:v>
                </c:pt>
                <c:pt idx="19">
                  <c:v>108.976</c:v>
                </c:pt>
                <c:pt idx="20">
                  <c:v>108.976</c:v>
                </c:pt>
                <c:pt idx="21">
                  <c:v>116.735</c:v>
                </c:pt>
                <c:pt idx="22">
                  <c:v>227.084</c:v>
                </c:pt>
                <c:pt idx="23">
                  <c:v>238.00399999999999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2-49E0-A8AF-A192F0E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55008"/>
        <c:axId val="923140200"/>
      </c:lineChart>
      <c:catAx>
        <c:axId val="10071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032687824807519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200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3140200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5008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557035064358633"/>
          <c:y val="4.953913670721876E-2"/>
          <c:w val="0.36557702590771357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8A-402C-9391-AD276C2474E5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A-402C-9391-AD276C24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0592"/>
        <c:axId val="923140984"/>
      </c:lineChart>
      <c:catAx>
        <c:axId val="9231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31409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5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58-4F3B-BD0F-3E24399D546E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258-4F3B-BD0F-3E24399D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1768"/>
        <c:axId val="930321776"/>
      </c:lineChart>
      <c:catAx>
        <c:axId val="92314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321776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176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87591727818551E-2"/>
          <c:y val="0.13824892569626526"/>
          <c:w val="0.87725150100066707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México'!$L$7:$L$30</c:f>
              <c:numCache>
                <c:formatCode>General</c:formatCode>
                <c:ptCount val="24"/>
                <c:pt idx="0">
                  <c:v>-110.097139028</c:v>
                </c:pt>
                <c:pt idx="1">
                  <c:v>-111.653479004</c:v>
                </c:pt>
                <c:pt idx="2">
                  <c:v>-136.252738282</c:v>
                </c:pt>
                <c:pt idx="3">
                  <c:v>-166.59952246099999</c:v>
                </c:pt>
                <c:pt idx="4">
                  <c:v>-217.771804688</c:v>
                </c:pt>
                <c:pt idx="5">
                  <c:v>-162.015625</c:v>
                </c:pt>
                <c:pt idx="6">
                  <c:v>-135.92145507800001</c:v>
                </c:pt>
                <c:pt idx="7">
                  <c:v>-189.20746972699999</c:v>
                </c:pt>
                <c:pt idx="8">
                  <c:v>-150.337036133</c:v>
                </c:pt>
                <c:pt idx="9">
                  <c:v>-101.576381348</c:v>
                </c:pt>
                <c:pt idx="10">
                  <c:v>-105.838426758</c:v>
                </c:pt>
                <c:pt idx="11">
                  <c:v>-110.669785645</c:v>
                </c:pt>
                <c:pt idx="12">
                  <c:v>-104.77355957</c:v>
                </c:pt>
                <c:pt idx="13">
                  <c:v>-113.333415515</c:v>
                </c:pt>
                <c:pt idx="14">
                  <c:v>-111.460779796</c:v>
                </c:pt>
                <c:pt idx="15">
                  <c:v>-135.52072070299999</c:v>
                </c:pt>
                <c:pt idx="16">
                  <c:v>-132.972685547</c:v>
                </c:pt>
                <c:pt idx="17">
                  <c:v>-105.580881699</c:v>
                </c:pt>
                <c:pt idx="18">
                  <c:v>-143.17220800800001</c:v>
                </c:pt>
                <c:pt idx="19">
                  <c:v>-170.08019531299999</c:v>
                </c:pt>
                <c:pt idx="20">
                  <c:v>-137.277006836</c:v>
                </c:pt>
                <c:pt idx="21">
                  <c:v>-118.436673828</c:v>
                </c:pt>
                <c:pt idx="22">
                  <c:v>-129.28346923800001</c:v>
                </c:pt>
                <c:pt idx="23">
                  <c:v>-129.19482324200001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B-4A95-81CF-69B024F474A0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México'!$N$7:$N$30</c:f>
              <c:numCache>
                <c:formatCode>General</c:formatCode>
                <c:ptCount val="24"/>
                <c:pt idx="0">
                  <c:v>-120</c:v>
                </c:pt>
                <c:pt idx="1">
                  <c:v>-120</c:v>
                </c:pt>
                <c:pt idx="2">
                  <c:v>-137</c:v>
                </c:pt>
                <c:pt idx="3">
                  <c:v>-160</c:v>
                </c:pt>
                <c:pt idx="4">
                  <c:v>-220</c:v>
                </c:pt>
                <c:pt idx="5">
                  <c:v>-160</c:v>
                </c:pt>
                <c:pt idx="6">
                  <c:v>-138</c:v>
                </c:pt>
                <c:pt idx="7">
                  <c:v>-174</c:v>
                </c:pt>
                <c:pt idx="8">
                  <c:v>-151</c:v>
                </c:pt>
                <c:pt idx="9">
                  <c:v>-120</c:v>
                </c:pt>
                <c:pt idx="10">
                  <c:v>-120</c:v>
                </c:pt>
                <c:pt idx="11">
                  <c:v>-120</c:v>
                </c:pt>
                <c:pt idx="12">
                  <c:v>-120</c:v>
                </c:pt>
                <c:pt idx="13">
                  <c:v>-120</c:v>
                </c:pt>
                <c:pt idx="14">
                  <c:v>-120</c:v>
                </c:pt>
                <c:pt idx="15">
                  <c:v>-150</c:v>
                </c:pt>
                <c:pt idx="16">
                  <c:v>-130</c:v>
                </c:pt>
                <c:pt idx="17">
                  <c:v>-120</c:v>
                </c:pt>
                <c:pt idx="18">
                  <c:v>-150</c:v>
                </c:pt>
                <c:pt idx="19">
                  <c:v>-168</c:v>
                </c:pt>
                <c:pt idx="20">
                  <c:v>-120</c:v>
                </c:pt>
                <c:pt idx="21">
                  <c:v>-120</c:v>
                </c:pt>
                <c:pt idx="22">
                  <c:v>-120</c:v>
                </c:pt>
                <c:pt idx="23">
                  <c:v>-120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B-4A95-81CF-69B024F4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323344"/>
        <c:axId val="927461984"/>
      </c:lineChart>
      <c:catAx>
        <c:axId val="93032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99530634569477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7461984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7461984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3344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823884863925964"/>
          <c:y val="4.953913670721876E-2"/>
          <c:w val="0.36557702590771352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5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739163</xdr:colOff>
      <xdr:row>3</xdr:row>
      <xdr:rowOff>109275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CD5AB-E5BC-0637-FA9D-60427CF5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86887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</xdr:row>
      <xdr:rowOff>104775</xdr:rowOff>
    </xdr:from>
    <xdr:to>
      <xdr:col>3</xdr:col>
      <xdr:colOff>215287</xdr:colOff>
      <xdr:row>5</xdr:row>
      <xdr:rowOff>156900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8DC3E0-2F1E-4661-B27A-416411EC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38150"/>
          <a:ext cx="1586887" cy="57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853462</xdr:colOff>
      <xdr:row>1</xdr:row>
      <xdr:rowOff>328350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D99DC0-FB3B-42F6-96F5-068E0AF7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584200</xdr:colOff>
      <xdr:row>2</xdr:row>
      <xdr:rowOff>157215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383D29-8C9C-4CF1-8A24-DF14677DE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47799" cy="525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212566</xdr:colOff>
      <xdr:row>3</xdr:row>
      <xdr:rowOff>31714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061A2C-8A54-4FD5-939A-1126C4B44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3</xdr:col>
      <xdr:colOff>212911</xdr:colOff>
      <xdr:row>0</xdr:row>
      <xdr:rowOff>496228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BFE028-70C0-44C2-BF2B-638EB50F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1367117" cy="496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7" name="Chart 1">
          <a:extLst>
            <a:ext uri="{FF2B5EF4-FFF2-40B4-BE49-F238E27FC236}">
              <a16:creationId xmlns:a16="http://schemas.microsoft.com/office/drawing/2014/main" id="{00000000-0008-0000-0600-000093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8" name="Chart 2">
          <a:extLst>
            <a:ext uri="{FF2B5EF4-FFF2-40B4-BE49-F238E27FC236}">
              <a16:creationId xmlns:a16="http://schemas.microsoft.com/office/drawing/2014/main" id="{00000000-0008-0000-0600-000094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</xdr:row>
      <xdr:rowOff>28575</xdr:rowOff>
    </xdr:from>
    <xdr:to>
      <xdr:col>9</xdr:col>
      <xdr:colOff>2266950</xdr:colOff>
      <xdr:row>33</xdr:row>
      <xdr:rowOff>123825</xdr:rowOff>
    </xdr:to>
    <xdr:graphicFrame macro="">
      <xdr:nvGraphicFramePr>
        <xdr:cNvPr id="3989" name="Chart 3">
          <a:extLst>
            <a:ext uri="{FF2B5EF4-FFF2-40B4-BE49-F238E27FC236}">
              <a16:creationId xmlns:a16="http://schemas.microsoft.com/office/drawing/2014/main" id="{00000000-0008-0000-0600-000095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9DAB16-41F4-4F5D-99E4-5BCE74C9C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205762</xdr:colOff>
      <xdr:row>2</xdr:row>
      <xdr:rowOff>185475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DBA355-5F28-4FE7-A6C9-ADB571A2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243862</xdr:colOff>
      <xdr:row>2</xdr:row>
      <xdr:rowOff>195000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BCF28B-45D5-4A07-9CA6-6E0191D40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424837</xdr:colOff>
      <xdr:row>2</xdr:row>
      <xdr:rowOff>195000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8987FD-8E71-4660-81F7-2FA1B8BE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262912</xdr:colOff>
      <xdr:row>2</xdr:row>
      <xdr:rowOff>80700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C76EA-05FF-47B8-A798-4031128E5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799487</xdr:colOff>
      <xdr:row>0</xdr:row>
      <xdr:rowOff>576000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48CA2A-AB0E-4FEA-AB3F-7A2B4417A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2" name="Chart 1">
          <a:extLst>
            <a:ext uri="{FF2B5EF4-FFF2-40B4-BE49-F238E27FC236}">
              <a16:creationId xmlns:a16="http://schemas.microsoft.com/office/drawing/2014/main" id="{00000000-0008-0000-0B00-000064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3" name="Chart 2">
          <a:extLst>
            <a:ext uri="{FF2B5EF4-FFF2-40B4-BE49-F238E27FC236}">
              <a16:creationId xmlns:a16="http://schemas.microsoft.com/office/drawing/2014/main" id="{00000000-0008-0000-0B00-000065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4" name="Chart 7">
          <a:extLst>
            <a:ext uri="{FF2B5EF4-FFF2-40B4-BE49-F238E27FC236}">
              <a16:creationId xmlns:a16="http://schemas.microsoft.com/office/drawing/2014/main" id="{00000000-0008-0000-0B00-000066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5" name="Chart 8">
          <a:extLst>
            <a:ext uri="{FF2B5EF4-FFF2-40B4-BE49-F238E27FC236}">
              <a16:creationId xmlns:a16="http://schemas.microsoft.com/office/drawing/2014/main" id="{00000000-0008-0000-0B00-000067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7</xdr:row>
      <xdr:rowOff>276225</xdr:rowOff>
    </xdr:from>
    <xdr:to>
      <xdr:col>9</xdr:col>
      <xdr:colOff>2333625</xdr:colOff>
      <xdr:row>65</xdr:row>
      <xdr:rowOff>171450</xdr:rowOff>
    </xdr:to>
    <xdr:graphicFrame macro="">
      <xdr:nvGraphicFramePr>
        <xdr:cNvPr id="2451816" name="Chart 9">
          <a:extLst>
            <a:ext uri="{FF2B5EF4-FFF2-40B4-BE49-F238E27FC236}">
              <a16:creationId xmlns:a16="http://schemas.microsoft.com/office/drawing/2014/main" id="{00000000-0008-0000-0B00-000068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1222699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0178-A089-470F-8456-E4373AF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24603" cy="44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2" name="Chart 1">
          <a:extLst>
            <a:ext uri="{FF2B5EF4-FFF2-40B4-BE49-F238E27FC236}">
              <a16:creationId xmlns:a16="http://schemas.microsoft.com/office/drawing/2014/main" id="{00000000-0008-0000-0C00-000092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3" name="Chart 2">
          <a:extLst>
            <a:ext uri="{FF2B5EF4-FFF2-40B4-BE49-F238E27FC236}">
              <a16:creationId xmlns:a16="http://schemas.microsoft.com/office/drawing/2014/main" id="{00000000-0008-0000-0C00-000093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8084" name="Chart 3">
          <a:extLst>
            <a:ext uri="{FF2B5EF4-FFF2-40B4-BE49-F238E27FC236}">
              <a16:creationId xmlns:a16="http://schemas.microsoft.com/office/drawing/2014/main" id="{00000000-0008-0000-0C00-000094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BB50F7-733B-4456-95D4-12A76EF36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4" name="Chart 1">
          <a:extLst>
            <a:ext uri="{FF2B5EF4-FFF2-40B4-BE49-F238E27FC236}">
              <a16:creationId xmlns:a16="http://schemas.microsoft.com/office/drawing/2014/main" id="{00000000-0008-0000-0D00-000092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5" name="Chart 2">
          <a:extLst>
            <a:ext uri="{FF2B5EF4-FFF2-40B4-BE49-F238E27FC236}">
              <a16:creationId xmlns:a16="http://schemas.microsoft.com/office/drawing/2014/main" id="{00000000-0008-0000-0D00-000093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21396" name="Chart 3">
          <a:extLst>
            <a:ext uri="{FF2B5EF4-FFF2-40B4-BE49-F238E27FC236}">
              <a16:creationId xmlns:a16="http://schemas.microsoft.com/office/drawing/2014/main" id="{00000000-0008-0000-0D00-000094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27B952-9C5D-46F4-A785-DCCA277CC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M273" totalsRowShown="0" headerRowDxfId="28" headerRowBorderDxfId="27" tableBorderDxfId="26" totalsRowBorderDxfId="25" headerRowCellStyle="Normal_Hoja1">
  <autoFilter ref="A6:M273" xr:uid="{00000000-0009-0000-0100-000001000000}"/>
  <tableColumns count="13">
    <tableColumn id="1" xr3:uid="{00000000-0010-0000-0000-000001000000}" name="Unidad" dataDxfId="24"/>
    <tableColumn id="2" xr3:uid="{00000000-0010-0000-0000-000002000000}" name="Motivo" dataDxfId="23"/>
    <tableColumn id="3" xr3:uid="{00000000-0010-0000-0000-000003000000}" name="Fecha" dataDxfId="22"/>
    <tableColumn id="4" xr3:uid="{00000000-0010-0000-0000-000004000000}" name="Hora" dataDxfId="21"/>
    <tableColumn id="5" xr3:uid="{00000000-0010-0000-0000-000005000000}" name="Fecha." dataDxfId="20"/>
    <tableColumn id="6" xr3:uid="{00000000-0010-0000-0000-000006000000}" name="Hora." dataDxfId="19"/>
    <tableColumn id="7" xr3:uid="{00000000-0010-0000-0000-000007000000}" name="Potencia (MW)" dataDxfId="18"/>
    <tableColumn id="8" xr3:uid="{00000000-0010-0000-0000-000008000000}" name="Observaciones" dataDxfId="17"/>
    <tableColumn id="9" xr3:uid="{00000000-0010-0000-0000-000009000000}" name="Mes" dataDxfId="16"/>
    <tableColumn id="10" xr3:uid="{00000000-0010-0000-0000-00000A000000}" name="Días" dataDxfId="15"/>
    <tableColumn id="11" xr3:uid="{00000000-0010-0000-0000-00000B000000}" name="Horas" dataDxfId="14"/>
    <tableColumn id="12" xr3:uid="{00000000-0010-0000-0000-00000C000000}" name="Minutos" dataDxfId="13"/>
    <tableColumn id="13" xr3:uid="{00000000-0010-0000-0000-00000D000000}" name="total diario (horas)" dataDxfId="12"/>
  </tableColumns>
  <tableStyleInfo name="Formato Blanco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U40"/>
  <sheetViews>
    <sheetView tabSelected="1" topLeftCell="A2" workbookViewId="0">
      <selection activeCell="A2" sqref="A2"/>
    </sheetView>
  </sheetViews>
  <sheetFormatPr baseColWidth="10" defaultColWidth="0" defaultRowHeight="12.75" customHeight="1" zeroHeight="1"/>
  <cols>
    <col min="1" max="1" width="12.7109375" style="157" customWidth="1"/>
    <col min="2" max="8" width="14.7109375" style="1" customWidth="1"/>
    <col min="9" max="9" width="8.140625" style="219" customWidth="1"/>
    <col min="10" max="255" width="19.140625" style="1" hidden="1" customWidth="1"/>
    <col min="256" max="16384" width="26.42578125" style="1" hidden="1"/>
  </cols>
  <sheetData>
    <row r="1" spans="1:9" ht="12.75" hidden="1" customHeight="1">
      <c r="A1" s="1"/>
      <c r="I1" s="1"/>
    </row>
    <row r="2" spans="1:9" ht="20.25" customHeight="1">
      <c r="B2" s="454" t="s">
        <v>0</v>
      </c>
      <c r="C2" s="454"/>
      <c r="D2" s="454"/>
      <c r="E2" s="454"/>
      <c r="F2" s="454"/>
      <c r="G2" s="454"/>
      <c r="H2" s="454"/>
      <c r="I2" s="218"/>
    </row>
    <row r="3" spans="1:9" ht="16.5" customHeight="1">
      <c r="B3" s="463" t="s">
        <v>47</v>
      </c>
      <c r="C3" s="463"/>
      <c r="D3" s="463"/>
      <c r="E3" s="463"/>
      <c r="F3" s="463"/>
      <c r="G3" s="463"/>
      <c r="H3" s="463"/>
      <c r="I3" s="218"/>
    </row>
    <row r="4" spans="1:9" ht="16.5" customHeight="1">
      <c r="B4" s="455" t="s">
        <v>318</v>
      </c>
      <c r="C4" s="455"/>
      <c r="D4" s="455"/>
      <c r="E4" s="455"/>
      <c r="F4" s="455"/>
      <c r="G4" s="455"/>
      <c r="H4" s="455"/>
      <c r="I4" s="218"/>
    </row>
    <row r="5" spans="1:9" ht="6" customHeight="1" thickBot="1">
      <c r="B5" s="217"/>
      <c r="C5" s="217"/>
      <c r="D5" s="217"/>
      <c r="E5" s="217"/>
      <c r="F5" s="217"/>
      <c r="G5" s="217"/>
      <c r="H5" s="217"/>
      <c r="I5" s="218"/>
    </row>
    <row r="6" spans="1:9" ht="33" customHeight="1" thickBot="1">
      <c r="B6" s="459" t="s">
        <v>56</v>
      </c>
      <c r="C6" s="460"/>
      <c r="D6" s="460"/>
      <c r="E6" s="460"/>
      <c r="F6" s="460"/>
      <c r="G6" s="460"/>
      <c r="H6" s="461"/>
      <c r="I6" s="218"/>
    </row>
    <row r="7" spans="1:9" ht="6" customHeight="1" thickBot="1">
      <c r="B7" s="217"/>
      <c r="C7" s="217"/>
      <c r="D7" s="217"/>
      <c r="E7" s="217"/>
      <c r="F7" s="217"/>
      <c r="G7" s="217"/>
      <c r="H7" s="217"/>
      <c r="I7" s="218"/>
    </row>
    <row r="8" spans="1:9" ht="30" customHeight="1" thickBot="1">
      <c r="B8" s="456" t="s">
        <v>2</v>
      </c>
      <c r="C8" s="457"/>
      <c r="D8" s="457"/>
      <c r="E8" s="457"/>
      <c r="F8" s="457"/>
      <c r="G8" s="457"/>
      <c r="H8" s="458"/>
    </row>
    <row r="9" spans="1:9" ht="6.75" customHeight="1" thickBot="1">
      <c r="B9" s="462"/>
      <c r="C9" s="462"/>
      <c r="D9" s="462"/>
      <c r="E9" s="462"/>
      <c r="F9" s="462"/>
      <c r="G9" s="462"/>
      <c r="H9" s="462"/>
    </row>
    <row r="10" spans="1:9" ht="30" customHeight="1" thickBot="1">
      <c r="B10" s="465" t="s">
        <v>4</v>
      </c>
      <c r="C10" s="466"/>
      <c r="D10" s="466"/>
      <c r="E10" s="466"/>
      <c r="F10" s="466"/>
      <c r="G10" s="466"/>
      <c r="H10" s="467"/>
    </row>
    <row r="11" spans="1:9" ht="5.25" customHeight="1" thickBot="1">
      <c r="B11" s="462"/>
      <c r="C11" s="462"/>
      <c r="D11" s="462"/>
      <c r="E11" s="462"/>
      <c r="F11" s="462"/>
      <c r="G11" s="462"/>
      <c r="H11" s="462"/>
    </row>
    <row r="12" spans="1:9" ht="30" customHeight="1" thickBot="1">
      <c r="B12" s="468" t="s">
        <v>5</v>
      </c>
      <c r="C12" s="469"/>
      <c r="D12" s="469"/>
      <c r="E12" s="469"/>
      <c r="F12" s="469"/>
      <c r="G12" s="469"/>
      <c r="H12" s="470"/>
    </row>
    <row r="13" spans="1:9" ht="5.25" customHeight="1" thickBot="1">
      <c r="B13" s="462"/>
      <c r="C13" s="462"/>
      <c r="D13" s="462"/>
      <c r="E13" s="462"/>
      <c r="F13" s="462"/>
      <c r="G13" s="462"/>
      <c r="H13" s="462"/>
    </row>
    <row r="14" spans="1:9" ht="30" customHeight="1" thickBot="1">
      <c r="B14" s="456" t="s">
        <v>3</v>
      </c>
      <c r="C14" s="457"/>
      <c r="D14" s="457"/>
      <c r="E14" s="457"/>
      <c r="F14" s="457"/>
      <c r="G14" s="457"/>
      <c r="H14" s="458"/>
    </row>
    <row r="15" spans="1:9" ht="5.25" customHeight="1" thickBot="1">
      <c r="B15" s="462"/>
      <c r="C15" s="462"/>
      <c r="D15" s="462"/>
      <c r="E15" s="462"/>
      <c r="F15" s="462"/>
      <c r="G15" s="462"/>
      <c r="H15" s="462"/>
    </row>
    <row r="16" spans="1:9" ht="30" customHeight="1" thickBot="1">
      <c r="B16" s="451" t="s">
        <v>63</v>
      </c>
      <c r="C16" s="452"/>
      <c r="D16" s="452"/>
      <c r="E16" s="452"/>
      <c r="F16" s="452"/>
      <c r="G16" s="452"/>
      <c r="H16" s="453"/>
    </row>
    <row r="17" spans="2:10" ht="5.25" customHeight="1" thickBot="1">
      <c r="B17" s="474"/>
      <c r="C17" s="474"/>
      <c r="D17" s="474"/>
      <c r="E17" s="474"/>
      <c r="F17" s="474"/>
      <c r="G17" s="474"/>
      <c r="H17" s="474"/>
    </row>
    <row r="18" spans="2:10" ht="30" customHeight="1" thickBot="1">
      <c r="B18" s="475" t="s">
        <v>60</v>
      </c>
      <c r="C18" s="476"/>
      <c r="D18" s="476"/>
      <c r="E18" s="476"/>
      <c r="F18" s="476"/>
      <c r="G18" s="476"/>
      <c r="H18" s="477"/>
      <c r="I18" s="221"/>
      <c r="J18" s="3"/>
    </row>
    <row r="19" spans="2:10" ht="5.25" customHeight="1" thickBot="1">
      <c r="B19" s="474"/>
      <c r="C19" s="474"/>
      <c r="D19" s="474"/>
      <c r="E19" s="474"/>
      <c r="F19" s="474"/>
      <c r="G19" s="474"/>
      <c r="H19" s="474"/>
    </row>
    <row r="20" spans="2:10" ht="30" customHeight="1" thickBot="1">
      <c r="B20" s="448" t="s">
        <v>61</v>
      </c>
      <c r="C20" s="449"/>
      <c r="D20" s="449"/>
      <c r="E20" s="449"/>
      <c r="F20" s="449"/>
      <c r="G20" s="449"/>
      <c r="H20" s="450"/>
    </row>
    <row r="21" spans="2:10" ht="5.25" customHeight="1" thickBot="1">
      <c r="B21" s="462"/>
      <c r="C21" s="462"/>
      <c r="D21" s="462"/>
      <c r="E21" s="462"/>
      <c r="F21" s="462"/>
      <c r="G21" s="462"/>
      <c r="H21" s="462"/>
    </row>
    <row r="22" spans="2:10" ht="30" customHeight="1" thickBot="1">
      <c r="B22" s="448" t="s">
        <v>293</v>
      </c>
      <c r="C22" s="449"/>
      <c r="D22" s="449"/>
      <c r="E22" s="449"/>
      <c r="F22" s="449"/>
      <c r="G22" s="449"/>
      <c r="H22" s="450"/>
    </row>
    <row r="23" spans="2:10" ht="5.25" customHeight="1" thickBot="1">
      <c r="B23" s="220"/>
      <c r="C23" s="220"/>
      <c r="D23" s="220"/>
      <c r="E23" s="220"/>
      <c r="F23" s="220"/>
      <c r="G23" s="220"/>
      <c r="H23" s="220"/>
    </row>
    <row r="24" spans="2:10" ht="30" customHeight="1" thickBot="1">
      <c r="B24" s="478" t="s">
        <v>1</v>
      </c>
      <c r="C24" s="479"/>
      <c r="D24" s="479"/>
      <c r="E24" s="479"/>
      <c r="F24" s="479"/>
      <c r="G24" s="479"/>
      <c r="H24" s="480"/>
    </row>
    <row r="25" spans="2:10" ht="5.25" customHeight="1" thickBot="1">
      <c r="B25" s="220"/>
      <c r="C25" s="220"/>
      <c r="D25" s="220"/>
      <c r="E25" s="220"/>
      <c r="F25" s="220"/>
      <c r="G25" s="220"/>
      <c r="H25" s="220"/>
    </row>
    <row r="26" spans="2:10" ht="30" customHeight="1" thickBot="1">
      <c r="B26" s="471" t="s">
        <v>64</v>
      </c>
      <c r="C26" s="472"/>
      <c r="D26" s="472"/>
      <c r="E26" s="472"/>
      <c r="F26" s="472"/>
      <c r="G26" s="472"/>
      <c r="H26" s="473"/>
    </row>
    <row r="27" spans="2:10" ht="5.25" customHeight="1" thickBot="1">
      <c r="B27" s="157"/>
      <c r="C27" s="157"/>
      <c r="D27" s="157"/>
      <c r="E27" s="157"/>
      <c r="F27" s="157"/>
      <c r="G27" s="157"/>
      <c r="H27" s="157"/>
    </row>
    <row r="28" spans="2:10" ht="30.75" customHeight="1" thickBot="1">
      <c r="B28" s="451" t="s">
        <v>62</v>
      </c>
      <c r="C28" s="452"/>
      <c r="D28" s="452"/>
      <c r="E28" s="452"/>
      <c r="F28" s="452"/>
      <c r="G28" s="452"/>
      <c r="H28" s="453"/>
    </row>
    <row r="29" spans="2:10" ht="5.25" customHeight="1" thickBot="1">
      <c r="B29" s="157"/>
      <c r="C29" s="157"/>
      <c r="D29" s="157"/>
      <c r="E29" s="157"/>
      <c r="F29" s="157"/>
      <c r="G29" s="157"/>
      <c r="H29" s="157"/>
    </row>
    <row r="30" spans="2:10" ht="30.75" customHeight="1" thickBot="1">
      <c r="B30" s="451" t="s">
        <v>80</v>
      </c>
      <c r="C30" s="452"/>
      <c r="D30" s="452"/>
      <c r="E30" s="452"/>
      <c r="F30" s="452"/>
      <c r="G30" s="452"/>
      <c r="H30" s="453"/>
    </row>
    <row r="31" spans="2:10" ht="5.25" customHeight="1" thickBot="1">
      <c r="B31" s="157"/>
      <c r="C31" s="157"/>
      <c r="D31" s="157"/>
      <c r="E31" s="157"/>
      <c r="F31" s="157"/>
      <c r="G31" s="157"/>
      <c r="H31" s="157"/>
    </row>
    <row r="32" spans="2:10" ht="30.75" customHeight="1" thickBot="1">
      <c r="B32" s="451" t="s">
        <v>79</v>
      </c>
      <c r="C32" s="452"/>
      <c r="D32" s="452"/>
      <c r="E32" s="452"/>
      <c r="F32" s="452"/>
      <c r="G32" s="452"/>
      <c r="H32" s="453"/>
    </row>
    <row r="33" spans="2:8" ht="14.25" hidden="1" customHeight="1">
      <c r="B33" s="451"/>
      <c r="C33" s="452"/>
      <c r="D33" s="452"/>
      <c r="E33" s="452"/>
      <c r="F33" s="452"/>
      <c r="G33" s="452"/>
      <c r="H33" s="453"/>
    </row>
    <row r="34" spans="2:8" ht="14.25" hidden="1" customHeight="1">
      <c r="D34" s="464"/>
      <c r="E34" s="464"/>
      <c r="F34" s="464"/>
    </row>
    <row r="35" spans="2:8" ht="14.25" hidden="1" customHeight="1"/>
    <row r="36" spans="2:8" ht="14.25" hidden="1" customHeight="1"/>
    <row r="37" spans="2:8" ht="14.25" hidden="1" customHeight="1"/>
    <row r="38" spans="2:8" ht="15.75" hidden="1">
      <c r="B38" s="4"/>
      <c r="C38" s="5"/>
      <c r="D38" s="4"/>
      <c r="E38" s="4"/>
      <c r="F38" s="5"/>
    </row>
    <row r="39" spans="2:8" ht="15" hidden="1" customHeight="1"/>
    <row r="40" spans="2:8" hidden="1"/>
  </sheetData>
  <mergeCells count="26">
    <mergeCell ref="B28:H28"/>
    <mergeCell ref="D34:F34"/>
    <mergeCell ref="B10:H10"/>
    <mergeCell ref="B11:H11"/>
    <mergeCell ref="B12:H12"/>
    <mergeCell ref="B13:H13"/>
    <mergeCell ref="B20:H20"/>
    <mergeCell ref="B33:H33"/>
    <mergeCell ref="B32:H32"/>
    <mergeCell ref="B30:H30"/>
    <mergeCell ref="B26:H26"/>
    <mergeCell ref="B17:H17"/>
    <mergeCell ref="B18:H18"/>
    <mergeCell ref="B21:H21"/>
    <mergeCell ref="B24:H24"/>
    <mergeCell ref="B19:H19"/>
    <mergeCell ref="B22:H22"/>
    <mergeCell ref="B16:H16"/>
    <mergeCell ref="B2:H2"/>
    <mergeCell ref="B4:H4"/>
    <mergeCell ref="B8:H8"/>
    <mergeCell ref="B14:H14"/>
    <mergeCell ref="B6:H6"/>
    <mergeCell ref="B15:H15"/>
    <mergeCell ref="B9:H9"/>
    <mergeCell ref="B3:H3"/>
  </mergeCells>
  <phoneticPr fontId="11" type="noConversion"/>
  <hyperlinks>
    <hyperlink ref="B28:G28" location="CURVA!A1" display="CURVA!A1" xr:uid="{00000000-0004-0000-0000-000000000000}"/>
    <hyperlink ref="B28:H28" location="'Curva S.N.I.'!A1" display="CURVA DE CARGA" xr:uid="{00000000-0004-0000-0000-000001000000}"/>
    <hyperlink ref="B26:G26" location="CURVA!A1" display="CURVA!A1" xr:uid="{00000000-0004-0000-0000-000002000000}"/>
    <hyperlink ref="B26:H26" location="INDISPONIBILIDADES!A1" display="INDISPONIBILIDADES DE PLANTAS GENERADORAS" xr:uid="{00000000-0004-0000-0000-000003000000}"/>
    <hyperlink ref="B6:G6" location="'Carga Horaria'!A1" display="LECTURAS DE CARGA HORARIA" xr:uid="{00000000-0004-0000-0000-000004000000}"/>
    <hyperlink ref="B8:G8" location="SPOT!A1" display="SPOT!A1" xr:uid="{00000000-0004-0000-0000-000005000000}"/>
    <hyperlink ref="B8:H8" location="POE!A1" display="PRECIO OPORTUNIDAD DE LA ENERGÍA (POE)" xr:uid="{00000000-0004-0000-0000-000006000000}"/>
    <hyperlink ref="B10:H10" location="GF!A1" display="GENERACION FORZADA" xr:uid="{00000000-0004-0000-0000-000007000000}"/>
    <hyperlink ref="B12:H12" location="SC!A1" display="SERVICIOS COMPLEMENTARIOS " xr:uid="{00000000-0004-0000-0000-000008000000}"/>
    <hyperlink ref="B14:G14" location="SPOT!A1" display="SPOT!A1" xr:uid="{00000000-0004-0000-0000-000009000000}"/>
    <hyperlink ref="B14:H14" location="PPOE!A1" display="PROYECCION PRECIO OPORTUNIDAD DE LA ENERGÍA (POE)" xr:uid="{00000000-0004-0000-0000-00000A000000}"/>
    <hyperlink ref="B18:G18" location="RJT1!A1" display="RJT1!A1" xr:uid="{00000000-0004-0000-0000-00000B000000}"/>
    <hyperlink ref="B18:H18" location="RSO1!A1" display="INCIDENCIAS EN EL SNI" xr:uid="{00000000-0004-0000-0000-00000C000000}"/>
    <hyperlink ref="B20:G20" location="RJT1!A1" display="RJT1!A1" xr:uid="{00000000-0004-0000-0000-00000D000000}"/>
    <hyperlink ref="B20:H20" location="RSO2!A1" display="INFORMACIÓN DE LA OPERACIÓN DEL S.N.I. HOJA 2" xr:uid="{00000000-0004-0000-0000-00000E000000}"/>
    <hyperlink ref="B16:G16" location="SPOT!A1" display="SPOT!A1" xr:uid="{00000000-0004-0000-0000-00000F000000}"/>
    <hyperlink ref="B16:H16" location="Curvaspot!A1" display="CURVA PRECIO SPOT REAL VS PROYECTADO" xr:uid="{00000000-0004-0000-0000-000010000000}"/>
    <hyperlink ref="B24:G24" location="'Carga Horaria'!A1" display="LECTURAS DE CARGA HORARIA" xr:uid="{00000000-0004-0000-0000-000011000000}"/>
    <hyperlink ref="B6:H6" location="Presentación!A1" display="PRESENTACIÓN" xr:uid="{00000000-0004-0000-0000-000012000000}"/>
    <hyperlink ref="B30:H30" location="'Curva MER'!A1" display="CURVA DE INTERCONEXIÓN (MER)" xr:uid="{00000000-0004-0000-0000-000013000000}"/>
    <hyperlink ref="B32:H32" location="'Curva Interconexión México'!A1" display="CURVA DE INTERCONEXIÓN (MÉXICO)" xr:uid="{00000000-0004-0000-0000-000014000000}"/>
    <hyperlink ref="B22:G22" location="RJT1!A1" display="RJT1!A1" xr:uid="{00000000-0004-0000-0000-000015000000}"/>
    <hyperlink ref="B22:H22" location="'RSO3'!A1" display="INFORMACIÓN DE LA OPERACIÓN DEL S.N.I. HOJA 3" xr:uid="{00000000-0004-0000-0000-000016000000}"/>
  </hyperlinks>
  <pageMargins left="0.34" right="0.32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3"/>
  </sheetPr>
  <dimension ref="A1:IU78"/>
  <sheetViews>
    <sheetView showGridLines="0" showRowColHeaders="0" zoomScaleNormal="100" workbookViewId="0"/>
  </sheetViews>
  <sheetFormatPr baseColWidth="10" defaultColWidth="0" defaultRowHeight="12.75" customHeight="1" zeroHeight="1"/>
  <cols>
    <col min="1" max="1" width="8" customWidth="1"/>
    <col min="2" max="2" width="6.7109375" style="241" customWidth="1"/>
    <col min="3" max="9" width="15.7109375" style="241" customWidth="1"/>
    <col min="10" max="10" width="6.7109375" style="241" customWidth="1"/>
    <col min="11" max="12" width="12.7109375" hidden="1" customWidth="1"/>
    <col min="13" max="253" width="0" hidden="1" customWidth="1"/>
    <col min="254" max="254" width="6.42578125" style="241" customWidth="1"/>
    <col min="255" max="255" width="8.140625" style="241" customWidth="1"/>
  </cols>
  <sheetData>
    <row r="1" spans="1:254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88"/>
      <c r="CG1" s="288"/>
      <c r="CH1" s="288"/>
      <c r="CI1" s="288"/>
      <c r="CJ1" s="288"/>
      <c r="CK1" s="288"/>
      <c r="CL1" s="288"/>
      <c r="CM1" s="288"/>
      <c r="CN1" s="288"/>
      <c r="CO1" s="288"/>
      <c r="CP1" s="288"/>
      <c r="CQ1" s="288"/>
      <c r="CR1" s="288"/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D1" s="288"/>
      <c r="DE1" s="288"/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288"/>
      <c r="DX1" s="288"/>
      <c r="DY1" s="288"/>
      <c r="DZ1" s="288"/>
      <c r="EA1" s="288"/>
      <c r="EB1" s="288"/>
      <c r="EC1" s="288"/>
      <c r="ED1" s="288"/>
      <c r="EE1" s="288"/>
      <c r="EF1" s="288"/>
      <c r="EG1" s="288"/>
      <c r="EH1" s="288"/>
      <c r="EI1" s="288"/>
      <c r="EJ1" s="288"/>
      <c r="EK1" s="288"/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288"/>
      <c r="EX1" s="288"/>
      <c r="EY1" s="288"/>
      <c r="EZ1" s="288"/>
      <c r="FA1" s="288"/>
      <c r="FB1" s="288"/>
      <c r="FC1" s="288"/>
      <c r="FD1" s="288"/>
      <c r="FE1" s="288"/>
      <c r="FF1" s="288"/>
      <c r="FG1" s="288"/>
      <c r="FH1" s="288"/>
      <c r="FI1" s="288"/>
      <c r="FJ1" s="288"/>
      <c r="FK1" s="288"/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  <c r="FW1" s="288"/>
      <c r="FX1" s="288"/>
      <c r="FY1" s="288"/>
      <c r="FZ1" s="288"/>
      <c r="GA1" s="288"/>
      <c r="GB1" s="288"/>
      <c r="GC1" s="288"/>
      <c r="GD1" s="288"/>
      <c r="GE1" s="288"/>
      <c r="GF1" s="288"/>
      <c r="GG1" s="288"/>
      <c r="GH1" s="288"/>
      <c r="GI1" s="288"/>
      <c r="GJ1" s="288"/>
      <c r="GK1" s="288"/>
      <c r="GL1" s="288"/>
      <c r="GM1" s="288"/>
      <c r="GN1" s="288"/>
      <c r="GO1" s="288"/>
      <c r="GP1" s="288"/>
      <c r="GQ1" s="288"/>
      <c r="GR1" s="288"/>
      <c r="GS1" s="288"/>
      <c r="GT1" s="288"/>
      <c r="GU1" s="288"/>
      <c r="GV1" s="288"/>
      <c r="GW1" s="288"/>
      <c r="GX1" s="288"/>
      <c r="GY1" s="288"/>
      <c r="GZ1" s="288"/>
      <c r="HA1" s="288"/>
      <c r="HB1" s="288"/>
      <c r="HC1" s="288"/>
      <c r="HD1" s="288"/>
      <c r="HE1" s="288"/>
      <c r="HF1" s="288"/>
      <c r="HG1" s="288"/>
      <c r="HH1" s="288"/>
      <c r="HI1" s="288"/>
      <c r="HJ1" s="288"/>
      <c r="HK1" s="288"/>
      <c r="HL1" s="288"/>
      <c r="HM1" s="288"/>
      <c r="HN1" s="288"/>
      <c r="HO1" s="288"/>
      <c r="HP1" s="288"/>
      <c r="HQ1" s="288"/>
      <c r="HR1" s="288"/>
      <c r="HS1" s="288"/>
      <c r="HT1" s="288"/>
      <c r="HU1" s="288"/>
      <c r="HV1" s="288"/>
      <c r="HW1" s="288"/>
      <c r="HX1" s="288"/>
      <c r="HY1" s="288"/>
      <c r="HZ1" s="288"/>
      <c r="IA1" s="288"/>
      <c r="IB1" s="288"/>
      <c r="IC1" s="288"/>
      <c r="ID1" s="288"/>
      <c r="IE1" s="288"/>
      <c r="IF1" s="288"/>
      <c r="IG1" s="288"/>
      <c r="IH1" s="288"/>
      <c r="II1" s="288"/>
      <c r="IJ1" s="288"/>
      <c r="IK1" s="288"/>
      <c r="IL1" s="288"/>
      <c r="IM1" s="288"/>
      <c r="IN1" s="288"/>
      <c r="IO1" s="288"/>
      <c r="IP1" s="288"/>
      <c r="IQ1" s="288"/>
      <c r="IR1" s="288"/>
      <c r="IS1" s="288"/>
      <c r="IT1" s="288"/>
    </row>
    <row r="2" spans="1:254" ht="13.5" thickBot="1">
      <c r="A2" s="288"/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88"/>
      <c r="BX2" s="288"/>
      <c r="BY2" s="288"/>
      <c r="BZ2" s="288"/>
      <c r="CA2" s="288"/>
      <c r="CB2" s="288"/>
      <c r="CC2" s="288"/>
      <c r="CD2" s="288"/>
      <c r="CE2" s="288"/>
      <c r="CF2" s="288"/>
      <c r="CG2" s="288"/>
      <c r="CH2" s="288"/>
      <c r="CI2" s="288"/>
      <c r="CJ2" s="288"/>
      <c r="CK2" s="288"/>
      <c r="CL2" s="288"/>
      <c r="CM2" s="288"/>
      <c r="CN2" s="288"/>
      <c r="CO2" s="288"/>
      <c r="CP2" s="288"/>
      <c r="CQ2" s="288"/>
      <c r="CR2" s="288"/>
      <c r="CS2" s="288"/>
      <c r="CT2" s="288"/>
      <c r="CU2" s="288"/>
      <c r="CV2" s="288"/>
      <c r="CW2" s="288"/>
      <c r="CX2" s="288"/>
      <c r="CY2" s="288"/>
      <c r="CZ2" s="288"/>
      <c r="DA2" s="288"/>
      <c r="DB2" s="288"/>
      <c r="DC2" s="288"/>
      <c r="DD2" s="288"/>
      <c r="DE2" s="288"/>
      <c r="DF2" s="288"/>
      <c r="DG2" s="288"/>
      <c r="DH2" s="288"/>
      <c r="DI2" s="288"/>
      <c r="DJ2" s="288"/>
      <c r="DK2" s="288"/>
      <c r="DL2" s="288"/>
      <c r="DM2" s="288"/>
      <c r="DN2" s="288"/>
      <c r="DO2" s="288"/>
      <c r="DP2" s="288"/>
      <c r="DQ2" s="288"/>
      <c r="DR2" s="288"/>
      <c r="DS2" s="288"/>
      <c r="DT2" s="288"/>
      <c r="DU2" s="288"/>
      <c r="DV2" s="288"/>
      <c r="DW2" s="288"/>
      <c r="DX2" s="288"/>
      <c r="DY2" s="288"/>
      <c r="DZ2" s="288"/>
      <c r="EA2" s="288"/>
      <c r="EB2" s="288"/>
      <c r="EC2" s="288"/>
      <c r="ED2" s="288"/>
      <c r="EE2" s="288"/>
      <c r="EF2" s="288"/>
      <c r="EG2" s="288"/>
      <c r="EH2" s="288"/>
      <c r="EI2" s="288"/>
      <c r="EJ2" s="288"/>
      <c r="EK2" s="288"/>
      <c r="EL2" s="288"/>
      <c r="EM2" s="288"/>
      <c r="EN2" s="288"/>
      <c r="EO2" s="288"/>
      <c r="EP2" s="288"/>
      <c r="EQ2" s="288"/>
      <c r="ER2" s="288"/>
      <c r="ES2" s="288"/>
      <c r="ET2" s="288"/>
      <c r="EU2" s="288"/>
      <c r="EV2" s="288"/>
      <c r="EW2" s="288"/>
      <c r="EX2" s="288"/>
      <c r="EY2" s="288"/>
      <c r="EZ2" s="288"/>
      <c r="FA2" s="288"/>
      <c r="FB2" s="288"/>
      <c r="FC2" s="288"/>
      <c r="FD2" s="288"/>
      <c r="FE2" s="288"/>
      <c r="FF2" s="288"/>
      <c r="FG2" s="288"/>
      <c r="FH2" s="288"/>
      <c r="FI2" s="288"/>
      <c r="FJ2" s="288"/>
      <c r="FK2" s="288"/>
      <c r="FL2" s="288"/>
      <c r="FM2" s="288"/>
      <c r="FN2" s="288"/>
      <c r="FO2" s="288"/>
      <c r="FP2" s="288"/>
      <c r="FQ2" s="288"/>
      <c r="FR2" s="288"/>
      <c r="FS2" s="288"/>
      <c r="FT2" s="288"/>
      <c r="FU2" s="288"/>
      <c r="FV2" s="288"/>
      <c r="FW2" s="288"/>
      <c r="FX2" s="288"/>
      <c r="FY2" s="288"/>
      <c r="FZ2" s="288"/>
      <c r="GA2" s="288"/>
      <c r="GB2" s="288"/>
      <c r="GC2" s="288"/>
      <c r="GD2" s="288"/>
      <c r="GE2" s="288"/>
      <c r="GF2" s="288"/>
      <c r="GG2" s="288"/>
      <c r="GH2" s="288"/>
      <c r="GI2" s="288"/>
      <c r="GJ2" s="288"/>
      <c r="GK2" s="288"/>
      <c r="GL2" s="288"/>
      <c r="GM2" s="288"/>
      <c r="GN2" s="288"/>
      <c r="GO2" s="288"/>
      <c r="GP2" s="288"/>
      <c r="GQ2" s="288"/>
      <c r="GR2" s="288"/>
      <c r="GS2" s="288"/>
      <c r="GT2" s="288"/>
      <c r="GU2" s="288"/>
      <c r="GV2" s="288"/>
      <c r="GW2" s="288"/>
      <c r="GX2" s="288"/>
      <c r="GY2" s="288"/>
      <c r="GZ2" s="288"/>
      <c r="HA2" s="288"/>
      <c r="HB2" s="288"/>
      <c r="HC2" s="288"/>
      <c r="HD2" s="288"/>
      <c r="HE2" s="288"/>
      <c r="HF2" s="288"/>
      <c r="HG2" s="288"/>
      <c r="HH2" s="288"/>
      <c r="HI2" s="288"/>
      <c r="HJ2" s="288"/>
      <c r="HK2" s="288"/>
      <c r="HL2" s="288"/>
      <c r="HM2" s="288"/>
      <c r="HN2" s="288"/>
      <c r="HO2" s="288"/>
      <c r="HP2" s="288"/>
      <c r="HQ2" s="288"/>
      <c r="HR2" s="288"/>
      <c r="HS2" s="288"/>
      <c r="HT2" s="288"/>
      <c r="HU2" s="288"/>
      <c r="HV2" s="288"/>
      <c r="HW2" s="288"/>
      <c r="HX2" s="288"/>
      <c r="HY2" s="288"/>
      <c r="HZ2" s="288"/>
      <c r="IA2" s="288"/>
      <c r="IB2" s="288"/>
      <c r="IC2" s="288"/>
      <c r="ID2" s="288"/>
      <c r="IE2" s="288"/>
      <c r="IF2" s="288"/>
      <c r="IG2" s="288"/>
      <c r="IH2" s="288"/>
      <c r="II2" s="288"/>
      <c r="IJ2" s="288"/>
      <c r="IK2" s="288"/>
      <c r="IL2" s="288"/>
      <c r="IM2" s="288"/>
      <c r="IN2" s="288"/>
      <c r="IO2" s="288"/>
      <c r="IP2" s="288"/>
      <c r="IQ2" s="288"/>
      <c r="IR2" s="288"/>
      <c r="IS2" s="288"/>
      <c r="IT2" s="288"/>
    </row>
    <row r="3" spans="1:254" ht="13.5" thickTop="1">
      <c r="A3" s="289"/>
      <c r="B3" s="275"/>
      <c r="C3" s="276"/>
      <c r="D3" s="276"/>
      <c r="E3" s="276"/>
      <c r="F3" s="276"/>
      <c r="G3" s="276"/>
      <c r="H3" s="276"/>
      <c r="I3" s="276"/>
      <c r="J3" s="277"/>
      <c r="IT3" s="289"/>
    </row>
    <row r="4" spans="1:254">
      <c r="A4" s="289"/>
      <c r="B4" s="279"/>
      <c r="C4" s="278"/>
      <c r="D4" s="278"/>
      <c r="E4" s="278"/>
      <c r="F4" s="278"/>
      <c r="G4" s="278"/>
      <c r="H4" s="278"/>
      <c r="I4" s="278"/>
      <c r="J4" s="280"/>
      <c r="IT4" s="289"/>
    </row>
    <row r="5" spans="1:254" ht="15">
      <c r="A5" s="289"/>
      <c r="B5" s="481" t="s">
        <v>318</v>
      </c>
      <c r="C5" s="482"/>
      <c r="D5" s="482"/>
      <c r="E5" s="482"/>
      <c r="F5" s="482"/>
      <c r="G5" s="482"/>
      <c r="H5" s="482"/>
      <c r="I5" s="482"/>
      <c r="J5" s="483"/>
      <c r="IT5" s="289"/>
    </row>
    <row r="6" spans="1:254">
      <c r="A6" s="289"/>
      <c r="B6" s="279"/>
      <c r="C6" s="278"/>
      <c r="D6" s="278"/>
      <c r="E6" s="278"/>
      <c r="F6" s="278"/>
      <c r="G6" s="278"/>
      <c r="H6" s="278"/>
      <c r="I6" s="278"/>
      <c r="J6" s="280"/>
      <c r="IT6" s="289"/>
    </row>
    <row r="7" spans="1:254">
      <c r="A7" s="289"/>
      <c r="B7" s="279"/>
      <c r="C7" s="281"/>
      <c r="D7" s="281"/>
      <c r="E7" s="281"/>
      <c r="F7" s="282"/>
      <c r="G7" s="281"/>
      <c r="H7" s="281"/>
      <c r="I7" s="281"/>
      <c r="J7" s="280"/>
      <c r="IT7" s="289"/>
    </row>
    <row r="8" spans="1:254">
      <c r="A8" s="289"/>
      <c r="B8" s="279"/>
      <c r="C8" s="281"/>
      <c r="D8" s="281"/>
      <c r="E8" s="281"/>
      <c r="F8" s="281"/>
      <c r="G8" s="281"/>
      <c r="H8" s="281"/>
      <c r="I8" s="281"/>
      <c r="J8" s="280"/>
      <c r="IT8" s="289"/>
    </row>
    <row r="9" spans="1:254">
      <c r="A9" s="289"/>
      <c r="B9" s="279"/>
      <c r="C9" s="281"/>
      <c r="D9" s="281"/>
      <c r="E9" s="281"/>
      <c r="F9" s="281"/>
      <c r="G9" s="281"/>
      <c r="H9" s="281"/>
      <c r="I9" s="281"/>
      <c r="J9" s="280"/>
      <c r="IT9" s="289"/>
    </row>
    <row r="10" spans="1:254" ht="13.5" customHeight="1">
      <c r="A10" s="289"/>
      <c r="B10" s="283"/>
      <c r="C10" s="484" t="s">
        <v>75</v>
      </c>
      <c r="D10" s="484"/>
      <c r="E10" s="484"/>
      <c r="F10" s="484"/>
      <c r="G10" s="484"/>
      <c r="H10" s="484"/>
      <c r="I10" s="484"/>
      <c r="J10" s="284"/>
      <c r="K10" s="222"/>
      <c r="IT10" s="289"/>
    </row>
    <row r="11" spans="1:254" ht="6.75" customHeight="1">
      <c r="A11" s="289"/>
      <c r="B11" s="279"/>
      <c r="C11" s="281"/>
      <c r="D11" s="281"/>
      <c r="E11" s="281"/>
      <c r="F11" s="281"/>
      <c r="G11" s="281"/>
      <c r="H11" s="281"/>
      <c r="I11" s="281"/>
      <c r="J11" s="280"/>
      <c r="IT11" s="289"/>
    </row>
    <row r="12" spans="1:254" ht="14.25" customHeight="1">
      <c r="A12" s="289"/>
      <c r="B12" s="283" t="s">
        <v>57</v>
      </c>
      <c r="C12" s="485" t="s">
        <v>106</v>
      </c>
      <c r="D12" s="485"/>
      <c r="E12" s="485"/>
      <c r="F12" s="485"/>
      <c r="G12" s="485"/>
      <c r="H12" s="485"/>
      <c r="I12" s="485"/>
      <c r="J12" s="280"/>
      <c r="IT12" s="289"/>
    </row>
    <row r="13" spans="1:254" ht="14.25" customHeight="1">
      <c r="A13" s="289"/>
      <c r="B13" s="279"/>
      <c r="C13" s="485"/>
      <c r="D13" s="485"/>
      <c r="E13" s="485"/>
      <c r="F13" s="485"/>
      <c r="G13" s="485"/>
      <c r="H13" s="485"/>
      <c r="I13" s="485"/>
      <c r="J13" s="280"/>
      <c r="IT13" s="289"/>
    </row>
    <row r="14" spans="1:254" ht="14.25" customHeight="1">
      <c r="A14" s="289"/>
      <c r="B14" s="279"/>
      <c r="C14" s="485"/>
      <c r="D14" s="485"/>
      <c r="E14" s="485"/>
      <c r="F14" s="485"/>
      <c r="G14" s="485"/>
      <c r="H14" s="485"/>
      <c r="I14" s="485"/>
      <c r="J14" s="280"/>
      <c r="IT14" s="289"/>
    </row>
    <row r="15" spans="1:254" ht="14.25" customHeight="1">
      <c r="A15" s="289"/>
      <c r="B15" s="279"/>
      <c r="C15" s="485"/>
      <c r="D15" s="485"/>
      <c r="E15" s="485"/>
      <c r="F15" s="485"/>
      <c r="G15" s="485"/>
      <c r="H15" s="485"/>
      <c r="I15" s="485"/>
      <c r="J15" s="280"/>
      <c r="IT15" s="289"/>
    </row>
    <row r="16" spans="1:254" ht="14.25" customHeight="1">
      <c r="A16" s="289"/>
      <c r="B16" s="279"/>
      <c r="C16" s="335"/>
      <c r="D16" s="335"/>
      <c r="E16" s="335"/>
      <c r="F16" s="335"/>
      <c r="G16" s="335"/>
      <c r="H16" s="335"/>
      <c r="I16" s="335"/>
      <c r="J16" s="280"/>
      <c r="IT16" s="289"/>
    </row>
    <row r="17" spans="1:254" ht="14.25" customHeight="1">
      <c r="A17" s="289"/>
      <c r="B17" s="279"/>
      <c r="C17" s="485" t="s">
        <v>76</v>
      </c>
      <c r="D17" s="485"/>
      <c r="E17" s="485"/>
      <c r="F17" s="485"/>
      <c r="G17" s="485"/>
      <c r="H17" s="485"/>
      <c r="I17" s="485"/>
      <c r="J17" s="280"/>
      <c r="IT17" s="289"/>
    </row>
    <row r="18" spans="1:254" ht="14.25" customHeight="1">
      <c r="A18" s="289"/>
      <c r="B18" s="279"/>
      <c r="C18" s="485"/>
      <c r="D18" s="485"/>
      <c r="E18" s="485"/>
      <c r="F18" s="485"/>
      <c r="G18" s="485"/>
      <c r="H18" s="485"/>
      <c r="I18" s="485"/>
      <c r="J18" s="280"/>
      <c r="IT18" s="289"/>
    </row>
    <row r="19" spans="1:254" ht="14.25" customHeight="1">
      <c r="A19" s="289"/>
      <c r="B19" s="279"/>
      <c r="C19" s="335"/>
      <c r="D19" s="335"/>
      <c r="E19" s="335"/>
      <c r="F19" s="335"/>
      <c r="G19" s="335"/>
      <c r="H19" s="335"/>
      <c r="I19" s="335"/>
      <c r="J19" s="280"/>
      <c r="IT19" s="289"/>
    </row>
    <row r="20" spans="1:254" ht="14.25" customHeight="1">
      <c r="A20" s="289"/>
      <c r="B20" s="279"/>
      <c r="C20" s="485" t="s">
        <v>77</v>
      </c>
      <c r="D20" s="485"/>
      <c r="E20" s="485"/>
      <c r="F20" s="485"/>
      <c r="G20" s="485"/>
      <c r="H20" s="485"/>
      <c r="I20" s="485"/>
      <c r="J20" s="280"/>
      <c r="IT20" s="289"/>
    </row>
    <row r="21" spans="1:254" ht="14.25" customHeight="1">
      <c r="A21" s="289"/>
      <c r="B21" s="279"/>
      <c r="C21" s="485"/>
      <c r="D21" s="485"/>
      <c r="E21" s="485"/>
      <c r="F21" s="485"/>
      <c r="G21" s="485"/>
      <c r="H21" s="485"/>
      <c r="I21" s="485"/>
      <c r="J21" s="280"/>
      <c r="IT21" s="289"/>
    </row>
    <row r="22" spans="1:254" ht="14.25" customHeight="1">
      <c r="A22" s="289"/>
      <c r="B22" s="279"/>
      <c r="C22" s="335"/>
      <c r="D22" s="335"/>
      <c r="E22" s="335"/>
      <c r="F22" s="335"/>
      <c r="G22" s="335"/>
      <c r="H22" s="335"/>
      <c r="I22" s="335"/>
      <c r="J22" s="280"/>
      <c r="IT22" s="289"/>
    </row>
    <row r="23" spans="1:254" ht="14.25" customHeight="1">
      <c r="A23" s="289"/>
      <c r="B23" s="279"/>
      <c r="C23" s="485" t="s">
        <v>105</v>
      </c>
      <c r="D23" s="485"/>
      <c r="E23" s="485"/>
      <c r="F23" s="485"/>
      <c r="G23" s="485"/>
      <c r="H23" s="485"/>
      <c r="I23" s="485"/>
      <c r="J23" s="280"/>
      <c r="IT23" s="289"/>
    </row>
    <row r="24" spans="1:254" ht="14.25" customHeight="1">
      <c r="A24" s="289"/>
      <c r="B24" s="279"/>
      <c r="C24" s="485"/>
      <c r="D24" s="485"/>
      <c r="E24" s="485"/>
      <c r="F24" s="485"/>
      <c r="G24" s="485"/>
      <c r="H24" s="485"/>
      <c r="I24" s="485"/>
      <c r="J24" s="280"/>
      <c r="IT24" s="289"/>
    </row>
    <row r="25" spans="1:254" ht="14.25" customHeight="1">
      <c r="A25" s="289"/>
      <c r="B25" s="279"/>
      <c r="C25" s="334"/>
      <c r="D25" s="334"/>
      <c r="E25" s="334"/>
      <c r="F25" s="334"/>
      <c r="G25" s="334"/>
      <c r="H25" s="334"/>
      <c r="I25" s="334"/>
      <c r="J25" s="280"/>
      <c r="IT25" s="289"/>
    </row>
    <row r="26" spans="1:254" ht="14.25" customHeight="1">
      <c r="A26" s="289"/>
      <c r="B26" s="279"/>
      <c r="C26" s="485" t="s">
        <v>107</v>
      </c>
      <c r="D26" s="485"/>
      <c r="E26" s="485"/>
      <c r="F26" s="485"/>
      <c r="G26" s="485"/>
      <c r="H26" s="485"/>
      <c r="I26" s="485"/>
      <c r="J26" s="280"/>
      <c r="IT26" s="289"/>
    </row>
    <row r="27" spans="1:254" ht="14.25" customHeight="1">
      <c r="A27" s="289"/>
      <c r="B27" s="279"/>
      <c r="C27" s="485"/>
      <c r="D27" s="485"/>
      <c r="E27" s="485"/>
      <c r="F27" s="485"/>
      <c r="G27" s="485"/>
      <c r="H27" s="485"/>
      <c r="I27" s="485"/>
      <c r="J27" s="280"/>
      <c r="IT27" s="289"/>
    </row>
    <row r="28" spans="1:254" ht="14.25" customHeight="1">
      <c r="A28" s="289"/>
      <c r="B28" s="279"/>
      <c r="C28" s="485"/>
      <c r="D28" s="485"/>
      <c r="E28" s="485"/>
      <c r="F28" s="485"/>
      <c r="G28" s="485"/>
      <c r="H28" s="485"/>
      <c r="I28" s="485"/>
      <c r="J28" s="280"/>
      <c r="IT28" s="289"/>
    </row>
    <row r="29" spans="1:254" ht="14.25" customHeight="1">
      <c r="A29" s="289"/>
      <c r="B29" s="279"/>
      <c r="C29" s="485"/>
      <c r="D29" s="485"/>
      <c r="E29" s="485"/>
      <c r="F29" s="485"/>
      <c r="G29" s="485"/>
      <c r="H29" s="485"/>
      <c r="I29" s="485"/>
      <c r="J29" s="280"/>
      <c r="IT29" s="289"/>
    </row>
    <row r="30" spans="1:254" ht="15.75" customHeight="1">
      <c r="A30" s="289"/>
      <c r="B30" s="279"/>
      <c r="C30" s="485"/>
      <c r="D30" s="485"/>
      <c r="E30" s="485"/>
      <c r="F30" s="485"/>
      <c r="G30" s="485"/>
      <c r="H30" s="485"/>
      <c r="I30" s="485"/>
      <c r="J30" s="280"/>
      <c r="IT30" s="289"/>
    </row>
    <row r="31" spans="1:254" ht="14.25" customHeight="1">
      <c r="A31" s="289"/>
      <c r="B31" s="279"/>
      <c r="C31" s="335"/>
      <c r="D31" s="335"/>
      <c r="E31" s="335"/>
      <c r="F31" s="335"/>
      <c r="G31" s="335"/>
      <c r="H31" s="335"/>
      <c r="I31" s="335"/>
      <c r="J31" s="280"/>
      <c r="IT31" s="289"/>
    </row>
    <row r="32" spans="1:254" ht="14.25" customHeight="1">
      <c r="A32" s="289"/>
      <c r="B32" s="279"/>
      <c r="C32" s="485" t="s">
        <v>108</v>
      </c>
      <c r="D32" s="485"/>
      <c r="E32" s="485"/>
      <c r="F32" s="485"/>
      <c r="G32" s="485"/>
      <c r="H32" s="485"/>
      <c r="I32" s="485"/>
      <c r="J32" s="280"/>
      <c r="IT32" s="289"/>
    </row>
    <row r="33" spans="1:254" ht="14.25" customHeight="1">
      <c r="A33" s="289"/>
      <c r="B33" s="279"/>
      <c r="C33" s="485"/>
      <c r="D33" s="485"/>
      <c r="E33" s="485"/>
      <c r="F33" s="485"/>
      <c r="G33" s="485"/>
      <c r="H33" s="485"/>
      <c r="I33" s="485"/>
      <c r="J33" s="280"/>
      <c r="IT33" s="289"/>
    </row>
    <row r="34" spans="1:254" ht="14.25" customHeight="1">
      <c r="A34" s="289"/>
      <c r="B34" s="279"/>
      <c r="C34" s="485"/>
      <c r="D34" s="485"/>
      <c r="E34" s="485"/>
      <c r="F34" s="485"/>
      <c r="G34" s="485"/>
      <c r="H34" s="485"/>
      <c r="I34" s="485"/>
      <c r="J34" s="280"/>
      <c r="IT34" s="289"/>
    </row>
    <row r="35" spans="1:254" ht="14.25" customHeight="1">
      <c r="A35" s="289"/>
      <c r="B35" s="279"/>
      <c r="C35" s="335"/>
      <c r="D35" s="335"/>
      <c r="E35" s="335"/>
      <c r="F35" s="335"/>
      <c r="G35" s="335"/>
      <c r="H35" s="335"/>
      <c r="I35" s="335"/>
      <c r="J35" s="280"/>
      <c r="IT35" s="289"/>
    </row>
    <row r="36" spans="1:254" ht="14.25" customHeight="1">
      <c r="A36" s="289"/>
      <c r="B36" s="279"/>
      <c r="C36" s="485" t="s">
        <v>109</v>
      </c>
      <c r="D36" s="485"/>
      <c r="E36" s="485"/>
      <c r="F36" s="485"/>
      <c r="G36" s="485"/>
      <c r="H36" s="485"/>
      <c r="I36" s="485"/>
      <c r="J36" s="280"/>
      <c r="IT36" s="289"/>
    </row>
    <row r="37" spans="1:254" ht="14.25" customHeight="1">
      <c r="A37" s="289"/>
      <c r="B37" s="279"/>
      <c r="C37" s="485"/>
      <c r="D37" s="485"/>
      <c r="E37" s="485"/>
      <c r="F37" s="485"/>
      <c r="G37" s="485"/>
      <c r="H37" s="485"/>
      <c r="I37" s="485"/>
      <c r="J37" s="280"/>
      <c r="IT37" s="289"/>
    </row>
    <row r="38" spans="1:254" ht="14.25" customHeight="1">
      <c r="A38" s="289"/>
      <c r="B38" s="279"/>
      <c r="C38" s="485"/>
      <c r="D38" s="485"/>
      <c r="E38" s="485"/>
      <c r="F38" s="485"/>
      <c r="G38" s="485"/>
      <c r="H38" s="485"/>
      <c r="I38" s="485"/>
      <c r="J38" s="280"/>
      <c r="IT38" s="289"/>
    </row>
    <row r="39" spans="1:254" ht="14.25" customHeight="1">
      <c r="A39" s="289"/>
      <c r="B39" s="279"/>
      <c r="C39" s="485"/>
      <c r="D39" s="485"/>
      <c r="E39" s="485"/>
      <c r="F39" s="485"/>
      <c r="G39" s="485"/>
      <c r="H39" s="485"/>
      <c r="I39" s="485"/>
      <c r="J39" s="280"/>
      <c r="IT39" s="289"/>
    </row>
    <row r="40" spans="1:254" ht="14.25" customHeight="1">
      <c r="A40" s="289"/>
      <c r="B40" s="279"/>
      <c r="C40" s="485"/>
      <c r="D40" s="485"/>
      <c r="E40" s="485"/>
      <c r="F40" s="485"/>
      <c r="G40" s="485"/>
      <c r="H40" s="485"/>
      <c r="I40" s="485"/>
      <c r="J40" s="280"/>
      <c r="IT40" s="289"/>
    </row>
    <row r="41" spans="1:254" ht="14.25" customHeight="1">
      <c r="A41" s="289"/>
      <c r="B41" s="279"/>
      <c r="C41" s="335"/>
      <c r="D41" s="335"/>
      <c r="E41" s="335"/>
      <c r="F41" s="335"/>
      <c r="G41" s="335"/>
      <c r="H41" s="335"/>
      <c r="I41" s="335"/>
      <c r="J41" s="280"/>
      <c r="IT41" s="289"/>
    </row>
    <row r="42" spans="1:254" ht="14.25" customHeight="1">
      <c r="A42" s="289"/>
      <c r="B42" s="279"/>
      <c r="C42" s="485" t="s">
        <v>110</v>
      </c>
      <c r="D42" s="485"/>
      <c r="E42" s="485"/>
      <c r="F42" s="485"/>
      <c r="G42" s="485"/>
      <c r="H42" s="485"/>
      <c r="I42" s="485"/>
      <c r="J42" s="280"/>
      <c r="IT42" s="289"/>
    </row>
    <row r="43" spans="1:254" ht="14.25" customHeight="1">
      <c r="A43" s="289"/>
      <c r="B43" s="279"/>
      <c r="C43" s="485"/>
      <c r="D43" s="485"/>
      <c r="E43" s="485"/>
      <c r="F43" s="485"/>
      <c r="G43" s="485"/>
      <c r="H43" s="485"/>
      <c r="I43" s="485"/>
      <c r="J43" s="280"/>
      <c r="IT43" s="289"/>
    </row>
    <row r="44" spans="1:254" ht="14.25" customHeight="1">
      <c r="A44" s="289"/>
      <c r="B44" s="279"/>
      <c r="C44" s="485"/>
      <c r="D44" s="485"/>
      <c r="E44" s="485"/>
      <c r="F44" s="485"/>
      <c r="G44" s="485"/>
      <c r="H44" s="485"/>
      <c r="I44" s="485"/>
      <c r="J44" s="280"/>
      <c r="IT44" s="289"/>
    </row>
    <row r="45" spans="1:254" ht="14.25" customHeight="1">
      <c r="A45" s="289"/>
      <c r="B45" s="279"/>
      <c r="C45" s="485"/>
      <c r="D45" s="485"/>
      <c r="E45" s="485"/>
      <c r="F45" s="485"/>
      <c r="G45" s="485"/>
      <c r="H45" s="485"/>
      <c r="I45" s="485"/>
      <c r="J45" s="280"/>
      <c r="IT45" s="289"/>
    </row>
    <row r="46" spans="1:254" ht="14.25" customHeight="1">
      <c r="A46" s="289"/>
      <c r="B46" s="279"/>
      <c r="C46" s="485"/>
      <c r="D46" s="485"/>
      <c r="E46" s="485"/>
      <c r="F46" s="485"/>
      <c r="G46" s="485"/>
      <c r="H46" s="485"/>
      <c r="I46" s="485"/>
      <c r="J46" s="280"/>
      <c r="IT46" s="289"/>
    </row>
    <row r="47" spans="1:254" ht="14.25" customHeight="1">
      <c r="A47" s="289"/>
      <c r="B47" s="279"/>
      <c r="C47" s="335"/>
      <c r="D47" s="335"/>
      <c r="E47" s="335"/>
      <c r="F47" s="335"/>
      <c r="G47" s="335"/>
      <c r="H47" s="335"/>
      <c r="I47" s="335"/>
      <c r="J47" s="280"/>
      <c r="IT47" s="289"/>
    </row>
    <row r="48" spans="1:254" ht="14.25" customHeight="1">
      <c r="A48" s="289"/>
      <c r="B48" s="279"/>
      <c r="C48" s="485" t="s">
        <v>78</v>
      </c>
      <c r="D48" s="485"/>
      <c r="E48" s="485"/>
      <c r="F48" s="485"/>
      <c r="G48" s="485"/>
      <c r="H48" s="485"/>
      <c r="I48" s="485"/>
      <c r="J48" s="280"/>
      <c r="IT48" s="289"/>
    </row>
    <row r="49" spans="1:254" ht="14.25" customHeight="1">
      <c r="A49" s="289"/>
      <c r="B49" s="279"/>
      <c r="C49" s="485"/>
      <c r="D49" s="485"/>
      <c r="E49" s="485"/>
      <c r="F49" s="485"/>
      <c r="G49" s="485"/>
      <c r="H49" s="485"/>
      <c r="I49" s="485"/>
      <c r="J49" s="280"/>
      <c r="IT49" s="289"/>
    </row>
    <row r="50" spans="1:254">
      <c r="A50" s="289"/>
      <c r="B50" s="279"/>
      <c r="C50" s="278"/>
      <c r="D50" s="278"/>
      <c r="E50" s="278"/>
      <c r="F50" s="278"/>
      <c r="G50" s="278"/>
      <c r="H50" s="278"/>
      <c r="I50" s="278"/>
      <c r="J50" s="280"/>
      <c r="IT50" s="289"/>
    </row>
    <row r="51" spans="1:254">
      <c r="A51" s="289"/>
      <c r="B51" s="279"/>
      <c r="C51" s="278"/>
      <c r="D51" s="278"/>
      <c r="E51" s="278"/>
      <c r="F51" s="278"/>
      <c r="G51" s="278"/>
      <c r="H51" s="278"/>
      <c r="I51" s="278"/>
      <c r="J51" s="280"/>
      <c r="IT51" s="289"/>
    </row>
    <row r="52" spans="1:254">
      <c r="A52" s="289"/>
      <c r="B52" s="279"/>
      <c r="C52" s="278"/>
      <c r="D52" s="278"/>
      <c r="E52" s="278"/>
      <c r="F52" s="278"/>
      <c r="G52" s="278"/>
      <c r="H52" s="278"/>
      <c r="I52" s="278"/>
      <c r="J52" s="280"/>
      <c r="IT52" s="289"/>
    </row>
    <row r="53" spans="1:254">
      <c r="A53" s="289"/>
      <c r="B53" s="279"/>
      <c r="C53" s="278"/>
      <c r="D53" s="278"/>
      <c r="E53" s="278"/>
      <c r="F53" s="278"/>
      <c r="G53" s="278"/>
      <c r="H53" s="278"/>
      <c r="I53" s="278"/>
      <c r="J53" s="280"/>
      <c r="IT53" s="289"/>
    </row>
    <row r="54" spans="1:254">
      <c r="A54" s="289"/>
      <c r="B54" s="279"/>
      <c r="C54" s="278"/>
      <c r="D54" s="278"/>
      <c r="E54" s="278"/>
      <c r="F54" s="278"/>
      <c r="G54" s="278"/>
      <c r="H54" s="278"/>
      <c r="I54" s="278"/>
      <c r="J54" s="280"/>
      <c r="IT54" s="289"/>
    </row>
    <row r="55" spans="1:254">
      <c r="A55" s="289"/>
      <c r="B55" s="279"/>
      <c r="C55" s="278"/>
      <c r="D55" s="278"/>
      <c r="E55" s="278"/>
      <c r="F55" s="278"/>
      <c r="G55" s="278"/>
      <c r="H55" s="278"/>
      <c r="I55" s="278"/>
      <c r="J55" s="280"/>
      <c r="IT55" s="289"/>
    </row>
    <row r="56" spans="1:254">
      <c r="A56" s="289"/>
      <c r="B56" s="279"/>
      <c r="C56" s="278"/>
      <c r="D56" s="278"/>
      <c r="E56" s="278"/>
      <c r="F56" s="278"/>
      <c r="G56" s="278"/>
      <c r="H56" s="278"/>
      <c r="I56" s="278"/>
      <c r="J56" s="280"/>
      <c r="IT56" s="289"/>
    </row>
    <row r="57" spans="1:254">
      <c r="A57" s="289"/>
      <c r="B57" s="279"/>
      <c r="C57" s="278"/>
      <c r="D57" s="278"/>
      <c r="E57" s="278"/>
      <c r="F57" s="278"/>
      <c r="G57" s="278"/>
      <c r="H57" s="278"/>
      <c r="I57" s="278"/>
      <c r="J57" s="280"/>
      <c r="IT57" s="289"/>
    </row>
    <row r="58" spans="1:254">
      <c r="A58" s="289"/>
      <c r="B58" s="279"/>
      <c r="C58" s="278"/>
      <c r="D58" s="278"/>
      <c r="E58" s="278"/>
      <c r="F58" s="278"/>
      <c r="G58" s="278"/>
      <c r="H58" s="278"/>
      <c r="I58" s="278"/>
      <c r="J58" s="280"/>
      <c r="IT58" s="289"/>
    </row>
    <row r="59" spans="1:254">
      <c r="A59" s="289"/>
      <c r="B59" s="279"/>
      <c r="C59" s="278"/>
      <c r="D59" s="278"/>
      <c r="E59" s="278"/>
      <c r="F59" s="278"/>
      <c r="G59" s="278"/>
      <c r="H59" s="278"/>
      <c r="I59" s="278"/>
      <c r="J59" s="280"/>
      <c r="IT59" s="289"/>
    </row>
    <row r="60" spans="1:254">
      <c r="A60" s="289"/>
      <c r="B60" s="279"/>
      <c r="C60" s="278"/>
      <c r="D60" s="278"/>
      <c r="E60" s="278"/>
      <c r="F60" s="278"/>
      <c r="G60" s="278"/>
      <c r="H60" s="278"/>
      <c r="I60" s="278"/>
      <c r="J60" s="280"/>
      <c r="IT60" s="289"/>
    </row>
    <row r="61" spans="1:254">
      <c r="A61" s="289"/>
      <c r="B61" s="279"/>
      <c r="C61" s="278"/>
      <c r="D61" s="278"/>
      <c r="E61" s="278"/>
      <c r="F61" s="278"/>
      <c r="G61" s="278"/>
      <c r="H61" s="278"/>
      <c r="I61" s="278"/>
      <c r="J61" s="280"/>
      <c r="IT61" s="289"/>
    </row>
    <row r="62" spans="1:254">
      <c r="A62" s="289"/>
      <c r="B62" s="279"/>
      <c r="C62" s="278"/>
      <c r="D62" s="278"/>
      <c r="E62" s="278"/>
      <c r="F62" s="278"/>
      <c r="G62" s="278"/>
      <c r="H62" s="278"/>
      <c r="I62" s="278"/>
      <c r="J62" s="280"/>
      <c r="IT62" s="289"/>
    </row>
    <row r="63" spans="1:254">
      <c r="A63" s="289"/>
      <c r="B63" s="279"/>
      <c r="C63" s="278"/>
      <c r="D63" s="278"/>
      <c r="E63" s="278"/>
      <c r="F63" s="278"/>
      <c r="G63" s="278"/>
      <c r="H63" s="278"/>
      <c r="I63" s="278"/>
      <c r="J63" s="280"/>
      <c r="IT63" s="289"/>
    </row>
    <row r="64" spans="1:254" ht="13.5" thickBot="1">
      <c r="A64" s="289"/>
      <c r="B64" s="285"/>
      <c r="C64" s="286"/>
      <c r="D64" s="286"/>
      <c r="E64" s="286"/>
      <c r="F64" s="286"/>
      <c r="G64" s="286"/>
      <c r="H64" s="286"/>
      <c r="I64" s="286"/>
      <c r="J64" s="287"/>
      <c r="IT64" s="289"/>
    </row>
    <row r="65" spans="1:254" ht="13.5" thickTop="1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IT65" s="289"/>
    </row>
    <row r="66" spans="1:254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IT66" s="289"/>
    </row>
    <row r="67" spans="1:254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IT67" s="289"/>
    </row>
    <row r="68" spans="1:254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IT68" s="289"/>
    </row>
    <row r="69" spans="1:254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IT69" s="289"/>
    </row>
    <row r="70" spans="1:254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IT70" s="289"/>
    </row>
    <row r="71" spans="1:254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IT71" s="289"/>
    </row>
    <row r="72" spans="1:254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IT72" s="289"/>
    </row>
    <row r="73" spans="1:254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IT73" s="289"/>
    </row>
    <row r="74" spans="1:254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IT74" s="289"/>
    </row>
    <row r="75" spans="1:254" ht="12.75" customHeight="1">
      <c r="A75" s="241"/>
    </row>
    <row r="76" spans="1:254" ht="12.75" customHeight="1">
      <c r="A76" s="241"/>
    </row>
    <row r="77" spans="1:254" ht="12.75" customHeight="1">
      <c r="A77" s="241"/>
    </row>
    <row r="78" spans="1:254" ht="12.75" customHeight="1">
      <c r="A78" s="241"/>
    </row>
  </sheetData>
  <mergeCells count="11">
    <mergeCell ref="B5:J5"/>
    <mergeCell ref="C10:I10"/>
    <mergeCell ref="C12:I15"/>
    <mergeCell ref="C17:I18"/>
    <mergeCell ref="C48:I49"/>
    <mergeCell ref="C20:I21"/>
    <mergeCell ref="C26:I30"/>
    <mergeCell ref="C32:I34"/>
    <mergeCell ref="C36:I40"/>
    <mergeCell ref="C42:I46"/>
    <mergeCell ref="C23:I24"/>
  </mergeCells>
  <phoneticPr fontId="11" type="noConversion"/>
  <pageMargins left="0.75" right="0.18" top="0.98425196850393704" bottom="0.98425196850393704" header="0" footer="0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K45"/>
  <sheetViews>
    <sheetView topLeftCell="A2" workbookViewId="0">
      <selection activeCell="E21" sqref="E21"/>
    </sheetView>
  </sheetViews>
  <sheetFormatPr baseColWidth="10" defaultColWidth="0" defaultRowHeight="0" customHeight="1" zeroHeight="1"/>
  <cols>
    <col min="1" max="1" width="5.28515625" customWidth="1"/>
    <col min="2" max="2" width="5.7109375" style="57" customWidth="1"/>
    <col min="3" max="3" width="13.5703125" style="58" customWidth="1"/>
    <col min="4" max="4" width="12.28515625" style="58" customWidth="1"/>
    <col min="5" max="5" width="54.28515625" style="59" customWidth="1"/>
    <col min="6" max="6" width="16" style="60" customWidth="1"/>
    <col min="7" max="7" width="16.85546875" customWidth="1"/>
    <col min="8" max="8" width="5.42578125" customWidth="1"/>
    <col min="9" max="10" width="5.28515625" customWidth="1"/>
  </cols>
  <sheetData>
    <row r="1" spans="1:10" ht="19.5" customHeight="1">
      <c r="A1" s="23"/>
      <c r="B1" s="23"/>
      <c r="C1" s="24"/>
      <c r="D1" s="24"/>
      <c r="E1" s="25"/>
      <c r="F1" s="26"/>
      <c r="G1" s="23"/>
      <c r="H1" s="23"/>
      <c r="I1" s="23"/>
      <c r="J1" s="23"/>
    </row>
    <row r="2" spans="1:10" s="185" customFormat="1" ht="29.25" customHeight="1" thickBot="1">
      <c r="A2" s="181"/>
      <c r="B2" s="181"/>
      <c r="C2" s="181"/>
      <c r="D2" s="182"/>
      <c r="E2" s="183"/>
      <c r="F2" s="184"/>
      <c r="G2" s="486"/>
      <c r="H2" s="486"/>
      <c r="I2" s="486"/>
      <c r="J2" s="486"/>
    </row>
    <row r="3" spans="1:10" ht="15.75" customHeight="1">
      <c r="A3" s="23"/>
      <c r="B3" s="23"/>
      <c r="C3" s="487" t="s">
        <v>319</v>
      </c>
      <c r="D3" s="488"/>
      <c r="E3" s="488"/>
      <c r="F3" s="489"/>
      <c r="G3" s="28"/>
      <c r="H3" s="28"/>
      <c r="I3" s="23"/>
      <c r="J3" s="23"/>
    </row>
    <row r="4" spans="1:10" ht="16.5" thickBot="1">
      <c r="A4" s="23"/>
      <c r="B4" s="23"/>
      <c r="C4" s="490" t="s">
        <v>7</v>
      </c>
      <c r="D4" s="491"/>
      <c r="E4" s="491"/>
      <c r="F4" s="492"/>
      <c r="G4" s="29"/>
      <c r="H4" s="29"/>
      <c r="I4" s="23"/>
      <c r="J4" s="23"/>
    </row>
    <row r="5" spans="1:10" ht="13.5" thickBot="1">
      <c r="A5" s="23"/>
      <c r="B5" s="23"/>
      <c r="C5" s="24"/>
      <c r="D5" s="24"/>
      <c r="E5" s="27"/>
      <c r="F5" s="26"/>
      <c r="G5" s="23"/>
      <c r="H5" s="23"/>
      <c r="I5" s="23"/>
      <c r="J5" s="23"/>
    </row>
    <row r="6" spans="1:10" ht="47.25" customHeight="1">
      <c r="A6" s="23"/>
      <c r="B6" s="23"/>
      <c r="C6" s="30" t="s">
        <v>8</v>
      </c>
      <c r="D6" s="31" t="s">
        <v>9</v>
      </c>
      <c r="E6" s="178" t="s">
        <v>45</v>
      </c>
      <c r="F6" s="179" t="s">
        <v>46</v>
      </c>
      <c r="G6" s="32"/>
      <c r="H6" s="32"/>
      <c r="I6" s="496"/>
      <c r="J6" s="496"/>
    </row>
    <row r="7" spans="1:10" ht="15.75">
      <c r="A7" s="23"/>
      <c r="B7" s="23"/>
      <c r="C7" s="33">
        <v>0</v>
      </c>
      <c r="D7" s="34">
        <v>4.1666666666666664E-2</v>
      </c>
      <c r="E7" s="35" t="s">
        <v>320</v>
      </c>
      <c r="F7" s="307">
        <v>66.210078977245701</v>
      </c>
      <c r="G7" s="332"/>
      <c r="H7" s="332"/>
      <c r="I7" s="37"/>
      <c r="J7" s="38"/>
    </row>
    <row r="8" spans="1:10" ht="15.75">
      <c r="A8" s="23"/>
      <c r="B8" s="23"/>
      <c r="C8" s="33">
        <v>4.1666666666666699E-2</v>
      </c>
      <c r="D8" s="34">
        <v>8.3333333333333301E-2</v>
      </c>
      <c r="E8" s="35" t="s">
        <v>320</v>
      </c>
      <c r="F8" s="307">
        <v>66.210078977245701</v>
      </c>
      <c r="G8" s="332"/>
      <c r="H8" s="332"/>
      <c r="I8" s="37"/>
      <c r="J8" s="39"/>
    </row>
    <row r="9" spans="1:10" ht="15.75">
      <c r="A9" s="23"/>
      <c r="B9" s="23"/>
      <c r="C9" s="33">
        <v>8.3333333333333301E-2</v>
      </c>
      <c r="D9" s="34">
        <v>0.125</v>
      </c>
      <c r="E9" s="35" t="s">
        <v>320</v>
      </c>
      <c r="F9" s="307">
        <v>66.210078977245701</v>
      </c>
      <c r="G9" s="332"/>
      <c r="H9" s="332"/>
      <c r="I9" s="37"/>
      <c r="J9" s="39"/>
    </row>
    <row r="10" spans="1:10" ht="15.75">
      <c r="A10" s="23"/>
      <c r="B10" s="23"/>
      <c r="C10" s="33">
        <v>0.125</v>
      </c>
      <c r="D10" s="34">
        <v>0.16666666666666699</v>
      </c>
      <c r="E10" s="35" t="s">
        <v>320</v>
      </c>
      <c r="F10" s="307">
        <v>66.210078977245701</v>
      </c>
      <c r="G10" s="332"/>
      <c r="H10" s="332"/>
      <c r="I10" s="37"/>
      <c r="J10" s="39"/>
    </row>
    <row r="11" spans="1:10" ht="15.75">
      <c r="A11" s="23"/>
      <c r="B11" s="23"/>
      <c r="C11" s="33">
        <v>0.16666666666666699</v>
      </c>
      <c r="D11" s="34">
        <v>0.20833333333333301</v>
      </c>
      <c r="E11" s="35" t="s">
        <v>320</v>
      </c>
      <c r="F11" s="307">
        <v>66.210078977245701</v>
      </c>
      <c r="G11" s="332"/>
      <c r="H11" s="332"/>
      <c r="I11" s="37"/>
      <c r="J11" s="39"/>
    </row>
    <row r="12" spans="1:10" ht="15.75">
      <c r="A12" s="23"/>
      <c r="B12" s="23"/>
      <c r="C12" s="33">
        <v>0.20833333333333301</v>
      </c>
      <c r="D12" s="34">
        <v>0.25</v>
      </c>
      <c r="E12" s="35" t="s">
        <v>320</v>
      </c>
      <c r="F12" s="307">
        <v>66.210078977245701</v>
      </c>
      <c r="G12" s="332"/>
      <c r="H12" s="332"/>
      <c r="I12" s="37"/>
      <c r="J12" s="39"/>
    </row>
    <row r="13" spans="1:10" ht="15.75">
      <c r="A13" s="23"/>
      <c r="B13" s="23"/>
      <c r="C13" s="40">
        <v>0.25</v>
      </c>
      <c r="D13" s="41">
        <v>0.29166666666666702</v>
      </c>
      <c r="E13" s="42" t="s">
        <v>321</v>
      </c>
      <c r="F13" s="308">
        <v>88.054901370642298</v>
      </c>
      <c r="G13" s="332"/>
      <c r="H13" s="332"/>
      <c r="I13" s="37"/>
      <c r="J13" s="38"/>
    </row>
    <row r="14" spans="1:10" ht="15.75">
      <c r="A14" s="23"/>
      <c r="B14" s="23"/>
      <c r="C14" s="40">
        <v>0.29166666666666669</v>
      </c>
      <c r="D14" s="41">
        <v>0.33333333333333298</v>
      </c>
      <c r="E14" s="42" t="s">
        <v>322</v>
      </c>
      <c r="F14" s="308">
        <v>139.26391473955101</v>
      </c>
      <c r="G14" s="332"/>
      <c r="H14" s="332"/>
      <c r="I14" s="37"/>
      <c r="J14" s="23"/>
    </row>
    <row r="15" spans="1:10" ht="15.75">
      <c r="A15" s="23"/>
      <c r="B15" s="23"/>
      <c r="C15" s="40">
        <v>0.33333333333333298</v>
      </c>
      <c r="D15" s="41">
        <v>0.375</v>
      </c>
      <c r="E15" s="42" t="s">
        <v>323</v>
      </c>
      <c r="F15" s="308">
        <v>162.70242834999999</v>
      </c>
      <c r="G15" s="332"/>
      <c r="H15" s="332"/>
      <c r="I15" s="37"/>
      <c r="J15" s="23"/>
    </row>
    <row r="16" spans="1:10" ht="15.75">
      <c r="A16" s="23"/>
      <c r="B16" s="23"/>
      <c r="C16" s="40">
        <v>0.375</v>
      </c>
      <c r="D16" s="41">
        <v>0.41666666666666702</v>
      </c>
      <c r="E16" s="42" t="s">
        <v>324</v>
      </c>
      <c r="F16" s="308">
        <v>143.37867592999999</v>
      </c>
      <c r="G16" s="332"/>
      <c r="H16" s="332"/>
      <c r="I16" s="37"/>
      <c r="J16" s="23"/>
    </row>
    <row r="17" spans="1:10" ht="15.75">
      <c r="A17" s="23"/>
      <c r="B17" s="23"/>
      <c r="C17" s="43">
        <v>0.41666666666666702</v>
      </c>
      <c r="D17" s="44">
        <v>0.45833333333333298</v>
      </c>
      <c r="E17" s="45" t="s">
        <v>322</v>
      </c>
      <c r="F17" s="309">
        <v>135.8697620447</v>
      </c>
      <c r="G17" s="332"/>
      <c r="H17" s="332"/>
      <c r="I17" s="37"/>
      <c r="J17" s="23"/>
    </row>
    <row r="18" spans="1:10" ht="15.75">
      <c r="A18" s="23"/>
      <c r="B18" s="23"/>
      <c r="C18" s="43">
        <v>0.45833333333333298</v>
      </c>
      <c r="D18" s="44">
        <v>0.5</v>
      </c>
      <c r="E18" s="45" t="s">
        <v>325</v>
      </c>
      <c r="F18" s="309">
        <v>100.94692458999999</v>
      </c>
      <c r="G18" s="332"/>
      <c r="H18" s="332"/>
      <c r="I18" s="37"/>
      <c r="J18" s="23"/>
    </row>
    <row r="19" spans="1:10" ht="15.75">
      <c r="A19" s="23"/>
      <c r="B19" s="23"/>
      <c r="C19" s="43">
        <v>0.5</v>
      </c>
      <c r="D19" s="44">
        <v>0.54166666666666696</v>
      </c>
      <c r="E19" s="45" t="s">
        <v>320</v>
      </c>
      <c r="F19" s="309">
        <v>66.888702291977694</v>
      </c>
      <c r="G19" s="332"/>
      <c r="H19" s="332"/>
      <c r="I19" s="37"/>
      <c r="J19" s="23"/>
    </row>
    <row r="20" spans="1:10" ht="15.75">
      <c r="A20" s="23"/>
      <c r="B20" s="23"/>
      <c r="C20" s="40">
        <v>0.54166666666666696</v>
      </c>
      <c r="D20" s="41">
        <v>0.58333333333333304</v>
      </c>
      <c r="E20" s="42" t="s">
        <v>321</v>
      </c>
      <c r="F20" s="308">
        <v>81.039959744784596</v>
      </c>
      <c r="G20" s="332"/>
      <c r="H20" s="332"/>
      <c r="I20" s="37"/>
      <c r="J20" s="23"/>
    </row>
    <row r="21" spans="1:10" ht="15.75">
      <c r="A21" s="23"/>
      <c r="B21" s="23"/>
      <c r="C21" s="40">
        <v>0.58333333333333304</v>
      </c>
      <c r="D21" s="41">
        <v>0.625</v>
      </c>
      <c r="E21" s="42" t="s">
        <v>326</v>
      </c>
      <c r="F21" s="308">
        <v>133.74482194103601</v>
      </c>
      <c r="G21" s="332"/>
      <c r="H21" s="332"/>
      <c r="I21" s="37"/>
      <c r="J21" s="23"/>
    </row>
    <row r="22" spans="1:10" ht="15.75">
      <c r="A22" s="23"/>
      <c r="B22" s="23"/>
      <c r="C22" s="40">
        <v>0.625</v>
      </c>
      <c r="D22" s="41">
        <v>0.66666666666666696</v>
      </c>
      <c r="E22" s="42" t="s">
        <v>326</v>
      </c>
      <c r="F22" s="308">
        <v>133.74482194103601</v>
      </c>
      <c r="G22" s="332"/>
      <c r="H22" s="332"/>
      <c r="I22" s="37"/>
      <c r="J22" s="23"/>
    </row>
    <row r="23" spans="1:10" ht="15.75">
      <c r="A23" s="23"/>
      <c r="B23" s="23"/>
      <c r="C23" s="40">
        <v>0.66666666666666696</v>
      </c>
      <c r="D23" s="41">
        <v>0.70833333333333304</v>
      </c>
      <c r="E23" s="42" t="s">
        <v>322</v>
      </c>
      <c r="F23" s="308">
        <v>139.26391473955101</v>
      </c>
      <c r="G23" s="332"/>
      <c r="H23" s="332"/>
      <c r="I23" s="37"/>
      <c r="J23" s="23"/>
    </row>
    <row r="24" spans="1:10" ht="15.75">
      <c r="A24" s="23"/>
      <c r="B24" s="23"/>
      <c r="C24" s="40">
        <v>0.70833333333333304</v>
      </c>
      <c r="D24" s="41">
        <v>0.75</v>
      </c>
      <c r="E24" s="42" t="s">
        <v>327</v>
      </c>
      <c r="F24" s="308">
        <v>189.07116453</v>
      </c>
      <c r="G24" s="332"/>
      <c r="H24" s="332"/>
      <c r="I24" s="37"/>
      <c r="J24" s="23"/>
    </row>
    <row r="25" spans="1:10" ht="15.75">
      <c r="A25" s="23"/>
      <c r="B25" s="23"/>
      <c r="C25" s="43">
        <v>0.75</v>
      </c>
      <c r="D25" s="44">
        <v>0.79166666666666696</v>
      </c>
      <c r="E25" s="45" t="s">
        <v>328</v>
      </c>
      <c r="F25" s="309">
        <v>222.33179293000001</v>
      </c>
      <c r="G25" s="332"/>
      <c r="H25" s="332"/>
      <c r="I25" s="37"/>
      <c r="J25" s="23"/>
    </row>
    <row r="26" spans="1:10" ht="15.75">
      <c r="A26" s="23"/>
      <c r="B26" s="23"/>
      <c r="C26" s="43">
        <v>0.79166666666666696</v>
      </c>
      <c r="D26" s="44">
        <v>0.83333333333333304</v>
      </c>
      <c r="E26" s="45" t="s">
        <v>328</v>
      </c>
      <c r="F26" s="309">
        <v>222.33179293000001</v>
      </c>
      <c r="G26" s="332"/>
      <c r="H26" s="332"/>
      <c r="I26" s="37"/>
      <c r="J26" s="23"/>
    </row>
    <row r="27" spans="1:10" ht="15.75">
      <c r="A27" s="23"/>
      <c r="B27" s="23"/>
      <c r="C27" s="43">
        <v>0.83333333333333304</v>
      </c>
      <c r="D27" s="44">
        <v>0.875</v>
      </c>
      <c r="E27" s="45" t="s">
        <v>329</v>
      </c>
      <c r="F27" s="309">
        <v>201.01703068</v>
      </c>
      <c r="G27" s="332"/>
      <c r="H27" s="332"/>
      <c r="I27" s="37"/>
      <c r="J27" s="23"/>
    </row>
    <row r="28" spans="1:10" ht="15.75">
      <c r="A28" s="23"/>
      <c r="B28" s="23"/>
      <c r="C28" s="40">
        <v>0.875</v>
      </c>
      <c r="D28" s="41">
        <v>0.91666666666666696</v>
      </c>
      <c r="E28" s="42" t="s">
        <v>327</v>
      </c>
      <c r="F28" s="308">
        <v>185.93723083</v>
      </c>
      <c r="G28" s="332"/>
      <c r="H28" s="332"/>
      <c r="I28" s="37"/>
      <c r="J28" s="23"/>
    </row>
    <row r="29" spans="1:10" ht="15.75">
      <c r="A29" s="23"/>
      <c r="B29" s="23"/>
      <c r="C29" s="40">
        <v>0.91666666666666696</v>
      </c>
      <c r="D29" s="41">
        <v>0.95833333333333304</v>
      </c>
      <c r="E29" s="42" t="s">
        <v>330</v>
      </c>
      <c r="F29" s="308">
        <v>164.90007876000001</v>
      </c>
      <c r="G29" s="332"/>
      <c r="H29" s="332"/>
      <c r="I29" s="37"/>
      <c r="J29" s="23"/>
    </row>
    <row r="30" spans="1:10" ht="16.5" thickBot="1">
      <c r="A30" s="23"/>
      <c r="B30" s="23"/>
      <c r="C30" s="46">
        <v>0.95833333333333304</v>
      </c>
      <c r="D30" s="47" t="s">
        <v>12</v>
      </c>
      <c r="E30" s="35" t="s">
        <v>324</v>
      </c>
      <c r="F30" s="307">
        <v>139.92749724999999</v>
      </c>
      <c r="G30" s="332"/>
      <c r="H30" s="332"/>
      <c r="I30" s="37"/>
      <c r="J30" s="48"/>
    </row>
    <row r="31" spans="1:10" ht="18">
      <c r="A31" s="23"/>
      <c r="B31" s="23"/>
      <c r="C31" s="497" t="s">
        <v>13</v>
      </c>
      <c r="D31" s="498"/>
      <c r="E31" s="498"/>
      <c r="F31" s="304"/>
      <c r="G31" s="333"/>
      <c r="H31" s="333"/>
      <c r="I31" s="37"/>
      <c r="J31" s="48"/>
    </row>
    <row r="32" spans="1:10" ht="18">
      <c r="A32" s="23"/>
      <c r="B32" s="23"/>
      <c r="C32" s="499" t="s">
        <v>14</v>
      </c>
      <c r="D32" s="500"/>
      <c r="E32" s="500"/>
      <c r="F32" s="310">
        <f>AVERAGE(F7:F30)</f>
        <v>126.98649539403137</v>
      </c>
      <c r="G32" s="36"/>
      <c r="H32" s="36"/>
      <c r="I32" s="37"/>
      <c r="J32" s="48"/>
    </row>
    <row r="33" spans="1:11" ht="18">
      <c r="A33" s="23"/>
      <c r="B33" s="23"/>
      <c r="C33" s="501" t="s">
        <v>15</v>
      </c>
      <c r="D33" s="502"/>
      <c r="E33" s="502"/>
      <c r="F33" s="305">
        <f>+MAX(F7:F30)</f>
        <v>222.33179293000001</v>
      </c>
      <c r="G33" s="51"/>
      <c r="H33" s="51"/>
      <c r="I33" s="23"/>
      <c r="J33" s="23"/>
    </row>
    <row r="34" spans="1:11" ht="18">
      <c r="A34" s="23"/>
      <c r="B34" s="23"/>
      <c r="C34" s="503" t="s">
        <v>16</v>
      </c>
      <c r="D34" s="504"/>
      <c r="E34" s="504"/>
      <c r="F34" s="311">
        <f>+MIN(F7:F30)</f>
        <v>66.210078977245701</v>
      </c>
      <c r="G34" s="51"/>
      <c r="H34" s="51"/>
      <c r="I34" s="23"/>
      <c r="J34" s="23"/>
    </row>
    <row r="35" spans="1:11" ht="18.75" thickBot="1">
      <c r="A35" s="23"/>
      <c r="B35" s="23"/>
      <c r="C35" s="493" t="s">
        <v>17</v>
      </c>
      <c r="D35" s="494"/>
      <c r="E35" s="494"/>
      <c r="F35" s="312">
        <v>130.34083497700101</v>
      </c>
      <c r="G35" s="52"/>
      <c r="H35" s="52"/>
      <c r="I35" s="23"/>
      <c r="J35" s="23"/>
    </row>
    <row r="36" spans="1:11" ht="33.75" customHeight="1">
      <c r="A36" s="23"/>
      <c r="B36" s="23"/>
      <c r="C36" s="507" t="s">
        <v>18</v>
      </c>
      <c r="D36" s="507"/>
      <c r="E36" s="507"/>
      <c r="F36" s="507"/>
      <c r="G36" s="53"/>
      <c r="H36" s="53"/>
      <c r="I36" s="23"/>
      <c r="J36" s="23"/>
    </row>
    <row r="37" spans="1:11" ht="12.75">
      <c r="A37" s="505"/>
      <c r="B37" s="505"/>
      <c r="C37" s="505"/>
      <c r="D37" s="24"/>
      <c r="E37" s="27"/>
      <c r="F37" s="26"/>
      <c r="G37" s="506"/>
      <c r="H37" s="506"/>
      <c r="I37" s="506"/>
      <c r="J37" s="506"/>
      <c r="K37" s="56"/>
    </row>
    <row r="38" spans="1:11" s="189" customFormat="1" ht="15">
      <c r="A38" s="180"/>
      <c r="B38" s="180"/>
      <c r="C38" s="180"/>
      <c r="D38" s="186"/>
      <c r="E38" s="187"/>
      <c r="F38" s="188"/>
      <c r="G38" s="495"/>
      <c r="H38" s="495"/>
      <c r="I38" s="495"/>
      <c r="J38" s="495"/>
      <c r="K38" s="180"/>
    </row>
    <row r="39" spans="1:11" ht="12.75">
      <c r="A39" s="23"/>
      <c r="B39" s="23"/>
      <c r="C39" s="24"/>
      <c r="D39" s="24"/>
      <c r="E39" s="27"/>
      <c r="F39" s="26"/>
      <c r="G39" s="23"/>
      <c r="H39" s="23"/>
      <c r="I39" s="23"/>
      <c r="J39" s="23"/>
    </row>
    <row r="40" spans="1:11" ht="12.75" hidden="1">
      <c r="B40" s="23"/>
      <c r="C40" s="24"/>
      <c r="D40" s="24"/>
      <c r="E40" s="27"/>
      <c r="F40" s="26"/>
      <c r="G40" s="23"/>
      <c r="H40" s="23"/>
      <c r="I40" s="23"/>
      <c r="J40" s="23"/>
    </row>
    <row r="41" spans="1:11" ht="12.75" hidden="1">
      <c r="B41" s="23"/>
      <c r="C41" s="24"/>
      <c r="D41" s="24"/>
      <c r="E41" s="27"/>
      <c r="F41" s="26"/>
      <c r="G41" s="23"/>
      <c r="H41" s="23"/>
      <c r="I41" s="23"/>
      <c r="J41" s="23"/>
    </row>
    <row r="42" spans="1:11" ht="12.75" hidden="1">
      <c r="B42" s="23"/>
      <c r="C42" s="24"/>
      <c r="D42" s="24"/>
      <c r="E42" s="27"/>
      <c r="F42" s="26"/>
      <c r="G42" s="23"/>
      <c r="H42" s="23"/>
      <c r="I42" s="23"/>
      <c r="J42" s="23"/>
    </row>
    <row r="43" spans="1:11" ht="12.75" hidden="1">
      <c r="B43" s="23"/>
      <c r="C43" s="24"/>
      <c r="D43" s="24"/>
      <c r="E43" s="27"/>
      <c r="F43" s="26"/>
      <c r="G43" s="23"/>
      <c r="H43" s="23"/>
      <c r="I43" s="23"/>
      <c r="J43" s="23"/>
    </row>
    <row r="44" spans="1:11" ht="12.75" hidden="1">
      <c r="A44" s="23"/>
      <c r="B44" s="23"/>
      <c r="C44" s="24"/>
      <c r="D44" s="24"/>
      <c r="E44" s="27"/>
      <c r="F44" s="26"/>
      <c r="G44" s="23"/>
      <c r="H44" s="23"/>
      <c r="I44" s="23"/>
      <c r="J44" s="23"/>
    </row>
    <row r="45" spans="1:11" ht="12.75" hidden="1">
      <c r="A45" s="23"/>
      <c r="B45" s="23"/>
      <c r="C45" s="24"/>
      <c r="D45" s="24"/>
      <c r="E45" s="27"/>
      <c r="F45" s="26"/>
      <c r="G45" s="23"/>
      <c r="H45" s="23"/>
      <c r="I45" s="23"/>
      <c r="J45" s="23"/>
    </row>
  </sheetData>
  <mergeCells count="13">
    <mergeCell ref="G2:J2"/>
    <mergeCell ref="C3:F3"/>
    <mergeCell ref="C4:F4"/>
    <mergeCell ref="C35:E35"/>
    <mergeCell ref="G38:J38"/>
    <mergeCell ref="I6:J6"/>
    <mergeCell ref="C31:E31"/>
    <mergeCell ref="C32:E32"/>
    <mergeCell ref="C33:E33"/>
    <mergeCell ref="C34:E34"/>
    <mergeCell ref="A37:C37"/>
    <mergeCell ref="G37:J37"/>
    <mergeCell ref="C36:F36"/>
  </mergeCells>
  <phoneticPr fontId="11" type="noConversion"/>
  <conditionalFormatting sqref="G7:H32">
    <cfRule type="cellIs" dxfId="11" priority="1" stopIfTrue="1" operator="equal">
      <formula>#REF!</formula>
    </cfRule>
    <cfRule type="cellIs" dxfId="10" priority="2" stopIfTrue="1" operator="equal">
      <formula>#REF!</formula>
    </cfRule>
  </conditionalFormatting>
  <printOptions horizontalCentered="1"/>
  <pageMargins left="0" right="0" top="0" bottom="0" header="0" footer="0"/>
  <pageSetup scale="9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2"/>
    <pageSetUpPr fitToPage="1"/>
  </sheetPr>
  <dimension ref="A1:AJ439"/>
  <sheetViews>
    <sheetView topLeftCell="A5" zoomScale="75" workbookViewId="0">
      <selection activeCell="B21" sqref="B21"/>
    </sheetView>
  </sheetViews>
  <sheetFormatPr baseColWidth="10" defaultColWidth="11.42578125" defaultRowHeight="0" customHeight="1" zeroHeight="1"/>
  <cols>
    <col min="1" max="1" width="12.85546875" style="84" customWidth="1"/>
    <col min="2" max="2" width="9.85546875" style="84" customWidth="1"/>
    <col min="3" max="3" width="10.7109375" style="120" customWidth="1"/>
    <col min="4" max="5" width="11.28515625" style="120" customWidth="1"/>
    <col min="6" max="6" width="11.7109375" style="120" customWidth="1"/>
    <col min="7" max="7" width="10.5703125" style="120" bestFit="1" customWidth="1"/>
    <col min="8" max="8" width="10.5703125" style="120" customWidth="1"/>
    <col min="9" max="10" width="10" style="120" customWidth="1"/>
    <col min="11" max="11" width="10" style="84" customWidth="1"/>
    <col min="12" max="29" width="10" style="120" customWidth="1"/>
    <col min="30" max="30" width="10.42578125" style="120" customWidth="1"/>
    <col min="31" max="33" width="10" style="120" customWidth="1"/>
    <col min="34" max="34" width="10" style="84" customWidth="1"/>
    <col min="35" max="35" width="12.85546875" style="84" customWidth="1"/>
    <col min="36" max="16384" width="11.42578125" style="84"/>
  </cols>
  <sheetData>
    <row r="1" spans="1:36" ht="14.25">
      <c r="A1" s="82"/>
      <c r="B1" s="82"/>
      <c r="C1" s="83"/>
      <c r="D1" s="83"/>
      <c r="E1" s="83"/>
      <c r="F1" s="83"/>
      <c r="G1" s="83"/>
      <c r="H1" s="83"/>
      <c r="I1" s="83"/>
      <c r="J1" s="83"/>
      <c r="K1" s="82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2"/>
      <c r="AI1" s="82"/>
    </row>
    <row r="2" spans="1:36" ht="15">
      <c r="A2" s="508"/>
      <c r="B2" s="508"/>
      <c r="C2" s="508"/>
      <c r="D2" s="508"/>
      <c r="E2" s="85"/>
      <c r="F2" s="85"/>
      <c r="G2" s="85"/>
      <c r="H2" s="85"/>
      <c r="I2" s="85"/>
      <c r="J2" s="85"/>
      <c r="K2" s="8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195"/>
      <c r="AG2" s="197"/>
      <c r="AH2" s="196"/>
      <c r="AI2" s="82"/>
    </row>
    <row r="3" spans="1:36" ht="15" thickBot="1">
      <c r="A3" s="82"/>
      <c r="B3" s="82"/>
      <c r="C3" s="83"/>
      <c r="D3" s="83"/>
      <c r="E3" s="83"/>
      <c r="F3" s="83"/>
      <c r="G3" s="83"/>
      <c r="H3" s="83"/>
      <c r="I3" s="83"/>
      <c r="J3" s="83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2"/>
      <c r="AI3" s="82"/>
    </row>
    <row r="4" spans="1:36" s="87" customFormat="1" ht="24.75" customHeight="1">
      <c r="A4" s="86"/>
      <c r="B4" s="509" t="s">
        <v>319</v>
      </c>
      <c r="C4" s="510"/>
      <c r="D4" s="510"/>
      <c r="E4" s="510"/>
      <c r="F4" s="510"/>
      <c r="G4" s="510"/>
      <c r="H4" s="510"/>
      <c r="I4" s="510"/>
      <c r="J4" s="510"/>
      <c r="K4" s="510"/>
      <c r="L4" s="510"/>
      <c r="M4" s="510"/>
      <c r="N4" s="510"/>
      <c r="O4" s="510"/>
      <c r="P4" s="510"/>
      <c r="Q4" s="510"/>
      <c r="R4" s="510"/>
      <c r="S4" s="510"/>
      <c r="T4" s="510"/>
      <c r="U4" s="510"/>
      <c r="V4" s="510"/>
      <c r="W4" s="510"/>
      <c r="X4" s="510"/>
      <c r="Y4" s="510"/>
      <c r="Z4" s="510"/>
      <c r="AA4" s="510"/>
      <c r="AB4" s="510"/>
      <c r="AC4" s="510"/>
      <c r="AD4" s="510"/>
      <c r="AE4" s="510"/>
      <c r="AF4" s="510"/>
      <c r="AG4" s="510"/>
      <c r="AH4" s="511"/>
      <c r="AI4" s="86"/>
      <c r="AJ4" s="84"/>
    </row>
    <row r="5" spans="1:36" s="87" customFormat="1" ht="24.75" customHeight="1" thickBot="1">
      <c r="A5" s="86"/>
      <c r="B5" s="512" t="s">
        <v>49</v>
      </c>
      <c r="C5" s="513"/>
      <c r="D5" s="513"/>
      <c r="E5" s="513"/>
      <c r="F5" s="513"/>
      <c r="G5" s="513"/>
      <c r="H5" s="513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3"/>
      <c r="AB5" s="513"/>
      <c r="AC5" s="513"/>
      <c r="AD5" s="513"/>
      <c r="AE5" s="513"/>
      <c r="AF5" s="513"/>
      <c r="AG5" s="513"/>
      <c r="AH5" s="514"/>
      <c r="AI5" s="86"/>
      <c r="AJ5" s="84"/>
    </row>
    <row r="6" spans="1:36" ht="14.25">
      <c r="A6" s="290"/>
      <c r="B6" s="290"/>
      <c r="C6" s="291"/>
      <c r="D6" s="291"/>
      <c r="E6" s="291"/>
      <c r="F6" s="291"/>
      <c r="G6" s="291"/>
      <c r="H6" s="291"/>
      <c r="I6" s="291"/>
      <c r="J6" s="291"/>
      <c r="K6" s="290"/>
      <c r="L6" s="291"/>
      <c r="M6" s="291"/>
      <c r="N6" s="291"/>
      <c r="O6" s="291"/>
      <c r="P6" s="291"/>
      <c r="Q6" s="291"/>
      <c r="R6" s="291"/>
      <c r="S6" s="291"/>
      <c r="T6" s="291"/>
      <c r="U6" s="291"/>
      <c r="V6" s="291"/>
      <c r="W6" s="291"/>
      <c r="X6" s="291"/>
      <c r="Y6" s="291"/>
      <c r="Z6" s="291"/>
      <c r="AA6" s="291"/>
      <c r="AB6" s="291"/>
      <c r="AC6" s="291"/>
      <c r="AD6" s="291"/>
      <c r="AE6" s="291"/>
      <c r="AF6" s="291"/>
      <c r="AG6" s="291"/>
      <c r="AH6" s="290"/>
      <c r="AI6" s="290"/>
    </row>
    <row r="7" spans="1:36" ht="15" hidden="1" customHeight="1" thickBot="1">
      <c r="A7" s="82"/>
      <c r="B7" s="82"/>
      <c r="C7" s="83"/>
      <c r="D7" s="83"/>
      <c r="E7" s="83"/>
      <c r="F7" s="83"/>
      <c r="G7" s="83"/>
      <c r="H7" s="83"/>
      <c r="I7" s="83"/>
      <c r="J7" s="83"/>
      <c r="K7" s="8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2"/>
    </row>
    <row r="8" spans="1:36" ht="42" customHeight="1" thickBot="1">
      <c r="A8" s="167"/>
      <c r="B8" s="88"/>
      <c r="C8" s="88"/>
      <c r="D8" s="88"/>
      <c r="E8" s="88"/>
      <c r="F8" s="88"/>
      <c r="G8" s="88"/>
      <c r="H8" s="88"/>
      <c r="I8" s="88"/>
      <c r="J8" s="519" t="s">
        <v>22</v>
      </c>
      <c r="K8" s="519"/>
      <c r="L8" s="519"/>
      <c r="M8" s="519"/>
      <c r="N8" s="519"/>
      <c r="O8" s="519"/>
      <c r="P8" s="519"/>
      <c r="Q8" s="519"/>
      <c r="R8" s="519"/>
      <c r="S8" s="519"/>
      <c r="T8" s="519"/>
      <c r="U8" s="519"/>
      <c r="V8" s="519"/>
      <c r="W8" s="519"/>
      <c r="X8" s="519"/>
      <c r="Y8" s="519"/>
      <c r="Z8" s="519"/>
      <c r="AA8" s="519"/>
      <c r="AB8" s="519"/>
      <c r="AC8" s="519"/>
      <c r="AD8" s="519"/>
      <c r="AE8" s="519"/>
      <c r="AF8" s="519"/>
      <c r="AG8" s="88"/>
      <c r="AH8" s="167"/>
      <c r="AI8" s="167"/>
    </row>
    <row r="9" spans="1:36" ht="45" customHeight="1">
      <c r="A9" s="167"/>
      <c r="B9" s="520" t="s">
        <v>50</v>
      </c>
      <c r="C9" s="521"/>
      <c r="D9" s="293" t="s">
        <v>331</v>
      </c>
      <c r="E9" s="293" t="s">
        <v>331</v>
      </c>
      <c r="F9" s="293" t="s">
        <v>331</v>
      </c>
      <c r="G9" s="293" t="s">
        <v>331</v>
      </c>
      <c r="H9" s="293" t="s">
        <v>331</v>
      </c>
      <c r="I9" s="293" t="s">
        <v>331</v>
      </c>
      <c r="J9" s="293" t="s">
        <v>331</v>
      </c>
      <c r="K9" s="293" t="s">
        <v>332</v>
      </c>
      <c r="L9" s="293" t="s">
        <v>333</v>
      </c>
      <c r="M9" s="293" t="s">
        <v>332</v>
      </c>
      <c r="N9" s="293" t="s">
        <v>333</v>
      </c>
      <c r="O9" s="293" t="s">
        <v>332</v>
      </c>
      <c r="P9" s="293" t="s">
        <v>333</v>
      </c>
      <c r="Q9" s="293" t="s">
        <v>331</v>
      </c>
      <c r="R9" s="293" t="s">
        <v>331</v>
      </c>
      <c r="S9" s="293" t="s">
        <v>332</v>
      </c>
      <c r="T9" s="293" t="s">
        <v>333</v>
      </c>
      <c r="U9" s="293" t="s">
        <v>331</v>
      </c>
      <c r="V9" s="293" t="s">
        <v>332</v>
      </c>
      <c r="W9" s="293" t="s">
        <v>331</v>
      </c>
      <c r="X9" s="293" t="s">
        <v>332</v>
      </c>
      <c r="Y9" s="293" t="s">
        <v>331</v>
      </c>
      <c r="Z9" s="293" t="s">
        <v>331</v>
      </c>
      <c r="AA9" s="293" t="s">
        <v>331</v>
      </c>
      <c r="AB9" s="293"/>
      <c r="AC9" s="293"/>
      <c r="AD9" s="293"/>
      <c r="AE9" s="293"/>
      <c r="AF9" s="293"/>
      <c r="AG9" s="293"/>
      <c r="AH9" s="294"/>
      <c r="AI9" s="167"/>
    </row>
    <row r="10" spans="1:36" ht="24" customHeight="1" thickBot="1">
      <c r="A10" s="167"/>
      <c r="B10" s="522" t="s">
        <v>51</v>
      </c>
      <c r="C10" s="523"/>
      <c r="D10" s="90" t="s">
        <v>185</v>
      </c>
      <c r="E10" s="90" t="s">
        <v>200</v>
      </c>
      <c r="F10" s="90" t="s">
        <v>208</v>
      </c>
      <c r="G10" s="90" t="s">
        <v>209</v>
      </c>
      <c r="H10" s="90" t="s">
        <v>210</v>
      </c>
      <c r="I10" s="90" t="s">
        <v>211</v>
      </c>
      <c r="J10" s="90" t="s">
        <v>213</v>
      </c>
      <c r="K10" s="91" t="s">
        <v>225</v>
      </c>
      <c r="L10" s="92" t="s">
        <v>225</v>
      </c>
      <c r="M10" s="92" t="s">
        <v>226</v>
      </c>
      <c r="N10" s="92" t="s">
        <v>226</v>
      </c>
      <c r="O10" s="92" t="s">
        <v>227</v>
      </c>
      <c r="P10" s="92" t="s">
        <v>227</v>
      </c>
      <c r="Q10" s="92" t="s">
        <v>229</v>
      </c>
      <c r="R10" s="92" t="s">
        <v>233</v>
      </c>
      <c r="S10" s="92" t="s">
        <v>236</v>
      </c>
      <c r="T10" s="92" t="s">
        <v>236</v>
      </c>
      <c r="U10" s="92" t="s">
        <v>237</v>
      </c>
      <c r="V10" s="92" t="s">
        <v>237</v>
      </c>
      <c r="W10" s="92" t="s">
        <v>238</v>
      </c>
      <c r="X10" s="92" t="s">
        <v>238</v>
      </c>
      <c r="Y10" s="92" t="s">
        <v>242</v>
      </c>
      <c r="Z10" s="92" t="s">
        <v>307</v>
      </c>
      <c r="AA10" s="92" t="s">
        <v>250</v>
      </c>
      <c r="AB10" s="92"/>
      <c r="AC10" s="92"/>
      <c r="AD10" s="92"/>
      <c r="AE10" s="92"/>
      <c r="AF10" s="90"/>
      <c r="AG10" s="90"/>
      <c r="AH10" s="295"/>
      <c r="AI10" s="167"/>
    </row>
    <row r="11" spans="1:36" ht="14.25" customHeight="1">
      <c r="A11" s="167"/>
      <c r="B11" s="93">
        <v>0</v>
      </c>
      <c r="C11" s="168">
        <v>4.1666666666666664E-2</v>
      </c>
      <c r="D11" s="94">
        <v>48.099019111092602</v>
      </c>
      <c r="E11" s="94">
        <v>66.070954534221201</v>
      </c>
      <c r="F11" s="94">
        <v>61.127175994230299</v>
      </c>
      <c r="G11" s="94">
        <v>13.8593917095834</v>
      </c>
      <c r="H11" s="94">
        <v>44.7301268869059</v>
      </c>
      <c r="I11" s="94">
        <v>33.585348470898701</v>
      </c>
      <c r="J11" s="94">
        <v>72.8002664664766</v>
      </c>
      <c r="K11" s="94"/>
      <c r="L11" s="94"/>
      <c r="M11" s="173"/>
      <c r="N11" s="173"/>
      <c r="O11" s="173"/>
      <c r="P11" s="173"/>
      <c r="Q11" s="173"/>
      <c r="R11" s="173"/>
      <c r="S11" s="173">
        <v>93.778596444858593</v>
      </c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94"/>
      <c r="AH11" s="95"/>
      <c r="AI11" s="167"/>
    </row>
    <row r="12" spans="1:36" ht="15" customHeight="1">
      <c r="A12" s="167"/>
      <c r="B12" s="96">
        <v>4.1666666666666699E-2</v>
      </c>
      <c r="C12" s="169">
        <v>8.3333333333333301E-2</v>
      </c>
      <c r="D12" s="97">
        <v>48.099019111092602</v>
      </c>
      <c r="E12" s="97">
        <v>66.070954534221201</v>
      </c>
      <c r="F12" s="97">
        <v>61.127175994230299</v>
      </c>
      <c r="G12" s="97">
        <v>20.719391709583402</v>
      </c>
      <c r="H12" s="97">
        <v>44.7301268869059</v>
      </c>
      <c r="I12" s="97">
        <v>33.585348470898701</v>
      </c>
      <c r="J12" s="97">
        <v>72.8002664664766</v>
      </c>
      <c r="K12" s="97"/>
      <c r="L12" s="97"/>
      <c r="M12" s="174"/>
      <c r="N12" s="174"/>
      <c r="O12" s="174"/>
      <c r="P12" s="174"/>
      <c r="Q12" s="174"/>
      <c r="R12" s="174"/>
      <c r="S12" s="174">
        <v>93.778596444858593</v>
      </c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97"/>
      <c r="AH12" s="98"/>
      <c r="AI12" s="167"/>
    </row>
    <row r="13" spans="1:36" ht="15" customHeight="1">
      <c r="A13" s="167"/>
      <c r="B13" s="96">
        <v>8.3333333333333301E-2</v>
      </c>
      <c r="C13" s="169">
        <v>0.125</v>
      </c>
      <c r="D13" s="97">
        <v>48.099019111092602</v>
      </c>
      <c r="E13" s="97">
        <v>66.070954534221201</v>
      </c>
      <c r="F13" s="97">
        <v>61.127175994230299</v>
      </c>
      <c r="G13" s="97">
        <v>20.719391709583402</v>
      </c>
      <c r="H13" s="97">
        <v>44.7301268869059</v>
      </c>
      <c r="I13" s="97">
        <v>33.585348470898701</v>
      </c>
      <c r="J13" s="97">
        <v>72.8002664664766</v>
      </c>
      <c r="K13" s="97"/>
      <c r="L13" s="97"/>
      <c r="M13" s="174"/>
      <c r="N13" s="174"/>
      <c r="O13" s="174"/>
      <c r="P13" s="174"/>
      <c r="Q13" s="174"/>
      <c r="R13" s="174"/>
      <c r="S13" s="174">
        <v>93.778596444858593</v>
      </c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97"/>
      <c r="AH13" s="98"/>
      <c r="AI13" s="167"/>
    </row>
    <row r="14" spans="1:36" ht="15" customHeight="1">
      <c r="A14" s="167"/>
      <c r="B14" s="96">
        <v>0.125</v>
      </c>
      <c r="C14" s="169">
        <v>0.16666666666666699</v>
      </c>
      <c r="D14" s="97">
        <v>48.099019111092602</v>
      </c>
      <c r="E14" s="97">
        <v>66.070954534221201</v>
      </c>
      <c r="F14" s="97">
        <v>61.127175994230299</v>
      </c>
      <c r="G14" s="97">
        <v>20.719391709583402</v>
      </c>
      <c r="H14" s="97">
        <v>44.7301268869059</v>
      </c>
      <c r="I14" s="97">
        <v>33.585348470898701</v>
      </c>
      <c r="J14" s="97">
        <v>72.8002664664766</v>
      </c>
      <c r="K14" s="97"/>
      <c r="L14" s="97"/>
      <c r="M14" s="174"/>
      <c r="N14" s="174"/>
      <c r="O14" s="174"/>
      <c r="P14" s="174"/>
      <c r="Q14" s="174"/>
      <c r="R14" s="174"/>
      <c r="S14" s="174">
        <v>93.778596444858593</v>
      </c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97"/>
      <c r="AH14" s="98"/>
      <c r="AI14" s="167"/>
    </row>
    <row r="15" spans="1:36" ht="15" customHeight="1">
      <c r="A15" s="167"/>
      <c r="B15" s="96">
        <v>0.16666666666666699</v>
      </c>
      <c r="C15" s="169">
        <v>0.20833333333333301</v>
      </c>
      <c r="D15" s="97">
        <v>48.099019111092602</v>
      </c>
      <c r="E15" s="97">
        <v>66.070954534221201</v>
      </c>
      <c r="F15" s="97">
        <v>61.127175994230299</v>
      </c>
      <c r="G15" s="97">
        <v>20.719391709583402</v>
      </c>
      <c r="H15" s="97">
        <v>44.7301268869059</v>
      </c>
      <c r="I15" s="97">
        <v>33.585348470898701</v>
      </c>
      <c r="J15" s="97">
        <v>72.8002664664766</v>
      </c>
      <c r="K15" s="97">
        <v>97.865348470898695</v>
      </c>
      <c r="L15" s="97"/>
      <c r="M15" s="174">
        <v>97.865348470898695</v>
      </c>
      <c r="N15" s="174"/>
      <c r="O15" s="174">
        <v>97.865348470898695</v>
      </c>
      <c r="P15" s="174"/>
      <c r="Q15" s="174"/>
      <c r="R15" s="174"/>
      <c r="S15" s="174">
        <v>93.778596444858593</v>
      </c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97"/>
      <c r="AH15" s="98"/>
      <c r="AI15" s="167"/>
    </row>
    <row r="16" spans="1:36" ht="15" customHeight="1">
      <c r="A16" s="167"/>
      <c r="B16" s="96">
        <v>0.20833333333333301</v>
      </c>
      <c r="C16" s="169">
        <v>0.25</v>
      </c>
      <c r="D16" s="97">
        <v>48.099019111092602</v>
      </c>
      <c r="E16" s="97">
        <v>66.070954534221201</v>
      </c>
      <c r="F16" s="97">
        <v>61.127175994230299</v>
      </c>
      <c r="G16" s="97">
        <v>20.719391709583402</v>
      </c>
      <c r="H16" s="97">
        <v>44.7301268869059</v>
      </c>
      <c r="I16" s="97">
        <v>33.585348470898701</v>
      </c>
      <c r="J16" s="97">
        <v>72.8002664664766</v>
      </c>
      <c r="K16" s="97"/>
      <c r="L16" s="97">
        <v>97.865348470898695</v>
      </c>
      <c r="M16" s="174"/>
      <c r="N16" s="174">
        <v>97.865348470898695</v>
      </c>
      <c r="O16" s="174"/>
      <c r="P16" s="174">
        <v>97.865348470898695</v>
      </c>
      <c r="Q16" s="174"/>
      <c r="R16" s="174"/>
      <c r="S16" s="174">
        <v>93.778596444858593</v>
      </c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97"/>
      <c r="AH16" s="98"/>
      <c r="AI16" s="167"/>
    </row>
    <row r="17" spans="1:35" ht="15" customHeight="1">
      <c r="A17" s="167"/>
      <c r="B17" s="99">
        <v>0.25</v>
      </c>
      <c r="C17" s="170">
        <v>0.29166666666666702</v>
      </c>
      <c r="D17" s="100">
        <v>17.729640409708701</v>
      </c>
      <c r="E17" s="100">
        <v>31.6713696269107</v>
      </c>
      <c r="F17" s="100">
        <v>43.915845980507399</v>
      </c>
      <c r="G17" s="100"/>
      <c r="H17" s="100">
        <v>22.463809450125101</v>
      </c>
      <c r="I17" s="100">
        <v>12.684850628616701</v>
      </c>
      <c r="J17" s="100">
        <v>52.101527757433601</v>
      </c>
      <c r="K17" s="100"/>
      <c r="L17" s="100">
        <v>76.964850628616702</v>
      </c>
      <c r="M17" s="175"/>
      <c r="N17" s="175">
        <v>76.964850628616702</v>
      </c>
      <c r="O17" s="175"/>
      <c r="P17" s="175">
        <v>76.964850628616702</v>
      </c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00"/>
      <c r="AH17" s="101"/>
      <c r="AI17" s="167"/>
    </row>
    <row r="18" spans="1:35" ht="15" customHeight="1">
      <c r="A18" s="167"/>
      <c r="B18" s="99">
        <v>0.29166666666666702</v>
      </c>
      <c r="C18" s="170">
        <v>0.33333333333333298</v>
      </c>
      <c r="D18" s="100"/>
      <c r="E18" s="100"/>
      <c r="F18" s="100"/>
      <c r="G18" s="100"/>
      <c r="H18" s="100"/>
      <c r="I18" s="100"/>
      <c r="J18" s="100"/>
      <c r="K18" s="100"/>
      <c r="L18" s="100"/>
      <c r="M18" s="175"/>
      <c r="N18" s="175">
        <v>26.564070726996601</v>
      </c>
      <c r="O18" s="175"/>
      <c r="P18" s="175">
        <v>26.564070726996601</v>
      </c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00"/>
      <c r="AH18" s="101"/>
      <c r="AI18" s="167"/>
    </row>
    <row r="19" spans="1:35" ht="15" customHeight="1">
      <c r="A19" s="167"/>
      <c r="B19" s="99">
        <v>0.33333333333333398</v>
      </c>
      <c r="C19" s="170">
        <v>0.375</v>
      </c>
      <c r="D19" s="100"/>
      <c r="E19" s="100"/>
      <c r="F19" s="100"/>
      <c r="G19" s="100"/>
      <c r="H19" s="100"/>
      <c r="I19" s="100"/>
      <c r="J19" s="100"/>
      <c r="K19" s="100">
        <v>3.4954952866614799</v>
      </c>
      <c r="L19" s="100"/>
      <c r="M19" s="175"/>
      <c r="N19" s="175">
        <v>3.4954952866614799</v>
      </c>
      <c r="O19" s="175"/>
      <c r="P19" s="175">
        <v>3.4954952866614799</v>
      </c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00"/>
      <c r="AH19" s="101"/>
      <c r="AI19" s="167"/>
    </row>
    <row r="20" spans="1:35" ht="15" customHeight="1">
      <c r="A20" s="167"/>
      <c r="B20" s="99">
        <v>0.375</v>
      </c>
      <c r="C20" s="170">
        <v>0.41666666666666702</v>
      </c>
      <c r="D20" s="100"/>
      <c r="E20" s="100"/>
      <c r="F20" s="100"/>
      <c r="G20" s="100"/>
      <c r="H20" s="100"/>
      <c r="I20" s="100"/>
      <c r="J20" s="100"/>
      <c r="K20" s="100"/>
      <c r="L20" s="100">
        <v>22.514213687429599</v>
      </c>
      <c r="M20" s="175"/>
      <c r="N20" s="175">
        <v>22.514213687429599</v>
      </c>
      <c r="O20" s="175"/>
      <c r="P20" s="175">
        <v>22.514213687429599</v>
      </c>
      <c r="Q20" s="175"/>
      <c r="R20" s="175"/>
      <c r="S20" s="175"/>
      <c r="T20" s="175">
        <v>18.929132497466401</v>
      </c>
      <c r="U20" s="175"/>
      <c r="V20" s="175">
        <v>70.466944961011706</v>
      </c>
      <c r="W20" s="175"/>
      <c r="X20" s="175">
        <v>62.016944961011703</v>
      </c>
      <c r="Y20" s="175"/>
      <c r="Z20" s="175"/>
      <c r="AA20" s="175"/>
      <c r="AB20" s="175"/>
      <c r="AC20" s="175"/>
      <c r="AD20" s="175"/>
      <c r="AE20" s="175"/>
      <c r="AF20" s="175"/>
      <c r="AG20" s="100"/>
      <c r="AH20" s="101"/>
      <c r="AI20" s="167"/>
    </row>
    <row r="21" spans="1:35" ht="15" customHeight="1">
      <c r="A21" s="167"/>
      <c r="B21" s="102">
        <v>0.41666666666666702</v>
      </c>
      <c r="C21" s="171">
        <v>0.45833333333333298</v>
      </c>
      <c r="D21" s="103"/>
      <c r="E21" s="103"/>
      <c r="F21" s="103"/>
      <c r="G21" s="103"/>
      <c r="H21" s="103"/>
      <c r="I21" s="103"/>
      <c r="J21" s="103"/>
      <c r="K21" s="103"/>
      <c r="L21" s="103">
        <v>29.909585193422298</v>
      </c>
      <c r="M21" s="103"/>
      <c r="N21" s="103">
        <v>29.909585193422298</v>
      </c>
      <c r="O21" s="103"/>
      <c r="P21" s="103">
        <v>29.909585193422298</v>
      </c>
      <c r="Q21" s="103"/>
      <c r="R21" s="103"/>
      <c r="S21" s="103"/>
      <c r="T21" s="103">
        <v>26.015762089010298</v>
      </c>
      <c r="U21" s="103"/>
      <c r="V21" s="103">
        <v>78.322436167152503</v>
      </c>
      <c r="W21" s="103"/>
      <c r="X21" s="103">
        <v>69.8724361671525</v>
      </c>
      <c r="Y21" s="103"/>
      <c r="Z21" s="103"/>
      <c r="AA21" s="103">
        <v>4.2134128361338803</v>
      </c>
      <c r="AB21" s="103"/>
      <c r="AC21" s="103"/>
      <c r="AD21" s="103"/>
      <c r="AE21" s="103"/>
      <c r="AF21" s="103"/>
      <c r="AG21" s="103"/>
      <c r="AH21" s="104"/>
      <c r="AI21" s="167"/>
    </row>
    <row r="22" spans="1:35" ht="15" customHeight="1">
      <c r="A22" s="167"/>
      <c r="B22" s="102">
        <v>0.45833333333333398</v>
      </c>
      <c r="C22" s="171">
        <v>0.5</v>
      </c>
      <c r="D22" s="103">
        <v>15.1778150515095</v>
      </c>
      <c r="E22" s="103">
        <v>32.338917363510198</v>
      </c>
      <c r="F22" s="103">
        <v>30.697318897389302</v>
      </c>
      <c r="G22" s="103"/>
      <c r="H22" s="103">
        <v>9.0651930172057895</v>
      </c>
      <c r="I22" s="103"/>
      <c r="J22" s="103">
        <v>18.071601472798399</v>
      </c>
      <c r="K22" s="103"/>
      <c r="L22" s="103">
        <v>64.280024203773607</v>
      </c>
      <c r="M22" s="103"/>
      <c r="N22" s="103">
        <v>64.280024203773607</v>
      </c>
      <c r="O22" s="103"/>
      <c r="P22" s="103">
        <v>64.280024203773607</v>
      </c>
      <c r="Q22" s="103"/>
      <c r="R22" s="103"/>
      <c r="S22" s="103"/>
      <c r="T22" s="103">
        <v>60.294652203971097</v>
      </c>
      <c r="U22" s="103"/>
      <c r="V22" s="103">
        <v>115.26760402622099</v>
      </c>
      <c r="W22" s="103"/>
      <c r="X22" s="103">
        <v>106.81760402622101</v>
      </c>
      <c r="Y22" s="103"/>
      <c r="Z22" s="103"/>
      <c r="AA22" s="103"/>
      <c r="AB22" s="103"/>
      <c r="AC22" s="103"/>
      <c r="AD22" s="103"/>
      <c r="AE22" s="103"/>
      <c r="AF22" s="103"/>
      <c r="AG22" s="103"/>
      <c r="AH22" s="104"/>
      <c r="AI22" s="167"/>
    </row>
    <row r="23" spans="1:35" ht="15" customHeight="1">
      <c r="A23" s="167"/>
      <c r="B23" s="102">
        <v>0.5</v>
      </c>
      <c r="C23" s="171">
        <v>0.54166666666666696</v>
      </c>
      <c r="D23" s="103">
        <v>48.370712816697697</v>
      </c>
      <c r="E23" s="103">
        <v>65.862082756901103</v>
      </c>
      <c r="F23" s="103">
        <v>60.634596808141701</v>
      </c>
      <c r="G23" s="103">
        <v>13.8536552127417</v>
      </c>
      <c r="H23" s="103">
        <v>44.060623497799</v>
      </c>
      <c r="I23" s="103">
        <v>33.519442290540397</v>
      </c>
      <c r="J23" s="103">
        <v>74.186595620406095</v>
      </c>
      <c r="K23" s="103"/>
      <c r="L23" s="103">
        <v>97.799442290540398</v>
      </c>
      <c r="M23" s="103"/>
      <c r="N23" s="103">
        <v>97.799442290540398</v>
      </c>
      <c r="O23" s="103"/>
      <c r="P23" s="103">
        <v>97.799442290540398</v>
      </c>
      <c r="Q23" s="103"/>
      <c r="R23" s="103"/>
      <c r="S23" s="103"/>
      <c r="T23" s="103">
        <v>93.724788169579796</v>
      </c>
      <c r="U23" s="103"/>
      <c r="V23" s="103">
        <v>151.298000012172</v>
      </c>
      <c r="W23" s="103"/>
      <c r="X23" s="103">
        <v>142.84800001217201</v>
      </c>
      <c r="Y23" s="103"/>
      <c r="Z23" s="103">
        <v>7.6448771844480898</v>
      </c>
      <c r="AA23" s="103"/>
      <c r="AB23" s="103"/>
      <c r="AC23" s="103"/>
      <c r="AD23" s="103"/>
      <c r="AE23" s="103"/>
      <c r="AF23" s="103"/>
      <c r="AG23" s="103"/>
      <c r="AH23" s="104"/>
      <c r="AI23" s="167"/>
    </row>
    <row r="24" spans="1:35" ht="15" customHeight="1">
      <c r="A24" s="167"/>
      <c r="B24" s="99">
        <v>0.54166666666666696</v>
      </c>
      <c r="C24" s="170">
        <v>0.58333333333333304</v>
      </c>
      <c r="D24" s="100">
        <v>34.493695442306901</v>
      </c>
      <c r="E24" s="100">
        <v>51.899018959363403</v>
      </c>
      <c r="F24" s="100">
        <v>49.9316865416952</v>
      </c>
      <c r="G24" s="100"/>
      <c r="H24" s="100">
        <v>29.659651976643399</v>
      </c>
      <c r="I24" s="100">
        <v>19.589036043912301</v>
      </c>
      <c r="J24" s="100">
        <v>59.054573583780297</v>
      </c>
      <c r="K24" s="100"/>
      <c r="L24" s="100">
        <v>83.869036043912303</v>
      </c>
      <c r="M24" s="175"/>
      <c r="N24" s="175">
        <v>83.869036043912303</v>
      </c>
      <c r="O24" s="175"/>
      <c r="P24" s="175">
        <v>83.869036043912303</v>
      </c>
      <c r="Q24" s="175"/>
      <c r="R24" s="175"/>
      <c r="S24" s="175"/>
      <c r="T24" s="175">
        <v>79.9948590940961</v>
      </c>
      <c r="U24" s="175"/>
      <c r="V24" s="175">
        <v>136.37711139548799</v>
      </c>
      <c r="W24" s="175"/>
      <c r="X24" s="175">
        <v>127.927111395488</v>
      </c>
      <c r="Y24" s="175"/>
      <c r="Z24" s="175"/>
      <c r="AA24" s="175"/>
      <c r="AB24" s="175"/>
      <c r="AC24" s="175"/>
      <c r="AD24" s="175"/>
      <c r="AE24" s="175"/>
      <c r="AF24" s="175"/>
      <c r="AG24" s="100"/>
      <c r="AH24" s="101"/>
      <c r="AI24" s="167"/>
    </row>
    <row r="25" spans="1:35" ht="15" customHeight="1">
      <c r="A25" s="167"/>
      <c r="B25" s="99">
        <v>0.58333333333333404</v>
      </c>
      <c r="C25" s="170">
        <v>0.625</v>
      </c>
      <c r="D25" s="100"/>
      <c r="E25" s="100"/>
      <c r="F25" s="100">
        <v>4.7330844790439901</v>
      </c>
      <c r="G25" s="100"/>
      <c r="H25" s="100"/>
      <c r="I25" s="100"/>
      <c r="J25" s="100">
        <v>6.81450035844016</v>
      </c>
      <c r="K25" s="100"/>
      <c r="L25" s="100">
        <v>31.9960640163604</v>
      </c>
      <c r="M25" s="175"/>
      <c r="N25" s="175">
        <v>31.9960640163604</v>
      </c>
      <c r="O25" s="175"/>
      <c r="P25" s="175">
        <v>31.9960640163604</v>
      </c>
      <c r="Q25" s="175"/>
      <c r="R25" s="175"/>
      <c r="S25" s="175"/>
      <c r="T25" s="175">
        <v>28.366305609181499</v>
      </c>
      <c r="U25" s="175"/>
      <c r="V25" s="175">
        <v>80.652783812529506</v>
      </c>
      <c r="W25" s="175"/>
      <c r="X25" s="175">
        <v>72.202783812529503</v>
      </c>
      <c r="Y25" s="175"/>
      <c r="Z25" s="175"/>
      <c r="AA25" s="175"/>
      <c r="AB25" s="175"/>
      <c r="AC25" s="175"/>
      <c r="AD25" s="175"/>
      <c r="AE25" s="175"/>
      <c r="AF25" s="175"/>
      <c r="AG25" s="100"/>
      <c r="AH25" s="101"/>
      <c r="AI25" s="167"/>
    </row>
    <row r="26" spans="1:35" ht="15" customHeight="1">
      <c r="A26" s="167"/>
      <c r="B26" s="99">
        <v>0.625</v>
      </c>
      <c r="C26" s="170">
        <v>0.66666666666666696</v>
      </c>
      <c r="D26" s="100"/>
      <c r="E26" s="100"/>
      <c r="F26" s="100">
        <v>4.7330844790439901</v>
      </c>
      <c r="G26" s="100"/>
      <c r="H26" s="100"/>
      <c r="I26" s="100"/>
      <c r="J26" s="100">
        <v>6.81450035844016</v>
      </c>
      <c r="K26" s="100"/>
      <c r="L26" s="100">
        <v>31.9960640163604</v>
      </c>
      <c r="M26" s="175"/>
      <c r="N26" s="175">
        <v>31.9960640163604</v>
      </c>
      <c r="O26" s="175"/>
      <c r="P26" s="175">
        <v>31.9960640163604</v>
      </c>
      <c r="Q26" s="175"/>
      <c r="R26" s="175"/>
      <c r="S26" s="175"/>
      <c r="T26" s="175">
        <v>28.366305609181499</v>
      </c>
      <c r="U26" s="175"/>
      <c r="V26" s="175">
        <v>80.652783812529506</v>
      </c>
      <c r="W26" s="175"/>
      <c r="X26" s="175">
        <v>72.202783812529503</v>
      </c>
      <c r="Y26" s="175"/>
      <c r="Z26" s="175"/>
      <c r="AA26" s="175"/>
      <c r="AB26" s="175"/>
      <c r="AC26" s="175"/>
      <c r="AD26" s="175"/>
      <c r="AE26" s="175"/>
      <c r="AF26" s="175"/>
      <c r="AG26" s="100"/>
      <c r="AH26" s="101"/>
      <c r="AI26" s="167"/>
    </row>
    <row r="27" spans="1:35" ht="15" customHeight="1">
      <c r="A27" s="167"/>
      <c r="B27" s="99">
        <v>0.66666666666666696</v>
      </c>
      <c r="C27" s="170">
        <v>0.70833333333333304</v>
      </c>
      <c r="D27" s="100"/>
      <c r="E27" s="100"/>
      <c r="F27" s="100"/>
      <c r="G27" s="100"/>
      <c r="H27" s="100"/>
      <c r="I27" s="100"/>
      <c r="J27" s="100"/>
      <c r="K27" s="100"/>
      <c r="L27" s="100">
        <v>26.564070726996601</v>
      </c>
      <c r="M27" s="175"/>
      <c r="N27" s="175">
        <v>26.564070726996601</v>
      </c>
      <c r="O27" s="175"/>
      <c r="P27" s="175">
        <v>26.564070726996601</v>
      </c>
      <c r="Q27" s="175">
        <v>26.564070726996601</v>
      </c>
      <c r="R27" s="175"/>
      <c r="S27" s="175"/>
      <c r="T27" s="175">
        <v>22.9599071494853</v>
      </c>
      <c r="U27" s="175"/>
      <c r="V27" s="175">
        <v>74.8174872861578</v>
      </c>
      <c r="W27" s="175"/>
      <c r="X27" s="175">
        <v>66.367487286157797</v>
      </c>
      <c r="Y27" s="175"/>
      <c r="Z27" s="175"/>
      <c r="AA27" s="175">
        <v>4.4838787043743</v>
      </c>
      <c r="AB27" s="175"/>
      <c r="AC27" s="175"/>
      <c r="AD27" s="175"/>
      <c r="AE27" s="175"/>
      <c r="AF27" s="175"/>
      <c r="AG27" s="100"/>
      <c r="AH27" s="101"/>
      <c r="AI27" s="167"/>
    </row>
    <row r="28" spans="1:35" ht="15" customHeight="1">
      <c r="A28" s="167"/>
      <c r="B28" s="99">
        <v>0.70833333333333404</v>
      </c>
      <c r="C28" s="170">
        <v>0.75</v>
      </c>
      <c r="D28" s="100"/>
      <c r="E28" s="100"/>
      <c r="F28" s="100"/>
      <c r="G28" s="100"/>
      <c r="H28" s="100"/>
      <c r="I28" s="100"/>
      <c r="J28" s="100"/>
      <c r="K28" s="100"/>
      <c r="L28" s="100"/>
      <c r="M28" s="175"/>
      <c r="N28" s="175"/>
      <c r="O28" s="175"/>
      <c r="P28" s="175"/>
      <c r="Q28" s="175"/>
      <c r="R28" s="175"/>
      <c r="S28" s="175"/>
      <c r="T28" s="175"/>
      <c r="U28" s="175">
        <v>22.156661304032198</v>
      </c>
      <c r="V28" s="175">
        <v>22.156661304032198</v>
      </c>
      <c r="W28" s="175">
        <v>13.706661304032201</v>
      </c>
      <c r="X28" s="175">
        <v>13.706661304032201</v>
      </c>
      <c r="Y28" s="175">
        <v>33.448723669691198</v>
      </c>
      <c r="Z28" s="175"/>
      <c r="AA28" s="175"/>
      <c r="AB28" s="175"/>
      <c r="AC28" s="175"/>
      <c r="AD28" s="175"/>
      <c r="AE28" s="175"/>
      <c r="AF28" s="175"/>
      <c r="AG28" s="100"/>
      <c r="AH28" s="101"/>
      <c r="AI28" s="167"/>
    </row>
    <row r="29" spans="1:35" ht="15" customHeight="1">
      <c r="A29" s="167"/>
      <c r="B29" s="102">
        <v>0.750000000000001</v>
      </c>
      <c r="C29" s="171">
        <v>0.79166666666666696</v>
      </c>
      <c r="D29" s="103"/>
      <c r="E29" s="103"/>
      <c r="F29" s="103"/>
      <c r="G29" s="103"/>
      <c r="H29" s="103"/>
      <c r="I29" s="103"/>
      <c r="J29" s="103"/>
      <c r="K29" s="103"/>
      <c r="L29" s="103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03"/>
      <c r="AH29" s="104"/>
      <c r="AI29" s="167"/>
    </row>
    <row r="30" spans="1:35" ht="15" customHeight="1">
      <c r="A30" s="167"/>
      <c r="B30" s="102">
        <v>0.79166666666666696</v>
      </c>
      <c r="C30" s="171">
        <v>0.83333333333333304</v>
      </c>
      <c r="D30" s="103"/>
      <c r="E30" s="103"/>
      <c r="F30" s="103"/>
      <c r="G30" s="103"/>
      <c r="H30" s="103"/>
      <c r="I30" s="103"/>
      <c r="J30" s="103"/>
      <c r="K30" s="103"/>
      <c r="L30" s="103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03"/>
      <c r="AH30" s="104"/>
      <c r="AI30" s="167"/>
    </row>
    <row r="31" spans="1:35" ht="15" customHeight="1">
      <c r="A31" s="167"/>
      <c r="B31" s="102">
        <v>0.83333333333333404</v>
      </c>
      <c r="C31" s="171">
        <v>0.875</v>
      </c>
      <c r="D31" s="103"/>
      <c r="E31" s="103"/>
      <c r="F31" s="103"/>
      <c r="G31" s="103"/>
      <c r="H31" s="103"/>
      <c r="I31" s="103"/>
      <c r="J31" s="103"/>
      <c r="K31" s="103"/>
      <c r="L31" s="103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>
        <v>21.1880735720394</v>
      </c>
      <c r="Z31" s="176"/>
      <c r="AA31" s="176"/>
      <c r="AB31" s="176"/>
      <c r="AC31" s="176"/>
      <c r="AD31" s="176"/>
      <c r="AE31" s="176"/>
      <c r="AF31" s="176"/>
      <c r="AG31" s="103"/>
      <c r="AH31" s="104"/>
      <c r="AI31" s="167"/>
    </row>
    <row r="32" spans="1:35" ht="15" customHeight="1">
      <c r="A32" s="167"/>
      <c r="B32" s="99">
        <v>0.875000000000001</v>
      </c>
      <c r="C32" s="170">
        <v>0.91666666666666696</v>
      </c>
      <c r="D32" s="100"/>
      <c r="E32" s="100"/>
      <c r="F32" s="100"/>
      <c r="G32" s="100"/>
      <c r="H32" s="100"/>
      <c r="I32" s="100"/>
      <c r="J32" s="100"/>
      <c r="K32" s="100"/>
      <c r="L32" s="100"/>
      <c r="M32" s="175"/>
      <c r="N32" s="175"/>
      <c r="O32" s="175"/>
      <c r="P32" s="175"/>
      <c r="Q32" s="175"/>
      <c r="R32" s="175">
        <v>0.95003152388575696</v>
      </c>
      <c r="S32" s="175"/>
      <c r="T32" s="175"/>
      <c r="U32" s="175"/>
      <c r="V32" s="175">
        <v>22.008194934286902</v>
      </c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00"/>
      <c r="AH32" s="101"/>
      <c r="AI32" s="167"/>
    </row>
    <row r="33" spans="1:35" ht="15" customHeight="1">
      <c r="A33" s="167"/>
      <c r="B33" s="99">
        <v>0.91666666666666696</v>
      </c>
      <c r="C33" s="170">
        <v>0.95833333333333304</v>
      </c>
      <c r="D33" s="100"/>
      <c r="E33" s="100"/>
      <c r="F33" s="100"/>
      <c r="G33" s="100"/>
      <c r="H33" s="100"/>
      <c r="I33" s="100"/>
      <c r="J33" s="100"/>
      <c r="K33" s="100"/>
      <c r="L33" s="100"/>
      <c r="M33" s="175"/>
      <c r="N33" s="175"/>
      <c r="O33" s="175"/>
      <c r="P33" s="175"/>
      <c r="Q33" s="175"/>
      <c r="R33" s="175">
        <v>22.458110847597499</v>
      </c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00"/>
      <c r="AH33" s="101"/>
      <c r="AI33" s="167"/>
    </row>
    <row r="34" spans="1:35" ht="15" customHeight="1" thickBot="1">
      <c r="A34" s="167"/>
      <c r="B34" s="347">
        <v>0.95833333333333404</v>
      </c>
      <c r="C34" s="172" t="s">
        <v>23</v>
      </c>
      <c r="D34" s="105"/>
      <c r="E34" s="105"/>
      <c r="F34" s="105"/>
      <c r="G34" s="105"/>
      <c r="H34" s="105"/>
      <c r="I34" s="105"/>
      <c r="J34" s="105"/>
      <c r="K34" s="105"/>
      <c r="L34" s="105"/>
      <c r="M34" s="177"/>
      <c r="N34" s="177">
        <v>24.643904572892801</v>
      </c>
      <c r="O34" s="177"/>
      <c r="P34" s="177">
        <v>24.643904572892801</v>
      </c>
      <c r="Q34" s="177"/>
      <c r="R34" s="177">
        <v>49.019164055276804</v>
      </c>
      <c r="S34" s="177"/>
      <c r="T34" s="177">
        <v>20.738910559536301</v>
      </c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05"/>
      <c r="AH34" s="106"/>
      <c r="AI34" s="167"/>
    </row>
    <row r="35" spans="1:35" ht="18" hidden="1" customHeight="1">
      <c r="A35" s="167"/>
      <c r="B35" s="89"/>
      <c r="C35" s="515" t="s">
        <v>24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89"/>
      <c r="AH35" s="166"/>
    </row>
    <row r="36" spans="1:35" ht="36" hidden="1" customHeight="1">
      <c r="A36" s="167"/>
      <c r="B36" s="89"/>
      <c r="C36" s="516"/>
      <c r="D36" s="517"/>
      <c r="E36" s="517"/>
      <c r="F36" s="517"/>
      <c r="G36" s="517"/>
      <c r="H36" s="517"/>
      <c r="I36" s="517"/>
      <c r="J36" s="517"/>
      <c r="K36" s="517"/>
      <c r="L36" s="517"/>
      <c r="M36" s="517"/>
      <c r="N36" s="517"/>
      <c r="O36" s="517"/>
      <c r="P36" s="517"/>
      <c r="Q36" s="517"/>
      <c r="R36" s="517"/>
      <c r="S36" s="517"/>
      <c r="T36" s="517"/>
      <c r="U36" s="517"/>
      <c r="V36" s="517"/>
      <c r="W36" s="517"/>
      <c r="X36" s="517"/>
      <c r="Y36" s="517"/>
      <c r="Z36" s="517"/>
      <c r="AA36" s="517"/>
      <c r="AB36" s="517"/>
      <c r="AC36" s="517"/>
      <c r="AD36" s="517"/>
      <c r="AE36" s="517"/>
      <c r="AF36" s="517"/>
      <c r="AG36" s="89"/>
      <c r="AH36" s="166"/>
    </row>
    <row r="37" spans="1:35" ht="15" hidden="1" customHeight="1">
      <c r="A37" s="167"/>
      <c r="B37" s="89"/>
      <c r="C37" s="108">
        <v>1</v>
      </c>
      <c r="D37" s="109"/>
      <c r="E37" s="109"/>
      <c r="F37" s="109"/>
      <c r="G37" s="109"/>
      <c r="H37" s="109"/>
      <c r="I37" s="109"/>
      <c r="J37" s="109"/>
      <c r="K37" s="109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89"/>
      <c r="AH37" s="166"/>
    </row>
    <row r="38" spans="1:35" ht="15" hidden="1" customHeight="1">
      <c r="A38" s="167"/>
      <c r="B38" s="89"/>
      <c r="C38" s="108">
        <v>2</v>
      </c>
      <c r="D38" s="109"/>
      <c r="E38" s="109"/>
      <c r="F38" s="109"/>
      <c r="G38" s="109"/>
      <c r="H38" s="109"/>
      <c r="I38" s="109"/>
      <c r="J38" s="109"/>
      <c r="K38" s="109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89"/>
      <c r="AH38" s="166"/>
    </row>
    <row r="39" spans="1:35" ht="15" hidden="1" customHeight="1">
      <c r="A39" s="167"/>
      <c r="B39" s="89"/>
      <c r="C39" s="108">
        <v>3</v>
      </c>
      <c r="D39" s="109"/>
      <c r="E39" s="109"/>
      <c r="F39" s="109"/>
      <c r="G39" s="109"/>
      <c r="H39" s="109"/>
      <c r="I39" s="109"/>
      <c r="J39" s="109"/>
      <c r="K39" s="109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89"/>
      <c r="AH39" s="166"/>
    </row>
    <row r="40" spans="1:35" ht="15" hidden="1" customHeight="1">
      <c r="A40" s="167"/>
      <c r="B40" s="89"/>
      <c r="C40" s="108">
        <v>4</v>
      </c>
      <c r="D40" s="109"/>
      <c r="E40" s="109"/>
      <c r="F40" s="109"/>
      <c r="G40" s="109"/>
      <c r="H40" s="109"/>
      <c r="I40" s="109"/>
      <c r="J40" s="109"/>
      <c r="K40" s="109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89"/>
      <c r="AH40" s="166"/>
    </row>
    <row r="41" spans="1:35" ht="15" hidden="1" customHeight="1">
      <c r="A41" s="167"/>
      <c r="B41" s="89"/>
      <c r="C41" s="108">
        <v>5</v>
      </c>
      <c r="D41" s="109"/>
      <c r="E41" s="109"/>
      <c r="F41" s="109"/>
      <c r="G41" s="109"/>
      <c r="H41" s="109"/>
      <c r="I41" s="109"/>
      <c r="J41" s="109"/>
      <c r="K41" s="109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89"/>
      <c r="AH41" s="166"/>
    </row>
    <row r="42" spans="1:35" ht="15" hidden="1" customHeight="1">
      <c r="A42" s="167"/>
      <c r="B42" s="89"/>
      <c r="C42" s="108">
        <v>6</v>
      </c>
      <c r="D42" s="109"/>
      <c r="E42" s="109"/>
      <c r="F42" s="109"/>
      <c r="G42" s="109"/>
      <c r="H42" s="109"/>
      <c r="I42" s="109"/>
      <c r="J42" s="109"/>
      <c r="K42" s="109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89"/>
      <c r="AH42" s="166"/>
    </row>
    <row r="43" spans="1:35" ht="15" hidden="1" customHeight="1">
      <c r="A43" s="167"/>
      <c r="B43" s="89"/>
      <c r="C43" s="111">
        <v>7</v>
      </c>
      <c r="D43" s="112"/>
      <c r="E43" s="112"/>
      <c r="F43" s="112"/>
      <c r="G43" s="112"/>
      <c r="H43" s="112"/>
      <c r="I43" s="112"/>
      <c r="J43" s="112"/>
      <c r="K43" s="112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89"/>
      <c r="AH43" s="166"/>
    </row>
    <row r="44" spans="1:35" ht="15" hidden="1" customHeight="1">
      <c r="A44" s="167"/>
      <c r="B44" s="89"/>
      <c r="C44" s="111">
        <v>8</v>
      </c>
      <c r="D44" s="112"/>
      <c r="E44" s="112"/>
      <c r="F44" s="112"/>
      <c r="G44" s="112"/>
      <c r="H44" s="112"/>
      <c r="I44" s="112"/>
      <c r="J44" s="112"/>
      <c r="K44" s="112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89"/>
      <c r="AH44" s="166"/>
    </row>
    <row r="45" spans="1:35" ht="15" hidden="1" customHeight="1">
      <c r="A45" s="167"/>
      <c r="B45" s="89"/>
      <c r="C45" s="111">
        <v>9</v>
      </c>
      <c r="D45" s="112"/>
      <c r="E45" s="112"/>
      <c r="F45" s="112"/>
      <c r="G45" s="112"/>
      <c r="H45" s="112"/>
      <c r="I45" s="112"/>
      <c r="J45" s="112"/>
      <c r="K45" s="112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89"/>
      <c r="AH45" s="166"/>
    </row>
    <row r="46" spans="1:35" ht="15" hidden="1" customHeight="1">
      <c r="A46" s="167"/>
      <c r="B46" s="89"/>
      <c r="C46" s="111">
        <v>10</v>
      </c>
      <c r="D46" s="112"/>
      <c r="E46" s="112"/>
      <c r="F46" s="112"/>
      <c r="G46" s="112"/>
      <c r="H46" s="112"/>
      <c r="I46" s="112"/>
      <c r="J46" s="112"/>
      <c r="K46" s="112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89"/>
      <c r="AH46" s="166"/>
    </row>
    <row r="47" spans="1:35" ht="15" hidden="1" customHeight="1">
      <c r="A47" s="167"/>
      <c r="B47" s="89"/>
      <c r="C47" s="111">
        <v>11</v>
      </c>
      <c r="D47" s="112"/>
      <c r="E47" s="112"/>
      <c r="F47" s="112"/>
      <c r="G47" s="112"/>
      <c r="H47" s="112"/>
      <c r="I47" s="112"/>
      <c r="J47" s="112"/>
      <c r="K47" s="112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89"/>
      <c r="AH47" s="166"/>
    </row>
    <row r="48" spans="1:35" ht="15" hidden="1" customHeight="1">
      <c r="A48" s="167"/>
      <c r="B48" s="89"/>
      <c r="C48" s="111">
        <v>12</v>
      </c>
      <c r="D48" s="112"/>
      <c r="E48" s="112"/>
      <c r="F48" s="112"/>
      <c r="G48" s="112"/>
      <c r="H48" s="112"/>
      <c r="I48" s="112"/>
      <c r="J48" s="112"/>
      <c r="K48" s="112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89"/>
      <c r="AH48" s="166"/>
    </row>
    <row r="49" spans="1:35" ht="15" hidden="1" customHeight="1">
      <c r="A49" s="167"/>
      <c r="B49" s="89"/>
      <c r="C49" s="111">
        <v>13</v>
      </c>
      <c r="D49" s="112"/>
      <c r="E49" s="112"/>
      <c r="F49" s="112"/>
      <c r="G49" s="112"/>
      <c r="H49" s="112"/>
      <c r="I49" s="112"/>
      <c r="J49" s="112"/>
      <c r="K49" s="112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89"/>
      <c r="AH49" s="166"/>
    </row>
    <row r="50" spans="1:35" ht="15" hidden="1" customHeight="1">
      <c r="A50" s="167"/>
      <c r="B50" s="89"/>
      <c r="C50" s="111">
        <v>14</v>
      </c>
      <c r="D50" s="112"/>
      <c r="E50" s="112"/>
      <c r="F50" s="112"/>
      <c r="G50" s="112"/>
      <c r="H50" s="112"/>
      <c r="I50" s="112"/>
      <c r="J50" s="112"/>
      <c r="K50" s="112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89"/>
      <c r="AH50" s="166"/>
    </row>
    <row r="51" spans="1:35" ht="15" hidden="1" customHeight="1">
      <c r="A51" s="167"/>
      <c r="B51" s="89"/>
      <c r="C51" s="111">
        <v>15</v>
      </c>
      <c r="D51" s="112"/>
      <c r="E51" s="112"/>
      <c r="F51" s="112"/>
      <c r="G51" s="112"/>
      <c r="H51" s="112"/>
      <c r="I51" s="112"/>
      <c r="J51" s="112"/>
      <c r="K51" s="112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89"/>
      <c r="AH51" s="166"/>
    </row>
    <row r="52" spans="1:35" ht="15" hidden="1" customHeight="1">
      <c r="A52" s="167"/>
      <c r="B52" s="89"/>
      <c r="C52" s="111">
        <v>16</v>
      </c>
      <c r="D52" s="112"/>
      <c r="E52" s="112"/>
      <c r="F52" s="112"/>
      <c r="G52" s="112"/>
      <c r="H52" s="112"/>
      <c r="I52" s="112"/>
      <c r="J52" s="112"/>
      <c r="K52" s="112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89"/>
      <c r="AH52" s="166"/>
    </row>
    <row r="53" spans="1:35" ht="15" hidden="1" customHeight="1">
      <c r="A53" s="167"/>
      <c r="B53" s="89"/>
      <c r="C53" s="111">
        <v>17</v>
      </c>
      <c r="D53" s="112"/>
      <c r="E53" s="112"/>
      <c r="F53" s="112"/>
      <c r="G53" s="112"/>
      <c r="H53" s="112"/>
      <c r="I53" s="112"/>
      <c r="J53" s="112"/>
      <c r="K53" s="112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89"/>
      <c r="AH53" s="166"/>
    </row>
    <row r="54" spans="1:35" ht="15" hidden="1" customHeight="1">
      <c r="A54" s="167"/>
      <c r="B54" s="89"/>
      <c r="C54" s="111">
        <v>18</v>
      </c>
      <c r="D54" s="112"/>
      <c r="E54" s="112"/>
      <c r="F54" s="112"/>
      <c r="G54" s="112"/>
      <c r="H54" s="112"/>
      <c r="I54" s="112"/>
      <c r="J54" s="112"/>
      <c r="K54" s="112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89"/>
      <c r="AH54" s="166"/>
    </row>
    <row r="55" spans="1:35" ht="15" hidden="1" customHeight="1">
      <c r="A55" s="167"/>
      <c r="B55" s="89"/>
      <c r="C55" s="114">
        <v>19</v>
      </c>
      <c r="D55" s="115"/>
      <c r="E55" s="115"/>
      <c r="F55" s="115"/>
      <c r="G55" s="115"/>
      <c r="H55" s="115"/>
      <c r="I55" s="115"/>
      <c r="J55" s="115"/>
      <c r="K55" s="115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89"/>
      <c r="AH55" s="166"/>
    </row>
    <row r="56" spans="1:35" ht="15" hidden="1" customHeight="1">
      <c r="A56" s="167"/>
      <c r="B56" s="89"/>
      <c r="C56" s="114">
        <v>20</v>
      </c>
      <c r="D56" s="115"/>
      <c r="E56" s="115"/>
      <c r="F56" s="115"/>
      <c r="G56" s="115"/>
      <c r="H56" s="115"/>
      <c r="I56" s="115"/>
      <c r="J56" s="115"/>
      <c r="K56" s="115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89"/>
      <c r="AH56" s="166"/>
    </row>
    <row r="57" spans="1:35" ht="15" hidden="1" customHeight="1">
      <c r="A57" s="167"/>
      <c r="B57" s="89"/>
      <c r="C57" s="114">
        <v>21</v>
      </c>
      <c r="D57" s="115"/>
      <c r="E57" s="115"/>
      <c r="F57" s="115"/>
      <c r="G57" s="115"/>
      <c r="H57" s="115"/>
      <c r="I57" s="115"/>
      <c r="J57" s="115"/>
      <c r="K57" s="115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89"/>
      <c r="AH57" s="166"/>
    </row>
    <row r="58" spans="1:35" ht="15" hidden="1" customHeight="1">
      <c r="A58" s="167"/>
      <c r="B58" s="89"/>
      <c r="C58" s="114">
        <v>22</v>
      </c>
      <c r="D58" s="115"/>
      <c r="E58" s="115"/>
      <c r="F58" s="115"/>
      <c r="G58" s="115"/>
      <c r="H58" s="115"/>
      <c r="I58" s="115"/>
      <c r="J58" s="115"/>
      <c r="K58" s="115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89"/>
      <c r="AH58" s="166"/>
    </row>
    <row r="59" spans="1:35" ht="15" hidden="1" customHeight="1">
      <c r="A59" s="167"/>
      <c r="B59" s="89"/>
      <c r="C59" s="108">
        <v>23</v>
      </c>
      <c r="D59" s="109"/>
      <c r="E59" s="109"/>
      <c r="F59" s="109"/>
      <c r="G59" s="109"/>
      <c r="H59" s="109"/>
      <c r="I59" s="109"/>
      <c r="J59" s="109"/>
      <c r="K59" s="109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89"/>
      <c r="AH59" s="166"/>
    </row>
    <row r="60" spans="1:35" ht="15" hidden="1" customHeight="1">
      <c r="A60" s="167"/>
      <c r="B60" s="89"/>
      <c r="C60" s="158">
        <v>24</v>
      </c>
      <c r="D60" s="159"/>
      <c r="E60" s="159"/>
      <c r="F60" s="159"/>
      <c r="G60" s="159"/>
      <c r="H60" s="159"/>
      <c r="I60" s="159"/>
      <c r="J60" s="159"/>
      <c r="K60" s="159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89"/>
      <c r="AH60" s="166"/>
    </row>
    <row r="61" spans="1:35" ht="18" customHeight="1">
      <c r="A61" s="167"/>
      <c r="B61" s="89"/>
      <c r="C61" s="161" t="s">
        <v>83</v>
      </c>
      <c r="D61" s="325"/>
      <c r="E61" s="326"/>
      <c r="F61" s="326"/>
      <c r="G61" s="326"/>
      <c r="H61" s="325"/>
      <c r="I61" s="325"/>
      <c r="J61" s="162" t="s">
        <v>91</v>
      </c>
      <c r="K61" s="326"/>
      <c r="L61" s="326"/>
      <c r="M61" s="343"/>
      <c r="N61" s="162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  <c r="AA61" s="325"/>
      <c r="AB61" s="325"/>
      <c r="AC61" s="326"/>
      <c r="AD61" s="162"/>
      <c r="AE61" s="326"/>
      <c r="AF61" s="326"/>
      <c r="AG61" s="326"/>
      <c r="AH61" s="342"/>
      <c r="AI61" s="167"/>
    </row>
    <row r="62" spans="1:35" ht="18" customHeight="1">
      <c r="A62" s="167"/>
      <c r="B62" s="89"/>
      <c r="C62" s="163" t="s">
        <v>98</v>
      </c>
      <c r="D62" s="328"/>
      <c r="E62" s="327"/>
      <c r="F62" s="327"/>
      <c r="G62" s="327"/>
      <c r="H62" s="328"/>
      <c r="I62" s="328"/>
      <c r="J62" s="164" t="s">
        <v>92</v>
      </c>
      <c r="K62" s="327"/>
      <c r="L62" s="327"/>
      <c r="M62" s="344"/>
      <c r="N62" s="164"/>
      <c r="O62" s="327"/>
      <c r="P62" s="327"/>
      <c r="Q62" s="327"/>
      <c r="R62" s="327"/>
      <c r="S62" s="327"/>
      <c r="T62" s="327"/>
      <c r="U62" s="327"/>
      <c r="V62" s="327"/>
      <c r="W62" s="327"/>
      <c r="X62" s="327"/>
      <c r="Y62" s="327"/>
      <c r="Z62" s="327"/>
      <c r="AA62" s="327"/>
      <c r="AB62" s="327"/>
      <c r="AC62" s="327"/>
      <c r="AD62" s="164"/>
      <c r="AE62" s="327"/>
      <c r="AF62" s="327"/>
      <c r="AG62" s="327"/>
      <c r="AH62" s="342"/>
      <c r="AI62" s="167"/>
    </row>
    <row r="63" spans="1:35" ht="18" customHeight="1">
      <c r="A63" s="167"/>
      <c r="B63" s="89"/>
      <c r="C63" s="163" t="s">
        <v>99</v>
      </c>
      <c r="D63" s="328"/>
      <c r="E63" s="327"/>
      <c r="F63" s="327"/>
      <c r="G63" s="327"/>
      <c r="H63" s="328"/>
      <c r="I63" s="328"/>
      <c r="J63" s="164" t="s">
        <v>92</v>
      </c>
      <c r="K63" s="327"/>
      <c r="L63" s="327"/>
      <c r="M63" s="344"/>
      <c r="N63" s="164"/>
      <c r="O63" s="164"/>
      <c r="P63" s="164"/>
      <c r="Q63" s="164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164"/>
      <c r="AE63" s="327"/>
      <c r="AF63" s="327"/>
      <c r="AG63" s="327"/>
      <c r="AH63" s="342"/>
      <c r="AI63" s="167"/>
    </row>
    <row r="64" spans="1:35" ht="18" customHeight="1">
      <c r="A64" s="167"/>
      <c r="B64" s="89"/>
      <c r="C64" s="163" t="s">
        <v>100</v>
      </c>
      <c r="D64" s="328"/>
      <c r="E64" s="327"/>
      <c r="F64" s="327"/>
      <c r="G64" s="327"/>
      <c r="H64" s="328"/>
      <c r="I64" s="328"/>
      <c r="J64" s="164" t="s">
        <v>93</v>
      </c>
      <c r="K64" s="327"/>
      <c r="L64" s="327"/>
      <c r="M64" s="344"/>
      <c r="N64" s="164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164"/>
      <c r="AE64" s="327"/>
      <c r="AF64" s="327"/>
      <c r="AG64" s="327"/>
      <c r="AH64" s="342"/>
      <c r="AI64" s="167"/>
    </row>
    <row r="65" spans="1:35" ht="18" customHeight="1">
      <c r="A65" s="167"/>
      <c r="B65" s="89"/>
      <c r="C65" s="163" t="s">
        <v>101</v>
      </c>
      <c r="D65" s="328"/>
      <c r="E65" s="327"/>
      <c r="F65" s="327"/>
      <c r="G65" s="327"/>
      <c r="H65" s="328"/>
      <c r="I65" s="328"/>
      <c r="J65" s="164" t="s">
        <v>94</v>
      </c>
      <c r="K65" s="327"/>
      <c r="L65" s="327"/>
      <c r="M65" s="344"/>
      <c r="N65" s="327"/>
      <c r="O65" s="327"/>
      <c r="P65" s="327"/>
      <c r="Q65" s="327"/>
      <c r="R65" s="327"/>
      <c r="S65" s="327"/>
      <c r="T65" s="327"/>
      <c r="U65" s="327"/>
      <c r="V65" s="327"/>
      <c r="W65" s="327"/>
      <c r="X65" s="327"/>
      <c r="Y65" s="327"/>
      <c r="Z65" s="327"/>
      <c r="AA65" s="327"/>
      <c r="AB65" s="327"/>
      <c r="AC65" s="327"/>
      <c r="AD65" s="327"/>
      <c r="AE65" s="327"/>
      <c r="AF65" s="327"/>
      <c r="AG65" s="327"/>
      <c r="AH65" s="327"/>
      <c r="AI65" s="89"/>
    </row>
    <row r="66" spans="1:35" ht="18" customHeight="1">
      <c r="A66" s="167"/>
      <c r="B66" s="89"/>
      <c r="C66" s="163" t="s">
        <v>305</v>
      </c>
      <c r="D66" s="328"/>
      <c r="E66" s="327"/>
      <c r="F66" s="327"/>
      <c r="G66" s="327"/>
      <c r="H66" s="328"/>
      <c r="I66" s="328"/>
      <c r="J66" s="164" t="s">
        <v>306</v>
      </c>
      <c r="K66" s="327"/>
      <c r="L66" s="327"/>
      <c r="M66" s="344"/>
      <c r="N66" s="327"/>
      <c r="O66" s="327"/>
      <c r="P66" s="327"/>
      <c r="Q66" s="327"/>
      <c r="R66" s="327"/>
      <c r="S66" s="327"/>
      <c r="T66" s="327"/>
      <c r="U66" s="327"/>
      <c r="V66" s="327"/>
      <c r="W66" s="327"/>
      <c r="X66" s="327"/>
      <c r="Y66" s="327"/>
      <c r="Z66" s="327"/>
      <c r="AA66" s="327"/>
      <c r="AB66" s="327"/>
      <c r="AC66" s="327"/>
      <c r="AD66" s="327"/>
      <c r="AE66" s="327"/>
      <c r="AF66" s="327"/>
      <c r="AG66" s="327"/>
      <c r="AH66" s="327"/>
      <c r="AI66" s="89"/>
    </row>
    <row r="67" spans="1:35" ht="18" customHeight="1">
      <c r="A67" s="167"/>
      <c r="B67" s="89"/>
      <c r="C67" s="163" t="s">
        <v>102</v>
      </c>
      <c r="D67" s="328"/>
      <c r="E67" s="328"/>
      <c r="F67" s="328"/>
      <c r="G67" s="328"/>
      <c r="H67" s="327"/>
      <c r="I67" s="164"/>
      <c r="J67" s="164" t="s">
        <v>95</v>
      </c>
      <c r="K67" s="327"/>
      <c r="L67" s="327"/>
      <c r="M67" s="345"/>
      <c r="N67" s="164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7"/>
      <c r="AD67" s="164"/>
      <c r="AE67" s="327"/>
      <c r="AF67" s="327"/>
      <c r="AG67" s="327"/>
      <c r="AH67" s="342"/>
      <c r="AI67" s="167"/>
    </row>
    <row r="68" spans="1:35" ht="18" customHeight="1">
      <c r="A68" s="167"/>
      <c r="B68" s="89"/>
      <c r="C68" s="163" t="s">
        <v>44</v>
      </c>
      <c r="D68" s="327"/>
      <c r="E68" s="327"/>
      <c r="F68" s="327"/>
      <c r="G68" s="327"/>
      <c r="H68" s="327"/>
      <c r="I68" s="164"/>
      <c r="J68" s="164" t="s">
        <v>95</v>
      </c>
      <c r="K68" s="327"/>
      <c r="L68" s="327"/>
      <c r="M68" s="345"/>
      <c r="N68" s="164"/>
      <c r="O68" s="327"/>
      <c r="P68" s="327"/>
      <c r="Q68" s="327"/>
      <c r="R68" s="327"/>
      <c r="S68" s="327"/>
      <c r="T68" s="327"/>
      <c r="U68" s="327"/>
      <c r="V68" s="327"/>
      <c r="W68" s="327"/>
      <c r="X68" s="327"/>
      <c r="Y68" s="327"/>
      <c r="Z68" s="327"/>
      <c r="AA68" s="327"/>
      <c r="AB68" s="327"/>
      <c r="AC68" s="327"/>
      <c r="AD68" s="164"/>
      <c r="AE68" s="327"/>
      <c r="AF68" s="327"/>
      <c r="AG68" s="327"/>
      <c r="AH68" s="342"/>
      <c r="AI68" s="167"/>
    </row>
    <row r="69" spans="1:35" ht="18" customHeight="1">
      <c r="A69" s="167"/>
      <c r="B69" s="89"/>
      <c r="C69" s="163" t="s">
        <v>103</v>
      </c>
      <c r="D69" s="164"/>
      <c r="E69" s="164"/>
      <c r="F69" s="164"/>
      <c r="G69" s="89"/>
      <c r="H69" s="89"/>
      <c r="I69" s="164"/>
      <c r="J69" s="164" t="s">
        <v>97</v>
      </c>
      <c r="K69" s="327"/>
      <c r="L69" s="327"/>
      <c r="M69" s="345"/>
      <c r="N69" s="164"/>
      <c r="O69" s="164"/>
      <c r="P69" s="164"/>
      <c r="Q69" s="164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164"/>
      <c r="AE69" s="327"/>
      <c r="AF69" s="327"/>
      <c r="AG69" s="327"/>
      <c r="AH69" s="342"/>
      <c r="AI69" s="167"/>
    </row>
    <row r="70" spans="1:35" ht="18" customHeight="1">
      <c r="A70" s="167"/>
      <c r="B70" s="89"/>
      <c r="C70" s="163" t="s">
        <v>104</v>
      </c>
      <c r="D70" s="89"/>
      <c r="E70" s="89"/>
      <c r="F70" s="89"/>
      <c r="G70" s="89"/>
      <c r="H70" s="89"/>
      <c r="I70" s="164"/>
      <c r="J70" s="164" t="s">
        <v>96</v>
      </c>
      <c r="K70" s="327"/>
      <c r="L70" s="327"/>
      <c r="M70" s="345"/>
      <c r="N70" s="164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164"/>
      <c r="AE70" s="327"/>
      <c r="AF70" s="327"/>
      <c r="AG70" s="327"/>
      <c r="AH70" s="342"/>
      <c r="AI70" s="167"/>
    </row>
    <row r="71" spans="1:35" ht="18" customHeight="1" thickBot="1">
      <c r="A71" s="292"/>
      <c r="B71" s="330"/>
      <c r="C71" s="341"/>
      <c r="D71" s="329"/>
      <c r="E71" s="329"/>
      <c r="F71" s="329"/>
      <c r="G71" s="329"/>
      <c r="H71" s="329"/>
      <c r="I71" s="329"/>
      <c r="J71" s="329"/>
      <c r="K71" s="329"/>
      <c r="L71" s="329"/>
      <c r="M71" s="346"/>
      <c r="N71" s="329"/>
      <c r="O71" s="329"/>
      <c r="P71" s="329"/>
      <c r="Q71" s="329"/>
      <c r="R71" s="329"/>
      <c r="S71" s="329"/>
      <c r="T71" s="329"/>
      <c r="U71" s="329"/>
      <c r="V71" s="329"/>
      <c r="W71" s="329"/>
      <c r="X71" s="329"/>
      <c r="Y71" s="329"/>
      <c r="Z71" s="329"/>
      <c r="AA71" s="329"/>
      <c r="AB71" s="329"/>
      <c r="AC71" s="329"/>
      <c r="AD71" s="329"/>
      <c r="AE71" s="329"/>
      <c r="AF71" s="329"/>
      <c r="AG71" s="329"/>
      <c r="AH71" s="329"/>
      <c r="AI71" s="165"/>
    </row>
    <row r="72" spans="1:35" ht="24.75" customHeight="1">
      <c r="A72" s="82"/>
      <c r="B72" s="82"/>
      <c r="C72" s="518"/>
      <c r="D72" s="518"/>
      <c r="E72" s="518"/>
      <c r="F72" s="518"/>
      <c r="G72" s="518"/>
      <c r="H72" s="518"/>
      <c r="I72" s="518"/>
      <c r="J72" s="518"/>
      <c r="K72" s="518"/>
      <c r="L72" s="518"/>
      <c r="M72" s="518"/>
      <c r="N72" s="518"/>
      <c r="O72" s="518"/>
      <c r="P72" s="518"/>
      <c r="Q72" s="518"/>
      <c r="R72" s="518"/>
      <c r="S72" s="518"/>
      <c r="T72" s="518"/>
      <c r="U72" s="518"/>
      <c r="V72" s="518"/>
      <c r="W72" s="518"/>
      <c r="X72" s="518"/>
      <c r="Y72" s="518"/>
      <c r="Z72" s="518"/>
      <c r="AA72" s="518"/>
      <c r="AB72" s="518"/>
      <c r="AC72" s="518"/>
      <c r="AD72" s="518"/>
      <c r="AE72" s="518"/>
      <c r="AF72" s="518"/>
      <c r="AG72" s="518"/>
      <c r="AH72" s="117"/>
      <c r="AI72" s="82"/>
    </row>
    <row r="73" spans="1:35" ht="15">
      <c r="A73" s="508"/>
      <c r="B73" s="508"/>
      <c r="C73" s="508"/>
      <c r="D73" s="508"/>
      <c r="E73" s="85"/>
      <c r="F73" s="85"/>
      <c r="G73" s="85"/>
      <c r="H73" s="85"/>
      <c r="I73" s="85"/>
      <c r="J73" s="85"/>
      <c r="K73" s="8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195"/>
      <c r="AG73" s="197"/>
      <c r="AH73" s="196"/>
      <c r="AI73" s="82"/>
    </row>
    <row r="74" spans="1:35" ht="14.25">
      <c r="A74" s="82"/>
      <c r="B74" s="82"/>
      <c r="C74" s="83"/>
      <c r="D74" s="83"/>
      <c r="E74" s="83"/>
      <c r="F74" s="83"/>
      <c r="G74" s="83"/>
      <c r="H74" s="83"/>
      <c r="I74" s="83"/>
      <c r="J74" s="83"/>
      <c r="K74" s="8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2"/>
      <c r="AI74" s="82"/>
    </row>
    <row r="75" spans="1:35" ht="14.25">
      <c r="A75" s="118"/>
      <c r="B75" s="118"/>
      <c r="C75" s="119"/>
      <c r="D75" s="119"/>
      <c r="E75" s="119"/>
      <c r="F75" s="119"/>
      <c r="G75" s="119"/>
      <c r="H75" s="119"/>
      <c r="I75" s="119"/>
      <c r="J75" s="119"/>
      <c r="K75" s="118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8"/>
      <c r="AI75" s="118"/>
    </row>
    <row r="76" spans="1:35" ht="14.25">
      <c r="A76" s="118"/>
      <c r="B76" s="118"/>
      <c r="C76" s="119"/>
      <c r="D76" s="119"/>
      <c r="E76" s="119"/>
      <c r="F76" s="119"/>
      <c r="G76" s="119"/>
      <c r="H76" s="119"/>
      <c r="I76" s="119"/>
      <c r="J76" s="119"/>
      <c r="K76" s="118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8"/>
      <c r="AI76" s="118"/>
    </row>
    <row r="77" spans="1:35" ht="14.25">
      <c r="A77" s="118"/>
      <c r="B77" s="118"/>
      <c r="C77" s="119"/>
      <c r="D77" s="119"/>
      <c r="E77" s="119"/>
      <c r="F77" s="119"/>
      <c r="G77" s="119"/>
      <c r="H77" s="119"/>
      <c r="I77" s="119"/>
      <c r="J77" s="119"/>
      <c r="K77" s="118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8"/>
      <c r="AI77" s="118"/>
    </row>
    <row r="78" spans="1:35" ht="14.25">
      <c r="A78" s="118"/>
      <c r="B78" s="118"/>
      <c r="C78" s="119"/>
      <c r="D78" s="119"/>
      <c r="E78" s="119"/>
      <c r="F78" s="119"/>
      <c r="G78" s="119"/>
      <c r="H78" s="119"/>
      <c r="I78" s="119"/>
      <c r="J78" s="119"/>
      <c r="K78" s="118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8"/>
      <c r="AI78" s="118"/>
    </row>
    <row r="79" spans="1:35" ht="14.25">
      <c r="A79" s="118"/>
      <c r="B79" s="118"/>
      <c r="C79" s="119"/>
      <c r="D79" s="119"/>
      <c r="E79" s="119"/>
      <c r="F79" s="119"/>
      <c r="G79" s="119"/>
      <c r="H79" s="119"/>
      <c r="I79" s="119"/>
      <c r="J79" s="119"/>
      <c r="K79" s="118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8"/>
      <c r="AI79" s="118"/>
    </row>
    <row r="80" spans="1:35" ht="14.25">
      <c r="A80" s="118"/>
      <c r="B80" s="118"/>
      <c r="C80" s="119"/>
      <c r="D80" s="119"/>
      <c r="E80" s="119"/>
      <c r="F80" s="119"/>
      <c r="G80" s="119"/>
      <c r="H80" s="119"/>
      <c r="I80" s="119"/>
      <c r="J80" s="119"/>
      <c r="K80" s="118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8"/>
      <c r="AI80" s="118"/>
    </row>
    <row r="81" spans="1:35" ht="14.25">
      <c r="A81" s="118"/>
      <c r="B81" s="118"/>
      <c r="C81" s="119"/>
      <c r="D81" s="119"/>
      <c r="E81" s="119"/>
      <c r="F81" s="119"/>
      <c r="G81" s="119"/>
      <c r="H81" s="119"/>
      <c r="I81" s="119"/>
      <c r="J81" s="119"/>
      <c r="K81" s="118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8"/>
      <c r="AI81" s="118"/>
    </row>
    <row r="82" spans="1:35" s="118" customFormat="1" ht="14.25" hidden="1" customHeight="1">
      <c r="C82" s="119"/>
      <c r="D82" s="119"/>
      <c r="E82" s="119"/>
      <c r="F82" s="119"/>
      <c r="G82" s="119"/>
      <c r="H82" s="119"/>
      <c r="I82" s="119"/>
      <c r="J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</row>
    <row r="83" spans="1:35" s="118" customFormat="1" ht="14.25" hidden="1">
      <c r="C83" s="119"/>
      <c r="D83" s="119"/>
      <c r="E83" s="119"/>
      <c r="F83" s="119"/>
      <c r="G83" s="119"/>
      <c r="H83" s="119"/>
      <c r="I83" s="119"/>
      <c r="J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</row>
    <row r="84" spans="1:35" s="118" customFormat="1" ht="14.25" hidden="1">
      <c r="C84" s="119"/>
      <c r="D84" s="119"/>
      <c r="E84" s="119"/>
      <c r="F84" s="119"/>
      <c r="G84" s="119"/>
      <c r="H84" s="119"/>
      <c r="I84" s="119"/>
      <c r="J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</row>
    <row r="85" spans="1:35" s="118" customFormat="1" ht="14.25" hidden="1">
      <c r="C85" s="119"/>
      <c r="D85" s="119"/>
      <c r="E85" s="119"/>
      <c r="F85" s="119"/>
      <c r="G85" s="119"/>
      <c r="H85" s="119"/>
      <c r="I85" s="119"/>
      <c r="J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</row>
    <row r="86" spans="1:35" s="118" customFormat="1" ht="14.25" hidden="1">
      <c r="C86" s="119"/>
      <c r="D86" s="119"/>
      <c r="E86" s="119"/>
      <c r="F86" s="119"/>
      <c r="G86" s="119"/>
      <c r="H86" s="119"/>
      <c r="I86" s="119"/>
      <c r="J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</row>
    <row r="87" spans="1:35" s="118" customFormat="1" ht="14.25" hidden="1">
      <c r="C87" s="119"/>
      <c r="D87" s="119"/>
      <c r="E87" s="119"/>
      <c r="F87" s="119"/>
      <c r="G87" s="119"/>
      <c r="H87" s="119"/>
      <c r="I87" s="119"/>
      <c r="J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</row>
    <row r="88" spans="1:35" s="118" customFormat="1" ht="14.25" hidden="1">
      <c r="C88" s="119"/>
      <c r="D88" s="119"/>
      <c r="E88" s="119"/>
      <c r="F88" s="119"/>
      <c r="G88" s="119"/>
      <c r="H88" s="119"/>
      <c r="I88" s="119"/>
      <c r="J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</row>
    <row r="89" spans="1:35" s="118" customFormat="1" ht="14.25" hidden="1">
      <c r="C89" s="119"/>
      <c r="D89" s="119"/>
      <c r="E89" s="119"/>
      <c r="F89" s="119"/>
      <c r="G89" s="119"/>
      <c r="H89" s="119"/>
      <c r="I89" s="119"/>
      <c r="J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</row>
    <row r="90" spans="1:35" s="118" customFormat="1" ht="14.25" hidden="1">
      <c r="C90" s="119"/>
      <c r="D90" s="119"/>
      <c r="E90" s="119"/>
      <c r="F90" s="119"/>
      <c r="G90" s="119"/>
      <c r="H90" s="119"/>
      <c r="I90" s="119"/>
      <c r="J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</row>
    <row r="91" spans="1:35" s="118" customFormat="1" ht="14.25" hidden="1">
      <c r="C91" s="119"/>
      <c r="D91" s="119"/>
      <c r="E91" s="119"/>
      <c r="F91" s="119"/>
      <c r="G91" s="119"/>
      <c r="H91" s="119"/>
      <c r="I91" s="119"/>
      <c r="J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</row>
    <row r="92" spans="1:35" s="118" customFormat="1" ht="14.25" hidden="1">
      <c r="C92" s="119"/>
      <c r="D92" s="119"/>
      <c r="E92" s="119"/>
      <c r="F92" s="119"/>
      <c r="G92" s="119"/>
      <c r="H92" s="119"/>
      <c r="I92" s="119"/>
      <c r="J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</row>
    <row r="93" spans="1:35" s="118" customFormat="1" ht="14.25" hidden="1">
      <c r="C93" s="119"/>
      <c r="D93" s="119"/>
      <c r="E93" s="119"/>
      <c r="F93" s="119"/>
      <c r="G93" s="119"/>
      <c r="H93" s="119"/>
      <c r="I93" s="119"/>
      <c r="J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</row>
    <row r="94" spans="1:35" s="118" customFormat="1" ht="14.25" hidden="1">
      <c r="C94" s="119"/>
      <c r="D94" s="119"/>
      <c r="E94" s="119"/>
      <c r="F94" s="119"/>
      <c r="G94" s="119"/>
      <c r="H94" s="119"/>
      <c r="I94" s="119"/>
      <c r="J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</row>
    <row r="95" spans="1:35" s="118" customFormat="1" ht="14.25" hidden="1">
      <c r="C95" s="119"/>
      <c r="D95" s="119"/>
      <c r="E95" s="119"/>
      <c r="F95" s="119"/>
      <c r="G95" s="119"/>
      <c r="H95" s="119"/>
      <c r="I95" s="119"/>
      <c r="J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</row>
    <row r="96" spans="1:35" s="118" customFormat="1" ht="14.25" hidden="1">
      <c r="C96" s="119"/>
      <c r="D96" s="119"/>
      <c r="E96" s="119"/>
      <c r="F96" s="119"/>
      <c r="G96" s="119"/>
      <c r="H96" s="119"/>
      <c r="I96" s="119"/>
      <c r="J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</row>
    <row r="97" spans="3:33" s="118" customFormat="1" ht="14.25" hidden="1">
      <c r="C97" s="119"/>
      <c r="D97" s="119"/>
      <c r="E97" s="119"/>
      <c r="F97" s="119"/>
      <c r="G97" s="119"/>
      <c r="H97" s="119"/>
      <c r="I97" s="119"/>
      <c r="J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</row>
    <row r="98" spans="3:33" s="118" customFormat="1" ht="14.25" hidden="1">
      <c r="C98" s="119"/>
      <c r="D98" s="119"/>
      <c r="E98" s="119"/>
      <c r="F98" s="119"/>
      <c r="G98" s="119"/>
      <c r="H98" s="119"/>
      <c r="I98" s="119"/>
      <c r="J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</row>
    <row r="99" spans="3:33" s="118" customFormat="1" ht="14.25" hidden="1">
      <c r="C99" s="119"/>
      <c r="D99" s="119"/>
      <c r="E99" s="119"/>
      <c r="F99" s="119"/>
      <c r="G99" s="119"/>
      <c r="H99" s="119"/>
      <c r="I99" s="119"/>
      <c r="J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</row>
    <row r="100" spans="3:33" s="118" customFormat="1" ht="14.25" hidden="1">
      <c r="C100" s="119"/>
      <c r="D100" s="119"/>
      <c r="E100" s="119"/>
      <c r="F100" s="119"/>
      <c r="G100" s="119"/>
      <c r="H100" s="119"/>
      <c r="I100" s="119"/>
      <c r="J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</row>
    <row r="101" spans="3:33" s="118" customFormat="1" ht="14.25" hidden="1">
      <c r="C101" s="119"/>
      <c r="D101" s="119"/>
      <c r="E101" s="119"/>
      <c r="F101" s="119"/>
      <c r="G101" s="119"/>
      <c r="H101" s="119"/>
      <c r="I101" s="119"/>
      <c r="J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</row>
    <row r="102" spans="3:33" s="118" customFormat="1" ht="14.25" hidden="1">
      <c r="C102" s="119"/>
      <c r="D102" s="119"/>
      <c r="E102" s="119"/>
      <c r="F102" s="119"/>
      <c r="G102" s="119"/>
      <c r="H102" s="119"/>
      <c r="I102" s="119"/>
      <c r="J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</row>
    <row r="103" spans="3:33" s="118" customFormat="1" ht="14.25" hidden="1">
      <c r="C103" s="119"/>
      <c r="D103" s="119"/>
      <c r="E103" s="119"/>
      <c r="F103" s="119"/>
      <c r="G103" s="119"/>
      <c r="H103" s="119"/>
      <c r="I103" s="119"/>
      <c r="J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</row>
    <row r="104" spans="3:33" s="118" customFormat="1" ht="14.25" hidden="1">
      <c r="C104" s="119"/>
      <c r="D104" s="119"/>
      <c r="E104" s="119"/>
      <c r="F104" s="119"/>
      <c r="G104" s="119"/>
      <c r="H104" s="119"/>
      <c r="I104" s="119"/>
      <c r="J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</row>
    <row r="105" spans="3:33" s="118" customFormat="1" ht="14.25" hidden="1">
      <c r="C105" s="119"/>
      <c r="D105" s="119"/>
      <c r="E105" s="119"/>
      <c r="F105" s="119"/>
      <c r="G105" s="119"/>
      <c r="H105" s="119"/>
      <c r="I105" s="119"/>
      <c r="J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</row>
    <row r="106" spans="3:33" s="118" customFormat="1" ht="14.25" hidden="1">
      <c r="C106" s="119"/>
      <c r="D106" s="119"/>
      <c r="E106" s="119"/>
      <c r="F106" s="119"/>
      <c r="G106" s="119"/>
      <c r="H106" s="119"/>
      <c r="I106" s="119"/>
      <c r="J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</row>
    <row r="107" spans="3:33" s="118" customFormat="1" ht="14.25" hidden="1">
      <c r="C107" s="119"/>
      <c r="D107" s="119"/>
      <c r="E107" s="119"/>
      <c r="F107" s="119"/>
      <c r="G107" s="119"/>
      <c r="H107" s="119"/>
      <c r="I107" s="119"/>
      <c r="J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</row>
    <row r="108" spans="3:33" s="118" customFormat="1" ht="14.25" hidden="1">
      <c r="C108" s="119"/>
      <c r="D108" s="119"/>
      <c r="E108" s="119"/>
      <c r="F108" s="119"/>
      <c r="G108" s="119"/>
      <c r="H108" s="119"/>
      <c r="I108" s="119"/>
      <c r="J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</row>
    <row r="109" spans="3:33" s="118" customFormat="1" ht="14.25" hidden="1">
      <c r="C109" s="119"/>
      <c r="D109" s="119"/>
      <c r="E109" s="119"/>
      <c r="F109" s="119"/>
      <c r="G109" s="119"/>
      <c r="H109" s="119"/>
      <c r="I109" s="119"/>
      <c r="J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</row>
    <row r="110" spans="3:33" s="118" customFormat="1" ht="14.25" hidden="1">
      <c r="C110" s="119"/>
      <c r="D110" s="119"/>
      <c r="E110" s="119"/>
      <c r="F110" s="119"/>
      <c r="G110" s="119"/>
      <c r="H110" s="119"/>
      <c r="I110" s="119"/>
      <c r="J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 spans="3:33" s="118" customFormat="1" ht="14.25" hidden="1">
      <c r="C111" s="119"/>
      <c r="D111" s="119"/>
      <c r="E111" s="119"/>
      <c r="F111" s="119"/>
      <c r="G111" s="119"/>
      <c r="H111" s="119"/>
      <c r="I111" s="119"/>
      <c r="J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</row>
    <row r="112" spans="3:33" s="118" customFormat="1" ht="14.25" hidden="1">
      <c r="C112" s="119"/>
      <c r="D112" s="119"/>
      <c r="E112" s="119"/>
      <c r="F112" s="119"/>
      <c r="G112" s="119"/>
      <c r="H112" s="119"/>
      <c r="I112" s="119"/>
      <c r="J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</row>
    <row r="113" spans="3:33" s="118" customFormat="1" ht="14.25" hidden="1">
      <c r="C113" s="119"/>
      <c r="D113" s="119"/>
      <c r="E113" s="119"/>
      <c r="F113" s="119"/>
      <c r="G113" s="119"/>
      <c r="H113" s="119"/>
      <c r="I113" s="119"/>
      <c r="J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</row>
    <row r="114" spans="3:33" s="118" customFormat="1" ht="14.25" hidden="1">
      <c r="C114" s="119"/>
      <c r="D114" s="119"/>
      <c r="E114" s="119"/>
      <c r="F114" s="119"/>
      <c r="G114" s="119"/>
      <c r="H114" s="119"/>
      <c r="I114" s="119"/>
      <c r="J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</row>
    <row r="115" spans="3:33" s="118" customFormat="1" ht="14.25" hidden="1">
      <c r="C115" s="119"/>
      <c r="D115" s="119"/>
      <c r="E115" s="119"/>
      <c r="F115" s="119"/>
      <c r="G115" s="119"/>
      <c r="H115" s="119"/>
      <c r="I115" s="119"/>
      <c r="J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</row>
    <row r="116" spans="3:33" s="118" customFormat="1" ht="14.25" hidden="1">
      <c r="C116" s="119"/>
      <c r="D116" s="119"/>
      <c r="E116" s="119"/>
      <c r="F116" s="119"/>
      <c r="G116" s="119"/>
      <c r="H116" s="119"/>
      <c r="I116" s="119"/>
      <c r="J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</row>
    <row r="117" spans="3:33" s="118" customFormat="1" ht="14.25" hidden="1">
      <c r="C117" s="119"/>
      <c r="D117" s="119"/>
      <c r="E117" s="119"/>
      <c r="F117" s="119"/>
      <c r="G117" s="119"/>
      <c r="H117" s="119"/>
      <c r="I117" s="119"/>
      <c r="J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</row>
    <row r="118" spans="3:33" s="118" customFormat="1" ht="14.25" hidden="1">
      <c r="C118" s="119"/>
      <c r="D118" s="119"/>
      <c r="E118" s="119"/>
      <c r="F118" s="119"/>
      <c r="G118" s="119"/>
      <c r="H118" s="119"/>
      <c r="I118" s="119"/>
      <c r="J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</row>
    <row r="119" spans="3:33" s="118" customFormat="1" ht="14.25" hidden="1">
      <c r="C119" s="119"/>
      <c r="D119" s="119"/>
      <c r="E119" s="119"/>
      <c r="F119" s="119"/>
      <c r="G119" s="119"/>
      <c r="H119" s="119"/>
      <c r="I119" s="119"/>
      <c r="J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</row>
    <row r="120" spans="3:33" s="118" customFormat="1" ht="14.25" hidden="1">
      <c r="C120" s="119"/>
      <c r="D120" s="119"/>
      <c r="E120" s="119"/>
      <c r="F120" s="119"/>
      <c r="G120" s="119"/>
      <c r="H120" s="119"/>
      <c r="I120" s="119"/>
      <c r="J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</row>
    <row r="121" spans="3:33" s="118" customFormat="1" ht="14.25" hidden="1">
      <c r="C121" s="119"/>
      <c r="D121" s="119"/>
      <c r="E121" s="119"/>
      <c r="F121" s="119"/>
      <c r="G121" s="119"/>
      <c r="H121" s="119"/>
      <c r="I121" s="119"/>
      <c r="J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</row>
    <row r="122" spans="3:33" s="118" customFormat="1" ht="14.25" hidden="1">
      <c r="C122" s="119"/>
      <c r="D122" s="119"/>
      <c r="E122" s="119"/>
      <c r="F122" s="119"/>
      <c r="G122" s="119"/>
      <c r="H122" s="119"/>
      <c r="I122" s="119"/>
      <c r="J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</row>
    <row r="123" spans="3:33" s="118" customFormat="1" ht="14.25" hidden="1">
      <c r="C123" s="119"/>
      <c r="D123" s="119"/>
      <c r="E123" s="119"/>
      <c r="F123" s="119"/>
      <c r="G123" s="119"/>
      <c r="H123" s="119"/>
      <c r="I123" s="119"/>
      <c r="J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</row>
    <row r="124" spans="3:33" s="118" customFormat="1" ht="14.25" hidden="1">
      <c r="C124" s="119"/>
      <c r="D124" s="119"/>
      <c r="E124" s="119"/>
      <c r="F124" s="119"/>
      <c r="G124" s="119"/>
      <c r="H124" s="119"/>
      <c r="I124" s="119"/>
      <c r="J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</row>
    <row r="125" spans="3:33" s="118" customFormat="1" ht="14.25" hidden="1">
      <c r="C125" s="119"/>
      <c r="D125" s="119"/>
      <c r="E125" s="119"/>
      <c r="F125" s="119"/>
      <c r="G125" s="119"/>
      <c r="H125" s="119"/>
      <c r="I125" s="119"/>
      <c r="J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</row>
    <row r="126" spans="3:33" s="118" customFormat="1" ht="14.25" hidden="1">
      <c r="C126" s="119"/>
      <c r="D126" s="119"/>
      <c r="E126" s="119"/>
      <c r="F126" s="119"/>
      <c r="G126" s="119"/>
      <c r="H126" s="119"/>
      <c r="I126" s="119"/>
      <c r="J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</row>
    <row r="127" spans="3:33" s="118" customFormat="1" ht="14.25" hidden="1">
      <c r="C127" s="119"/>
      <c r="D127" s="119"/>
      <c r="E127" s="119"/>
      <c r="F127" s="119"/>
      <c r="G127" s="119"/>
      <c r="H127" s="119"/>
      <c r="I127" s="119"/>
      <c r="J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</row>
    <row r="128" spans="3:33" s="118" customFormat="1" ht="14.25" hidden="1">
      <c r="C128" s="119"/>
      <c r="D128" s="119"/>
      <c r="E128" s="119"/>
      <c r="F128" s="119"/>
      <c r="G128" s="119"/>
      <c r="H128" s="119"/>
      <c r="I128" s="119"/>
      <c r="J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</row>
    <row r="129" spans="3:33" s="118" customFormat="1" ht="14.25" hidden="1">
      <c r="C129" s="119"/>
      <c r="D129" s="119"/>
      <c r="E129" s="119"/>
      <c r="F129" s="119"/>
      <c r="G129" s="119"/>
      <c r="H129" s="119"/>
      <c r="I129" s="119"/>
      <c r="J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</row>
    <row r="130" spans="3:33" s="118" customFormat="1" ht="14.25" hidden="1">
      <c r="C130" s="119"/>
      <c r="D130" s="119"/>
      <c r="E130" s="119"/>
      <c r="F130" s="119"/>
      <c r="G130" s="119"/>
      <c r="H130" s="119"/>
      <c r="I130" s="119"/>
      <c r="J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</row>
    <row r="131" spans="3:33" s="118" customFormat="1" ht="14.25" hidden="1">
      <c r="C131" s="119"/>
      <c r="D131" s="119"/>
      <c r="E131" s="119"/>
      <c r="F131" s="119"/>
      <c r="G131" s="119"/>
      <c r="H131" s="119"/>
      <c r="I131" s="119"/>
      <c r="J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</row>
    <row r="132" spans="3:33" s="118" customFormat="1" ht="14.25" hidden="1">
      <c r="C132" s="119"/>
      <c r="D132" s="119"/>
      <c r="E132" s="119"/>
      <c r="F132" s="119"/>
      <c r="G132" s="119"/>
      <c r="H132" s="119"/>
      <c r="I132" s="119"/>
      <c r="J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</row>
    <row r="133" spans="3:33" s="118" customFormat="1" ht="14.25" hidden="1">
      <c r="C133" s="119"/>
      <c r="D133" s="119"/>
      <c r="E133" s="119"/>
      <c r="F133" s="119"/>
      <c r="G133" s="119"/>
      <c r="H133" s="119"/>
      <c r="I133" s="119"/>
      <c r="J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</row>
    <row r="134" spans="3:33" s="118" customFormat="1" ht="14.25" hidden="1">
      <c r="C134" s="119"/>
      <c r="D134" s="119"/>
      <c r="E134" s="119"/>
      <c r="F134" s="119"/>
      <c r="G134" s="119"/>
      <c r="H134" s="119"/>
      <c r="I134" s="119"/>
      <c r="J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</row>
    <row r="135" spans="3:33" s="118" customFormat="1" ht="14.25" hidden="1">
      <c r="C135" s="119"/>
      <c r="D135" s="119"/>
      <c r="E135" s="119"/>
      <c r="F135" s="119"/>
      <c r="G135" s="119"/>
      <c r="H135" s="119"/>
      <c r="I135" s="119"/>
      <c r="J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</row>
    <row r="136" spans="3:33" s="118" customFormat="1" ht="14.25" hidden="1">
      <c r="C136" s="119"/>
      <c r="D136" s="119"/>
      <c r="E136" s="119"/>
      <c r="F136" s="119"/>
      <c r="G136" s="119"/>
      <c r="H136" s="119"/>
      <c r="I136" s="119"/>
      <c r="J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</row>
    <row r="137" spans="3:33" s="118" customFormat="1" ht="14.25" hidden="1">
      <c r="C137" s="119"/>
      <c r="D137" s="119"/>
      <c r="E137" s="119"/>
      <c r="F137" s="119"/>
      <c r="G137" s="119"/>
      <c r="H137" s="119"/>
      <c r="I137" s="119"/>
      <c r="J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</row>
    <row r="138" spans="3:33" s="118" customFormat="1" ht="14.25" hidden="1">
      <c r="C138" s="119"/>
      <c r="D138" s="119"/>
      <c r="E138" s="119"/>
      <c r="F138" s="119"/>
      <c r="G138" s="119"/>
      <c r="H138" s="119"/>
      <c r="I138" s="119"/>
      <c r="J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</row>
    <row r="139" spans="3:33" s="118" customFormat="1" ht="14.25" hidden="1">
      <c r="C139" s="119"/>
      <c r="D139" s="119"/>
      <c r="E139" s="119"/>
      <c r="F139" s="119"/>
      <c r="G139" s="119"/>
      <c r="H139" s="119"/>
      <c r="I139" s="119"/>
      <c r="J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</row>
    <row r="140" spans="3:33" s="118" customFormat="1" ht="14.25" hidden="1">
      <c r="C140" s="119"/>
      <c r="D140" s="119"/>
      <c r="E140" s="119"/>
      <c r="F140" s="119"/>
      <c r="G140" s="119"/>
      <c r="H140" s="119"/>
      <c r="I140" s="119"/>
      <c r="J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</row>
    <row r="141" spans="3:33" s="118" customFormat="1" ht="14.25" hidden="1">
      <c r="C141" s="119"/>
      <c r="D141" s="119"/>
      <c r="E141" s="119"/>
      <c r="F141" s="119"/>
      <c r="G141" s="119"/>
      <c r="H141" s="119"/>
      <c r="I141" s="119"/>
      <c r="J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</row>
    <row r="142" spans="3:33" s="118" customFormat="1" ht="14.25" hidden="1">
      <c r="C142" s="119"/>
      <c r="D142" s="119"/>
      <c r="E142" s="119"/>
      <c r="F142" s="119"/>
      <c r="G142" s="119"/>
      <c r="H142" s="119"/>
      <c r="I142" s="119"/>
      <c r="J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</row>
    <row r="143" spans="3:33" s="118" customFormat="1" ht="14.25" hidden="1">
      <c r="C143" s="119"/>
      <c r="D143" s="119"/>
      <c r="E143" s="119"/>
      <c r="F143" s="119"/>
      <c r="G143" s="119"/>
      <c r="H143" s="119"/>
      <c r="I143" s="119"/>
      <c r="J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</row>
    <row r="144" spans="3:33" s="118" customFormat="1" ht="14.25" hidden="1">
      <c r="C144" s="119"/>
      <c r="D144" s="119"/>
      <c r="E144" s="119"/>
      <c r="F144" s="119"/>
      <c r="G144" s="119"/>
      <c r="H144" s="119"/>
      <c r="I144" s="119"/>
      <c r="J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</row>
    <row r="145" spans="3:33" s="118" customFormat="1" ht="14.25" hidden="1">
      <c r="C145" s="119"/>
      <c r="D145" s="119"/>
      <c r="E145" s="119"/>
      <c r="F145" s="119"/>
      <c r="G145" s="119"/>
      <c r="H145" s="119"/>
      <c r="I145" s="119"/>
      <c r="J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</row>
    <row r="146" spans="3:33" s="118" customFormat="1" ht="14.25" hidden="1">
      <c r="C146" s="119"/>
      <c r="D146" s="119"/>
      <c r="E146" s="119"/>
      <c r="F146" s="119"/>
      <c r="G146" s="119"/>
      <c r="H146" s="119"/>
      <c r="I146" s="119"/>
      <c r="J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</row>
    <row r="147" spans="3:33" s="118" customFormat="1" ht="14.25" hidden="1">
      <c r="C147" s="119"/>
      <c r="D147" s="119"/>
      <c r="E147" s="119"/>
      <c r="F147" s="119"/>
      <c r="G147" s="119"/>
      <c r="H147" s="119"/>
      <c r="I147" s="119"/>
      <c r="J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</row>
    <row r="148" spans="3:33" s="118" customFormat="1" ht="14.25" hidden="1">
      <c r="C148" s="119"/>
      <c r="D148" s="119"/>
      <c r="E148" s="119"/>
      <c r="F148" s="119"/>
      <c r="G148" s="119"/>
      <c r="H148" s="119"/>
      <c r="I148" s="119"/>
      <c r="J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</row>
    <row r="149" spans="3:33" s="118" customFormat="1" ht="14.25" hidden="1">
      <c r="C149" s="119"/>
      <c r="D149" s="119"/>
      <c r="E149" s="119"/>
      <c r="F149" s="119"/>
      <c r="G149" s="119"/>
      <c r="H149" s="119"/>
      <c r="I149" s="119"/>
      <c r="J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</row>
    <row r="150" spans="3:33" s="118" customFormat="1" ht="14.25" hidden="1">
      <c r="C150" s="119"/>
      <c r="D150" s="119"/>
      <c r="E150" s="119"/>
      <c r="F150" s="119"/>
      <c r="G150" s="119"/>
      <c r="H150" s="119"/>
      <c r="I150" s="119"/>
      <c r="J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</row>
    <row r="151" spans="3:33" s="118" customFormat="1" ht="14.25" hidden="1">
      <c r="C151" s="119"/>
      <c r="D151" s="119"/>
      <c r="E151" s="119"/>
      <c r="F151" s="119"/>
      <c r="G151" s="119"/>
      <c r="H151" s="119"/>
      <c r="I151" s="119"/>
      <c r="J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</row>
    <row r="152" spans="3:33" s="118" customFormat="1" ht="14.25" hidden="1">
      <c r="C152" s="119"/>
      <c r="D152" s="119"/>
      <c r="E152" s="119"/>
      <c r="F152" s="119"/>
      <c r="G152" s="119"/>
      <c r="H152" s="119"/>
      <c r="I152" s="119"/>
      <c r="J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</row>
    <row r="153" spans="3:33" s="118" customFormat="1" ht="14.25" hidden="1">
      <c r="C153" s="119"/>
      <c r="D153" s="119"/>
      <c r="E153" s="119"/>
      <c r="F153" s="119"/>
      <c r="G153" s="119"/>
      <c r="H153" s="119"/>
      <c r="I153" s="119"/>
      <c r="J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</row>
    <row r="154" spans="3:33" s="118" customFormat="1" ht="14.25" hidden="1">
      <c r="C154" s="119"/>
      <c r="D154" s="119"/>
      <c r="E154" s="119"/>
      <c r="F154" s="119"/>
      <c r="G154" s="119"/>
      <c r="H154" s="119"/>
      <c r="I154" s="119"/>
      <c r="J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</row>
    <row r="155" spans="3:33" s="118" customFormat="1" ht="14.25" hidden="1">
      <c r="C155" s="119"/>
      <c r="D155" s="119"/>
      <c r="E155" s="119"/>
      <c r="F155" s="119"/>
      <c r="G155" s="119"/>
      <c r="H155" s="119"/>
      <c r="I155" s="119"/>
      <c r="J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</row>
    <row r="156" spans="3:33" s="118" customFormat="1" ht="14.25" hidden="1">
      <c r="C156" s="119"/>
      <c r="D156" s="119"/>
      <c r="E156" s="119"/>
      <c r="F156" s="119"/>
      <c r="G156" s="119"/>
      <c r="H156" s="119"/>
      <c r="I156" s="119"/>
      <c r="J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</row>
    <row r="157" spans="3:33" s="118" customFormat="1" ht="14.25" hidden="1">
      <c r="C157" s="119"/>
      <c r="D157" s="119"/>
      <c r="E157" s="119"/>
      <c r="F157" s="119"/>
      <c r="G157" s="119"/>
      <c r="H157" s="119"/>
      <c r="I157" s="119"/>
      <c r="J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</row>
    <row r="158" spans="3:33" s="118" customFormat="1" ht="14.25" hidden="1">
      <c r="C158" s="119"/>
      <c r="D158" s="119"/>
      <c r="E158" s="119"/>
      <c r="F158" s="119"/>
      <c r="G158" s="119"/>
      <c r="H158" s="119"/>
      <c r="I158" s="119"/>
      <c r="J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</row>
    <row r="159" spans="3:33" s="118" customFormat="1" ht="14.25" hidden="1">
      <c r="C159" s="119"/>
      <c r="D159" s="119"/>
      <c r="E159" s="119"/>
      <c r="F159" s="119"/>
      <c r="G159" s="119"/>
      <c r="H159" s="119"/>
      <c r="I159" s="119"/>
      <c r="J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</row>
    <row r="160" spans="3:33" s="118" customFormat="1" ht="14.25" hidden="1">
      <c r="C160" s="119"/>
      <c r="D160" s="119"/>
      <c r="E160" s="119"/>
      <c r="F160" s="119"/>
      <c r="G160" s="119"/>
      <c r="H160" s="119"/>
      <c r="I160" s="119"/>
      <c r="J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</row>
    <row r="161" spans="3:33" s="118" customFormat="1" ht="14.25" hidden="1">
      <c r="C161" s="119"/>
      <c r="D161" s="119"/>
      <c r="E161" s="119"/>
      <c r="F161" s="119"/>
      <c r="G161" s="119"/>
      <c r="H161" s="119"/>
      <c r="I161" s="119"/>
      <c r="J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</row>
    <row r="162" spans="3:33" s="118" customFormat="1" ht="14.25" hidden="1">
      <c r="C162" s="119"/>
      <c r="D162" s="119"/>
      <c r="E162" s="119"/>
      <c r="F162" s="119"/>
      <c r="G162" s="119"/>
      <c r="H162" s="119"/>
      <c r="I162" s="119"/>
      <c r="J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</row>
    <row r="163" spans="3:33" s="118" customFormat="1" ht="14.25" hidden="1">
      <c r="C163" s="119"/>
      <c r="D163" s="119"/>
      <c r="E163" s="119"/>
      <c r="F163" s="119"/>
      <c r="G163" s="119"/>
      <c r="H163" s="119"/>
      <c r="I163" s="119"/>
      <c r="J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</row>
    <row r="164" spans="3:33" s="118" customFormat="1" ht="14.25" hidden="1">
      <c r="C164" s="119"/>
      <c r="D164" s="119"/>
      <c r="E164" s="119"/>
      <c r="F164" s="119"/>
      <c r="G164" s="119"/>
      <c r="H164" s="119"/>
      <c r="I164" s="119"/>
      <c r="J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</row>
    <row r="165" spans="3:33" s="118" customFormat="1" ht="14.25" hidden="1">
      <c r="C165" s="119"/>
      <c r="D165" s="119"/>
      <c r="E165" s="119"/>
      <c r="F165" s="119"/>
      <c r="G165" s="119"/>
      <c r="H165" s="119"/>
      <c r="I165" s="119"/>
      <c r="J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</row>
    <row r="166" spans="3:33" s="118" customFormat="1" ht="14.25" hidden="1">
      <c r="C166" s="119"/>
      <c r="D166" s="119"/>
      <c r="E166" s="119"/>
      <c r="F166" s="119"/>
      <c r="G166" s="119"/>
      <c r="H166" s="119"/>
      <c r="I166" s="119"/>
      <c r="J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</row>
    <row r="167" spans="3:33" s="118" customFormat="1" ht="14.25" hidden="1">
      <c r="C167" s="119"/>
      <c r="D167" s="119"/>
      <c r="E167" s="119"/>
      <c r="F167" s="119"/>
      <c r="G167" s="119"/>
      <c r="H167" s="119"/>
      <c r="I167" s="119"/>
      <c r="J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</row>
    <row r="168" spans="3:33" s="118" customFormat="1" ht="14.25" hidden="1">
      <c r="C168" s="119"/>
      <c r="D168" s="119"/>
      <c r="E168" s="119"/>
      <c r="F168" s="119"/>
      <c r="G168" s="119"/>
      <c r="H168" s="119"/>
      <c r="I168" s="119"/>
      <c r="J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</row>
    <row r="169" spans="3:33" s="118" customFormat="1" ht="14.25" hidden="1">
      <c r="C169" s="119"/>
      <c r="D169" s="119"/>
      <c r="E169" s="119"/>
      <c r="F169" s="119"/>
      <c r="G169" s="119"/>
      <c r="H169" s="119"/>
      <c r="I169" s="119"/>
      <c r="J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</row>
    <row r="170" spans="3:33" s="118" customFormat="1" ht="14.25" hidden="1">
      <c r="C170" s="119"/>
      <c r="D170" s="119"/>
      <c r="E170" s="119"/>
      <c r="F170" s="119"/>
      <c r="G170" s="119"/>
      <c r="H170" s="119"/>
      <c r="I170" s="119"/>
      <c r="J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</row>
    <row r="171" spans="3:33" s="118" customFormat="1" ht="14.25" hidden="1">
      <c r="C171" s="119"/>
      <c r="D171" s="119"/>
      <c r="E171" s="119"/>
      <c r="F171" s="119"/>
      <c r="G171" s="119"/>
      <c r="H171" s="119"/>
      <c r="I171" s="119"/>
      <c r="J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</row>
    <row r="172" spans="3:33" s="118" customFormat="1" ht="14.25" hidden="1">
      <c r="C172" s="119"/>
      <c r="D172" s="119"/>
      <c r="E172" s="119"/>
      <c r="F172" s="119"/>
      <c r="G172" s="119"/>
      <c r="H172" s="119"/>
      <c r="I172" s="119"/>
      <c r="J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</row>
    <row r="173" spans="3:33" s="118" customFormat="1" ht="14.25" hidden="1">
      <c r="C173" s="119"/>
      <c r="D173" s="119"/>
      <c r="E173" s="119"/>
      <c r="F173" s="119"/>
      <c r="G173" s="119"/>
      <c r="H173" s="119"/>
      <c r="I173" s="119"/>
      <c r="J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</row>
    <row r="174" spans="3:33" s="118" customFormat="1" ht="14.25" hidden="1">
      <c r="C174" s="119"/>
      <c r="D174" s="119"/>
      <c r="E174" s="119"/>
      <c r="F174" s="119"/>
      <c r="G174" s="119"/>
      <c r="H174" s="119"/>
      <c r="I174" s="119"/>
      <c r="J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</row>
    <row r="175" spans="3:33" s="118" customFormat="1" ht="14.25" hidden="1">
      <c r="C175" s="119"/>
      <c r="D175" s="119"/>
      <c r="E175" s="119"/>
      <c r="F175" s="119"/>
      <c r="G175" s="119"/>
      <c r="H175" s="119"/>
      <c r="I175" s="119"/>
      <c r="J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</row>
    <row r="176" spans="3:33" s="118" customFormat="1" ht="14.25" hidden="1">
      <c r="C176" s="119"/>
      <c r="D176" s="119"/>
      <c r="E176" s="119"/>
      <c r="F176" s="119"/>
      <c r="G176" s="119"/>
      <c r="H176" s="119"/>
      <c r="I176" s="119"/>
      <c r="J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</row>
    <row r="177" spans="3:33" s="118" customFormat="1" ht="14.25" hidden="1">
      <c r="C177" s="119"/>
      <c r="D177" s="119"/>
      <c r="E177" s="119"/>
      <c r="F177" s="119"/>
      <c r="G177" s="119"/>
      <c r="H177" s="119"/>
      <c r="I177" s="119"/>
      <c r="J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</row>
    <row r="178" spans="3:33" s="118" customFormat="1" ht="14.25" hidden="1">
      <c r="C178" s="119"/>
      <c r="D178" s="119"/>
      <c r="E178" s="119"/>
      <c r="F178" s="119"/>
      <c r="G178" s="119"/>
      <c r="H178" s="119"/>
      <c r="I178" s="119"/>
      <c r="J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</row>
    <row r="179" spans="3:33" s="118" customFormat="1" ht="14.25" hidden="1">
      <c r="C179" s="119"/>
      <c r="D179" s="119"/>
      <c r="E179" s="119"/>
      <c r="F179" s="119"/>
      <c r="G179" s="119"/>
      <c r="H179" s="119"/>
      <c r="I179" s="119"/>
      <c r="J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</row>
    <row r="180" spans="3:33" s="118" customFormat="1" ht="14.25" hidden="1">
      <c r="C180" s="119"/>
      <c r="D180" s="119"/>
      <c r="E180" s="119"/>
      <c r="F180" s="119"/>
      <c r="G180" s="119"/>
      <c r="H180" s="119"/>
      <c r="I180" s="119"/>
      <c r="J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</row>
    <row r="181" spans="3:33" s="118" customFormat="1" ht="14.25" hidden="1">
      <c r="C181" s="119"/>
      <c r="D181" s="119"/>
      <c r="E181" s="119"/>
      <c r="F181" s="119"/>
      <c r="G181" s="119"/>
      <c r="H181" s="119"/>
      <c r="I181" s="119"/>
      <c r="J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</row>
    <row r="182" spans="3:33" s="118" customFormat="1" ht="14.25" hidden="1">
      <c r="C182" s="119"/>
      <c r="D182" s="119"/>
      <c r="E182" s="119"/>
      <c r="F182" s="119"/>
      <c r="G182" s="119"/>
      <c r="H182" s="119"/>
      <c r="I182" s="119"/>
      <c r="J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</row>
    <row r="183" spans="3:33" s="118" customFormat="1" ht="14.25" hidden="1">
      <c r="C183" s="119"/>
      <c r="D183" s="119"/>
      <c r="E183" s="119"/>
      <c r="F183" s="119"/>
      <c r="G183" s="119"/>
      <c r="H183" s="119"/>
      <c r="I183" s="119"/>
      <c r="J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</row>
    <row r="184" spans="3:33" s="118" customFormat="1" ht="14.25" hidden="1">
      <c r="C184" s="119"/>
      <c r="D184" s="119"/>
      <c r="E184" s="119"/>
      <c r="F184" s="119"/>
      <c r="G184" s="119"/>
      <c r="H184" s="119"/>
      <c r="I184" s="119"/>
      <c r="J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</row>
    <row r="185" spans="3:33" s="118" customFormat="1" ht="14.25" hidden="1">
      <c r="C185" s="119"/>
      <c r="D185" s="119"/>
      <c r="E185" s="119"/>
      <c r="F185" s="119"/>
      <c r="G185" s="119"/>
      <c r="H185" s="119"/>
      <c r="I185" s="119"/>
      <c r="J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</row>
    <row r="186" spans="3:33" s="118" customFormat="1" ht="14.25" hidden="1">
      <c r="C186" s="119"/>
      <c r="D186" s="119"/>
      <c r="E186" s="119"/>
      <c r="F186" s="119"/>
      <c r="G186" s="119"/>
      <c r="H186" s="119"/>
      <c r="I186" s="119"/>
      <c r="J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</row>
    <row r="187" spans="3:33" s="118" customFormat="1" ht="14.25" hidden="1">
      <c r="C187" s="119"/>
      <c r="D187" s="119"/>
      <c r="E187" s="119"/>
      <c r="F187" s="119"/>
      <c r="G187" s="119"/>
      <c r="H187" s="119"/>
      <c r="I187" s="119"/>
      <c r="J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</row>
    <row r="188" spans="3:33" s="118" customFormat="1" ht="14.25" hidden="1">
      <c r="C188" s="119"/>
      <c r="D188" s="119"/>
      <c r="E188" s="119"/>
      <c r="F188" s="119"/>
      <c r="G188" s="119"/>
      <c r="H188" s="119"/>
      <c r="I188" s="119"/>
      <c r="J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</row>
    <row r="189" spans="3:33" s="118" customFormat="1" ht="14.25" hidden="1">
      <c r="C189" s="119"/>
      <c r="D189" s="119"/>
      <c r="E189" s="119"/>
      <c r="F189" s="119"/>
      <c r="G189" s="119"/>
      <c r="H189" s="119"/>
      <c r="I189" s="119"/>
      <c r="J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</row>
    <row r="190" spans="3:33" s="118" customFormat="1" ht="14.25" hidden="1">
      <c r="C190" s="119"/>
      <c r="D190" s="119"/>
      <c r="E190" s="119"/>
      <c r="F190" s="119"/>
      <c r="G190" s="119"/>
      <c r="H190" s="119"/>
      <c r="I190" s="119"/>
      <c r="J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</row>
    <row r="191" spans="3:33" s="118" customFormat="1" ht="14.25" hidden="1">
      <c r="C191" s="119"/>
      <c r="D191" s="119"/>
      <c r="E191" s="119"/>
      <c r="F191" s="119"/>
      <c r="G191" s="119"/>
      <c r="H191" s="119"/>
      <c r="I191" s="119"/>
      <c r="J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</row>
    <row r="192" spans="3:33" s="118" customFormat="1" ht="14.25" hidden="1">
      <c r="C192" s="119"/>
      <c r="D192" s="119"/>
      <c r="E192" s="119"/>
      <c r="F192" s="119"/>
      <c r="G192" s="119"/>
      <c r="H192" s="119"/>
      <c r="I192" s="119"/>
      <c r="J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</row>
    <row r="193" spans="3:33" s="118" customFormat="1" ht="14.25" hidden="1">
      <c r="C193" s="119"/>
      <c r="D193" s="119"/>
      <c r="E193" s="119"/>
      <c r="F193" s="119"/>
      <c r="G193" s="119"/>
      <c r="H193" s="119"/>
      <c r="I193" s="119"/>
      <c r="J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</row>
    <row r="194" spans="3:33" s="118" customFormat="1" ht="14.25" hidden="1">
      <c r="C194" s="119"/>
      <c r="D194" s="119"/>
      <c r="E194" s="119"/>
      <c r="F194" s="119"/>
      <c r="G194" s="119"/>
      <c r="H194" s="119"/>
      <c r="I194" s="119"/>
      <c r="J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</row>
    <row r="195" spans="3:33" s="118" customFormat="1" ht="14.25" hidden="1">
      <c r="C195" s="119"/>
      <c r="D195" s="119"/>
      <c r="E195" s="119"/>
      <c r="F195" s="119"/>
      <c r="G195" s="119"/>
      <c r="H195" s="119"/>
      <c r="I195" s="119"/>
      <c r="J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</row>
    <row r="196" spans="3:33" s="118" customFormat="1" ht="14.25" hidden="1">
      <c r="C196" s="119"/>
      <c r="D196" s="119"/>
      <c r="E196" s="119"/>
      <c r="F196" s="119"/>
      <c r="G196" s="119"/>
      <c r="H196" s="119"/>
      <c r="I196" s="119"/>
      <c r="J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</row>
    <row r="197" spans="3:33" s="118" customFormat="1" ht="14.25" hidden="1">
      <c r="C197" s="119"/>
      <c r="D197" s="119"/>
      <c r="E197" s="119"/>
      <c r="F197" s="119"/>
      <c r="G197" s="119"/>
      <c r="H197" s="119"/>
      <c r="I197" s="119"/>
      <c r="J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</row>
    <row r="198" spans="3:33" s="118" customFormat="1" ht="14.25" hidden="1">
      <c r="C198" s="119"/>
      <c r="D198" s="119"/>
      <c r="E198" s="119"/>
      <c r="F198" s="119"/>
      <c r="G198" s="119"/>
      <c r="H198" s="119"/>
      <c r="I198" s="119"/>
      <c r="J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</row>
    <row r="199" spans="3:33" s="118" customFormat="1" ht="14.25" hidden="1">
      <c r="C199" s="119"/>
      <c r="D199" s="119"/>
      <c r="E199" s="119"/>
      <c r="F199" s="119"/>
      <c r="G199" s="119"/>
      <c r="H199" s="119"/>
      <c r="I199" s="119"/>
      <c r="J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</row>
    <row r="200" spans="3:33" s="118" customFormat="1" ht="14.25" hidden="1">
      <c r="C200" s="119"/>
      <c r="D200" s="119"/>
      <c r="E200" s="119"/>
      <c r="F200" s="119"/>
      <c r="G200" s="119"/>
      <c r="H200" s="119"/>
      <c r="I200" s="119"/>
      <c r="J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</row>
    <row r="201" spans="3:33" s="118" customFormat="1" ht="14.25" hidden="1">
      <c r="C201" s="119"/>
      <c r="D201" s="119"/>
      <c r="E201" s="119"/>
      <c r="F201" s="119"/>
      <c r="G201" s="119"/>
      <c r="H201" s="119"/>
      <c r="I201" s="119"/>
      <c r="J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</row>
    <row r="202" spans="3:33" s="118" customFormat="1" ht="14.25" hidden="1">
      <c r="C202" s="119"/>
      <c r="D202" s="119"/>
      <c r="E202" s="119"/>
      <c r="F202" s="119"/>
      <c r="G202" s="119"/>
      <c r="H202" s="119"/>
      <c r="I202" s="119"/>
      <c r="J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</row>
    <row r="203" spans="3:33" s="118" customFormat="1" ht="14.25" hidden="1">
      <c r="C203" s="119"/>
      <c r="D203" s="119"/>
      <c r="E203" s="119"/>
      <c r="F203" s="119"/>
      <c r="G203" s="119"/>
      <c r="H203" s="119"/>
      <c r="I203" s="119"/>
      <c r="J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</row>
    <row r="204" spans="3:33" s="118" customFormat="1" ht="14.25" hidden="1">
      <c r="C204" s="119"/>
      <c r="D204" s="119"/>
      <c r="E204" s="119"/>
      <c r="F204" s="119"/>
      <c r="G204" s="119"/>
      <c r="H204" s="119"/>
      <c r="I204" s="119"/>
      <c r="J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</row>
    <row r="205" spans="3:33" s="118" customFormat="1" ht="14.25" hidden="1">
      <c r="C205" s="119"/>
      <c r="D205" s="119"/>
      <c r="E205" s="119"/>
      <c r="F205" s="119"/>
      <c r="G205" s="119"/>
      <c r="H205" s="119"/>
      <c r="I205" s="119"/>
      <c r="J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</row>
    <row r="206" spans="3:33" s="118" customFormat="1" ht="14.25" hidden="1">
      <c r="C206" s="119"/>
      <c r="D206" s="119"/>
      <c r="E206" s="119"/>
      <c r="F206" s="119"/>
      <c r="G206" s="119"/>
      <c r="H206" s="119"/>
      <c r="I206" s="119"/>
      <c r="J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</row>
    <row r="207" spans="3:33" s="118" customFormat="1" ht="14.25" hidden="1">
      <c r="C207" s="119"/>
      <c r="D207" s="119"/>
      <c r="E207" s="119"/>
      <c r="F207" s="119"/>
      <c r="G207" s="119"/>
      <c r="H207" s="119"/>
      <c r="I207" s="119"/>
      <c r="J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</row>
    <row r="208" spans="3:33" s="118" customFormat="1" ht="14.25" hidden="1">
      <c r="C208" s="119"/>
      <c r="D208" s="119"/>
      <c r="E208" s="119"/>
      <c r="F208" s="119"/>
      <c r="G208" s="119"/>
      <c r="H208" s="119"/>
      <c r="I208" s="119"/>
      <c r="J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</row>
    <row r="209" spans="3:36" s="118" customFormat="1" ht="14.25" hidden="1">
      <c r="C209" s="119"/>
      <c r="D209" s="119"/>
      <c r="E209" s="119"/>
      <c r="F209" s="119"/>
      <c r="G209" s="119"/>
      <c r="H209" s="119"/>
      <c r="I209" s="119"/>
      <c r="J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</row>
    <row r="210" spans="3:36" s="118" customFormat="1" ht="14.25" hidden="1">
      <c r="C210" s="119"/>
      <c r="D210" s="119"/>
      <c r="E210" s="119"/>
      <c r="F210" s="119"/>
      <c r="G210" s="119"/>
      <c r="H210" s="119"/>
      <c r="I210" s="119"/>
      <c r="J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</row>
    <row r="211" spans="3:36" s="118" customFormat="1" ht="14.25" hidden="1">
      <c r="C211" s="119"/>
      <c r="D211" s="119"/>
      <c r="E211" s="119"/>
      <c r="F211" s="119"/>
      <c r="G211" s="119"/>
      <c r="H211" s="119"/>
      <c r="I211" s="119"/>
      <c r="J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</row>
    <row r="212" spans="3:36" s="118" customFormat="1" ht="14.25" hidden="1">
      <c r="C212" s="119"/>
      <c r="D212" s="119"/>
      <c r="E212" s="119"/>
      <c r="F212" s="119"/>
      <c r="G212" s="119"/>
      <c r="H212" s="119"/>
      <c r="I212" s="119"/>
      <c r="J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</row>
    <row r="213" spans="3:36" s="118" customFormat="1" ht="14.25" hidden="1">
      <c r="C213" s="119"/>
      <c r="D213" s="119"/>
      <c r="E213" s="119"/>
      <c r="F213" s="119"/>
      <c r="G213" s="119"/>
      <c r="H213" s="119"/>
      <c r="I213" s="119"/>
      <c r="J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</row>
    <row r="214" spans="3:36" s="118" customFormat="1" ht="14.25" hidden="1">
      <c r="C214" s="119"/>
      <c r="D214" s="119"/>
      <c r="E214" s="119"/>
      <c r="F214" s="119"/>
      <c r="G214" s="119"/>
      <c r="H214" s="119"/>
      <c r="I214" s="119"/>
      <c r="J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</row>
    <row r="215" spans="3:36" s="118" customFormat="1" ht="14.25" hidden="1">
      <c r="C215" s="119"/>
      <c r="D215" s="119"/>
      <c r="E215" s="119"/>
      <c r="F215" s="119"/>
      <c r="G215" s="119"/>
      <c r="H215" s="119"/>
      <c r="I215" s="119"/>
      <c r="J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</row>
    <row r="216" spans="3:36" s="118" customFormat="1" ht="14.25" hidden="1">
      <c r="C216" s="119"/>
      <c r="D216" s="119"/>
      <c r="E216" s="119"/>
      <c r="F216" s="119"/>
      <c r="G216" s="119"/>
      <c r="H216" s="119"/>
      <c r="I216" s="119"/>
      <c r="J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</row>
    <row r="217" spans="3:36" s="118" customFormat="1" ht="14.25" hidden="1">
      <c r="C217" s="119"/>
      <c r="D217" s="119"/>
      <c r="E217" s="119"/>
      <c r="F217" s="119"/>
      <c r="G217" s="119"/>
      <c r="H217" s="119"/>
      <c r="I217" s="119"/>
      <c r="J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</row>
    <row r="218" spans="3:36" s="118" customFormat="1" ht="14.25" hidden="1">
      <c r="C218" s="119"/>
      <c r="D218" s="119"/>
      <c r="E218" s="119"/>
      <c r="F218" s="119"/>
      <c r="G218" s="119"/>
      <c r="H218" s="119"/>
      <c r="I218" s="119"/>
      <c r="J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</row>
    <row r="219" spans="3:36" s="118" customFormat="1" ht="14.25" hidden="1">
      <c r="C219" s="119"/>
      <c r="D219" s="119"/>
      <c r="E219" s="119"/>
      <c r="F219" s="119"/>
      <c r="G219" s="119"/>
      <c r="H219" s="119"/>
      <c r="I219" s="119"/>
      <c r="J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J219" s="84"/>
    </row>
    <row r="220" spans="3:36" s="118" customFormat="1" ht="14.25" hidden="1">
      <c r="C220" s="119"/>
      <c r="D220" s="119"/>
      <c r="E220" s="119"/>
      <c r="F220" s="119"/>
      <c r="G220" s="119"/>
      <c r="H220" s="119"/>
      <c r="I220" s="119"/>
      <c r="J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J220" s="84"/>
    </row>
    <row r="221" spans="3:36" s="118" customFormat="1" ht="14.25" hidden="1">
      <c r="C221" s="119"/>
      <c r="D221" s="119"/>
      <c r="E221" s="119"/>
      <c r="F221" s="119"/>
      <c r="G221" s="119"/>
      <c r="H221" s="119"/>
      <c r="I221" s="119"/>
      <c r="J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J221" s="84"/>
    </row>
    <row r="222" spans="3:36" s="118" customFormat="1" ht="14.25" hidden="1">
      <c r="C222" s="119"/>
      <c r="D222" s="119"/>
      <c r="E222" s="119"/>
      <c r="F222" s="119"/>
      <c r="G222" s="119"/>
      <c r="H222" s="119"/>
      <c r="I222" s="119"/>
      <c r="J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J222" s="84"/>
    </row>
    <row r="223" spans="3:36" s="118" customFormat="1" ht="14.25" hidden="1">
      <c r="C223" s="119"/>
      <c r="D223" s="119"/>
      <c r="E223" s="119"/>
      <c r="F223" s="119"/>
      <c r="G223" s="119"/>
      <c r="H223" s="119"/>
      <c r="I223" s="119"/>
      <c r="J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J223" s="84"/>
    </row>
    <row r="224" spans="3:36" s="118" customFormat="1" ht="14.25" hidden="1">
      <c r="C224" s="119"/>
      <c r="D224" s="119"/>
      <c r="E224" s="119"/>
      <c r="F224" s="119"/>
      <c r="G224" s="119"/>
      <c r="H224" s="119"/>
      <c r="I224" s="119"/>
      <c r="J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J224" s="84"/>
    </row>
    <row r="225" spans="3:36" s="118" customFormat="1" ht="14.25" hidden="1">
      <c r="C225" s="119"/>
      <c r="D225" s="119"/>
      <c r="E225" s="119"/>
      <c r="F225" s="119"/>
      <c r="G225" s="119"/>
      <c r="H225" s="119"/>
      <c r="I225" s="119"/>
      <c r="J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J225" s="84"/>
    </row>
    <row r="226" spans="3:36" s="118" customFormat="1" ht="14.25" hidden="1">
      <c r="C226" s="119"/>
      <c r="D226" s="119"/>
      <c r="E226" s="119"/>
      <c r="F226" s="119"/>
      <c r="G226" s="119"/>
      <c r="H226" s="119"/>
      <c r="I226" s="119"/>
      <c r="J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J226" s="84"/>
    </row>
    <row r="227" spans="3:36" s="118" customFormat="1" ht="14.25" hidden="1">
      <c r="C227" s="119"/>
      <c r="D227" s="119"/>
      <c r="E227" s="119"/>
      <c r="F227" s="119"/>
      <c r="G227" s="119"/>
      <c r="H227" s="119"/>
      <c r="I227" s="119"/>
      <c r="J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J227" s="84"/>
    </row>
    <row r="228" spans="3:36" s="118" customFormat="1" ht="14.25" hidden="1">
      <c r="C228" s="119"/>
      <c r="D228" s="119"/>
      <c r="E228" s="119"/>
      <c r="F228" s="119"/>
      <c r="G228" s="119"/>
      <c r="H228" s="119"/>
      <c r="I228" s="119"/>
      <c r="J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J228" s="84"/>
    </row>
    <row r="229" spans="3:36" s="118" customFormat="1" ht="14.25" hidden="1">
      <c r="C229" s="119"/>
      <c r="D229" s="119"/>
      <c r="E229" s="119"/>
      <c r="F229" s="119"/>
      <c r="G229" s="119"/>
      <c r="H229" s="119"/>
      <c r="I229" s="119"/>
      <c r="J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J229" s="84"/>
    </row>
    <row r="230" spans="3:36" s="118" customFormat="1" ht="14.25" hidden="1">
      <c r="C230" s="119"/>
      <c r="D230" s="119"/>
      <c r="E230" s="119"/>
      <c r="F230" s="119"/>
      <c r="G230" s="119"/>
      <c r="H230" s="119"/>
      <c r="I230" s="119"/>
      <c r="J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J230" s="84"/>
    </row>
    <row r="231" spans="3:36" s="118" customFormat="1" ht="14.25" hidden="1">
      <c r="C231" s="119"/>
      <c r="D231" s="119"/>
      <c r="E231" s="119"/>
      <c r="F231" s="119"/>
      <c r="G231" s="119"/>
      <c r="H231" s="119"/>
      <c r="I231" s="119"/>
      <c r="J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J231" s="84"/>
    </row>
    <row r="232" spans="3:36" s="118" customFormat="1" ht="14.25" hidden="1">
      <c r="C232" s="119"/>
      <c r="D232" s="119"/>
      <c r="E232" s="119"/>
      <c r="F232" s="119"/>
      <c r="G232" s="119"/>
      <c r="H232" s="119"/>
      <c r="I232" s="119"/>
      <c r="J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J232" s="84"/>
    </row>
    <row r="233" spans="3:36" s="118" customFormat="1" ht="14.25" hidden="1">
      <c r="C233" s="119"/>
      <c r="D233" s="119"/>
      <c r="E233" s="119"/>
      <c r="F233" s="119"/>
      <c r="G233" s="119"/>
      <c r="H233" s="119"/>
      <c r="I233" s="119"/>
      <c r="J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J233" s="84"/>
    </row>
    <row r="234" spans="3:36" s="118" customFormat="1" ht="14.25" hidden="1">
      <c r="C234" s="119"/>
      <c r="D234" s="119"/>
      <c r="E234" s="119"/>
      <c r="F234" s="119"/>
      <c r="G234" s="119"/>
      <c r="H234" s="119"/>
      <c r="I234" s="119"/>
      <c r="J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J234" s="84"/>
    </row>
    <row r="235" spans="3:36" s="118" customFormat="1" ht="14.25" hidden="1">
      <c r="C235" s="119"/>
      <c r="D235" s="119"/>
      <c r="E235" s="119"/>
      <c r="F235" s="119"/>
      <c r="G235" s="119"/>
      <c r="H235" s="119"/>
      <c r="I235" s="119"/>
      <c r="J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J235" s="84"/>
    </row>
    <row r="236" spans="3:36" s="118" customFormat="1" ht="14.25" hidden="1">
      <c r="C236" s="119"/>
      <c r="D236" s="119"/>
      <c r="E236" s="119"/>
      <c r="F236" s="119"/>
      <c r="G236" s="119"/>
      <c r="H236" s="119"/>
      <c r="I236" s="119"/>
      <c r="J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J236" s="84"/>
    </row>
    <row r="237" spans="3:36" s="118" customFormat="1" ht="14.25" hidden="1">
      <c r="C237" s="119"/>
      <c r="D237" s="119"/>
      <c r="E237" s="119"/>
      <c r="F237" s="119"/>
      <c r="G237" s="119"/>
      <c r="H237" s="119"/>
      <c r="I237" s="119"/>
      <c r="J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J237" s="84"/>
    </row>
    <row r="238" spans="3:36" s="118" customFormat="1" ht="14.25" hidden="1">
      <c r="C238" s="119"/>
      <c r="D238" s="119"/>
      <c r="E238" s="119"/>
      <c r="F238" s="119"/>
      <c r="G238" s="119"/>
      <c r="H238" s="119"/>
      <c r="I238" s="119"/>
      <c r="J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J238" s="84"/>
    </row>
    <row r="239" spans="3:36" s="118" customFormat="1" ht="14.25" hidden="1">
      <c r="C239" s="119"/>
      <c r="D239" s="119"/>
      <c r="E239" s="119"/>
      <c r="F239" s="119"/>
      <c r="G239" s="119"/>
      <c r="H239" s="119"/>
      <c r="I239" s="119"/>
      <c r="J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J239" s="84"/>
    </row>
    <row r="240" spans="3:36" s="118" customFormat="1" ht="14.25" hidden="1">
      <c r="C240" s="119"/>
      <c r="D240" s="119"/>
      <c r="E240" s="119"/>
      <c r="F240" s="119"/>
      <c r="G240" s="119"/>
      <c r="H240" s="119"/>
      <c r="I240" s="119"/>
      <c r="J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J240" s="84"/>
    </row>
    <row r="241" spans="3:36" s="118" customFormat="1" ht="14.25" hidden="1">
      <c r="C241" s="119"/>
      <c r="D241" s="119"/>
      <c r="E241" s="119"/>
      <c r="F241" s="119"/>
      <c r="G241" s="119"/>
      <c r="H241" s="119"/>
      <c r="I241" s="119"/>
      <c r="J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J241" s="84"/>
    </row>
    <row r="242" spans="3:36" s="118" customFormat="1" ht="14.25" hidden="1">
      <c r="C242" s="119"/>
      <c r="D242" s="119"/>
      <c r="E242" s="119"/>
      <c r="F242" s="119"/>
      <c r="G242" s="119"/>
      <c r="H242" s="119"/>
      <c r="I242" s="119"/>
      <c r="J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J242" s="84"/>
    </row>
    <row r="243" spans="3:36" s="118" customFormat="1" ht="14.25" hidden="1">
      <c r="C243" s="119"/>
      <c r="D243" s="119"/>
      <c r="E243" s="119"/>
      <c r="F243" s="119"/>
      <c r="G243" s="119"/>
      <c r="H243" s="119"/>
      <c r="I243" s="119"/>
      <c r="J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J243" s="84"/>
    </row>
    <row r="244" spans="3:36" s="118" customFormat="1" ht="14.25" hidden="1">
      <c r="C244" s="119"/>
      <c r="D244" s="119"/>
      <c r="E244" s="119"/>
      <c r="F244" s="119"/>
      <c r="G244" s="119"/>
      <c r="H244" s="119"/>
      <c r="I244" s="119"/>
      <c r="J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J244" s="84"/>
    </row>
    <row r="245" spans="3:36" s="118" customFormat="1" ht="14.25" hidden="1">
      <c r="C245" s="119"/>
      <c r="D245" s="119"/>
      <c r="E245" s="119"/>
      <c r="F245" s="119"/>
      <c r="G245" s="119"/>
      <c r="H245" s="119"/>
      <c r="I245" s="119"/>
      <c r="J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J245" s="84"/>
    </row>
    <row r="246" spans="3:36" s="118" customFormat="1" ht="14.25" hidden="1">
      <c r="C246" s="119"/>
      <c r="D246" s="119"/>
      <c r="E246" s="119"/>
      <c r="F246" s="119"/>
      <c r="G246" s="119"/>
      <c r="H246" s="119"/>
      <c r="I246" s="119"/>
      <c r="J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J246" s="84"/>
    </row>
    <row r="247" spans="3:36" s="118" customFormat="1" ht="14.25" hidden="1">
      <c r="C247" s="119"/>
      <c r="D247" s="119"/>
      <c r="E247" s="119"/>
      <c r="F247" s="119"/>
      <c r="G247" s="119"/>
      <c r="H247" s="119"/>
      <c r="I247" s="119"/>
      <c r="J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J247" s="84"/>
    </row>
    <row r="248" spans="3:36" s="118" customFormat="1" ht="14.25" hidden="1">
      <c r="C248" s="119"/>
      <c r="D248" s="119"/>
      <c r="E248" s="119"/>
      <c r="F248" s="119"/>
      <c r="G248" s="119"/>
      <c r="H248" s="119"/>
      <c r="I248" s="119"/>
      <c r="J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J248" s="84"/>
    </row>
    <row r="249" spans="3:36" s="118" customFormat="1" ht="14.25" hidden="1">
      <c r="C249" s="119"/>
      <c r="D249" s="119"/>
      <c r="E249" s="119"/>
      <c r="F249" s="119"/>
      <c r="G249" s="119"/>
      <c r="H249" s="119"/>
      <c r="I249" s="119"/>
      <c r="J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J249" s="84"/>
    </row>
    <row r="250" spans="3:36" s="118" customFormat="1" ht="14.25" hidden="1">
      <c r="C250" s="119"/>
      <c r="D250" s="119"/>
      <c r="E250" s="119"/>
      <c r="F250" s="119"/>
      <c r="G250" s="119"/>
      <c r="H250" s="119"/>
      <c r="I250" s="119"/>
      <c r="J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J250" s="84"/>
    </row>
    <row r="251" spans="3:36" s="118" customFormat="1" ht="14.25" hidden="1">
      <c r="C251" s="119"/>
      <c r="D251" s="119"/>
      <c r="E251" s="119"/>
      <c r="F251" s="119"/>
      <c r="G251" s="119"/>
      <c r="H251" s="119"/>
      <c r="I251" s="119"/>
      <c r="J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J251" s="84"/>
    </row>
    <row r="252" spans="3:36" s="118" customFormat="1" ht="14.25" hidden="1">
      <c r="C252" s="119"/>
      <c r="D252" s="119"/>
      <c r="E252" s="119"/>
      <c r="F252" s="119"/>
      <c r="G252" s="119"/>
      <c r="H252" s="119"/>
      <c r="I252" s="119"/>
      <c r="J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J252" s="84"/>
    </row>
    <row r="253" spans="3:36" s="118" customFormat="1" ht="14.25" hidden="1">
      <c r="C253" s="119"/>
      <c r="D253" s="119"/>
      <c r="E253" s="119"/>
      <c r="F253" s="119"/>
      <c r="G253" s="119"/>
      <c r="H253" s="119"/>
      <c r="I253" s="119"/>
      <c r="J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J253" s="84"/>
    </row>
    <row r="254" spans="3:36" s="118" customFormat="1" ht="14.25" hidden="1">
      <c r="C254" s="119"/>
      <c r="D254" s="119"/>
      <c r="E254" s="119"/>
      <c r="F254" s="119"/>
      <c r="G254" s="119"/>
      <c r="H254" s="119"/>
      <c r="I254" s="119"/>
      <c r="J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J254" s="84"/>
    </row>
    <row r="255" spans="3:36" s="118" customFormat="1" ht="14.25" hidden="1">
      <c r="C255" s="119"/>
      <c r="D255" s="119"/>
      <c r="E255" s="119"/>
      <c r="F255" s="119"/>
      <c r="G255" s="119"/>
      <c r="H255" s="119"/>
      <c r="I255" s="119"/>
      <c r="J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J255" s="84"/>
    </row>
    <row r="256" spans="3:36" s="118" customFormat="1" ht="14.25" hidden="1">
      <c r="C256" s="119"/>
      <c r="D256" s="119"/>
      <c r="E256" s="119"/>
      <c r="F256" s="119"/>
      <c r="G256" s="119"/>
      <c r="H256" s="119"/>
      <c r="I256" s="119"/>
      <c r="J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J256" s="84"/>
    </row>
    <row r="257" spans="3:36" s="118" customFormat="1" ht="14.25" hidden="1">
      <c r="C257" s="119"/>
      <c r="D257" s="119"/>
      <c r="E257" s="119"/>
      <c r="F257" s="119"/>
      <c r="G257" s="119"/>
      <c r="H257" s="119"/>
      <c r="I257" s="119"/>
      <c r="J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J257" s="84"/>
    </row>
    <row r="258" spans="3:36" s="118" customFormat="1" ht="14.25" hidden="1">
      <c r="C258" s="119"/>
      <c r="D258" s="119"/>
      <c r="E258" s="119"/>
      <c r="F258" s="119"/>
      <c r="G258" s="119"/>
      <c r="H258" s="119"/>
      <c r="I258" s="119"/>
      <c r="J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J258" s="84"/>
    </row>
    <row r="259" spans="3:36" s="118" customFormat="1" ht="14.25" hidden="1">
      <c r="C259" s="119"/>
      <c r="D259" s="119"/>
      <c r="E259" s="119"/>
      <c r="F259" s="119"/>
      <c r="G259" s="119"/>
      <c r="H259" s="119"/>
      <c r="I259" s="119"/>
      <c r="J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J259" s="84"/>
    </row>
    <row r="260" spans="3:36" s="118" customFormat="1" ht="14.25" hidden="1">
      <c r="C260" s="119"/>
      <c r="D260" s="119"/>
      <c r="E260" s="119"/>
      <c r="F260" s="119"/>
      <c r="G260" s="119"/>
      <c r="H260" s="119"/>
      <c r="I260" s="119"/>
      <c r="J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J260" s="84"/>
    </row>
    <row r="261" spans="3:36" s="118" customFormat="1" ht="14.25" hidden="1">
      <c r="C261" s="119"/>
      <c r="D261" s="119"/>
      <c r="E261" s="119"/>
      <c r="F261" s="119"/>
      <c r="G261" s="119"/>
      <c r="H261" s="119"/>
      <c r="I261" s="119"/>
      <c r="J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J261" s="84"/>
    </row>
    <row r="262" spans="3:36" s="118" customFormat="1" ht="14.25" hidden="1">
      <c r="C262" s="119"/>
      <c r="D262" s="119"/>
      <c r="E262" s="119"/>
      <c r="F262" s="119"/>
      <c r="G262" s="119"/>
      <c r="H262" s="119"/>
      <c r="I262" s="119"/>
      <c r="J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J262" s="84"/>
    </row>
    <row r="263" spans="3:36" s="118" customFormat="1" ht="14.25" hidden="1">
      <c r="C263" s="119"/>
      <c r="D263" s="119"/>
      <c r="E263" s="119"/>
      <c r="F263" s="119"/>
      <c r="G263" s="119"/>
      <c r="H263" s="119"/>
      <c r="I263" s="119"/>
      <c r="J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J263" s="84"/>
    </row>
    <row r="264" spans="3:36" s="118" customFormat="1" ht="14.25" hidden="1">
      <c r="C264" s="119"/>
      <c r="D264" s="119"/>
      <c r="E264" s="119"/>
      <c r="F264" s="119"/>
      <c r="G264" s="119"/>
      <c r="H264" s="119"/>
      <c r="I264" s="119"/>
      <c r="J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J264" s="84"/>
    </row>
    <row r="265" spans="3:36" s="118" customFormat="1" ht="14.25" hidden="1">
      <c r="C265" s="119"/>
      <c r="D265" s="119"/>
      <c r="E265" s="119"/>
      <c r="F265" s="119"/>
      <c r="G265" s="119"/>
      <c r="H265" s="119"/>
      <c r="I265" s="119"/>
      <c r="J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J265" s="84"/>
    </row>
    <row r="266" spans="3:36" s="118" customFormat="1" ht="14.25" hidden="1">
      <c r="C266" s="119"/>
      <c r="D266" s="119"/>
      <c r="E266" s="119"/>
      <c r="F266" s="119"/>
      <c r="G266" s="119"/>
      <c r="H266" s="119"/>
      <c r="I266" s="119"/>
      <c r="J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J266" s="84"/>
    </row>
    <row r="267" spans="3:36" s="118" customFormat="1" ht="14.25" hidden="1">
      <c r="C267" s="119"/>
      <c r="D267" s="119"/>
      <c r="E267" s="119"/>
      <c r="F267" s="119"/>
      <c r="G267" s="119"/>
      <c r="H267" s="119"/>
      <c r="I267" s="119"/>
      <c r="J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J267" s="84"/>
    </row>
    <row r="268" spans="3:36" s="118" customFormat="1" ht="14.25" hidden="1">
      <c r="C268" s="119"/>
      <c r="D268" s="119"/>
      <c r="E268" s="119"/>
      <c r="F268" s="119"/>
      <c r="G268" s="119"/>
      <c r="H268" s="119"/>
      <c r="I268" s="119"/>
      <c r="J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J268" s="84"/>
    </row>
    <row r="269" spans="3:36" s="118" customFormat="1" ht="14.25" hidden="1">
      <c r="C269" s="119"/>
      <c r="D269" s="119"/>
      <c r="E269" s="119"/>
      <c r="F269" s="119"/>
      <c r="G269" s="119"/>
      <c r="H269" s="119"/>
      <c r="I269" s="119"/>
      <c r="J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J269" s="84"/>
    </row>
    <row r="270" spans="3:36" s="118" customFormat="1" ht="14.25" hidden="1">
      <c r="C270" s="119"/>
      <c r="D270" s="119"/>
      <c r="E270" s="119"/>
      <c r="F270" s="119"/>
      <c r="G270" s="119"/>
      <c r="H270" s="119"/>
      <c r="I270" s="119"/>
      <c r="J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J270" s="84"/>
    </row>
    <row r="271" spans="3:36" s="118" customFormat="1" ht="14.25" hidden="1">
      <c r="C271" s="119"/>
      <c r="D271" s="119"/>
      <c r="E271" s="119"/>
      <c r="F271" s="119"/>
      <c r="G271" s="119"/>
      <c r="H271" s="119"/>
      <c r="I271" s="119"/>
      <c r="J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J271" s="84"/>
    </row>
    <row r="272" spans="3:36" s="118" customFormat="1" ht="14.25" hidden="1">
      <c r="C272" s="119"/>
      <c r="D272" s="119"/>
      <c r="E272" s="119"/>
      <c r="F272" s="119"/>
      <c r="G272" s="119"/>
      <c r="H272" s="119"/>
      <c r="I272" s="119"/>
      <c r="J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J272" s="84"/>
    </row>
    <row r="273" spans="3:36" s="118" customFormat="1" ht="14.25" hidden="1">
      <c r="C273" s="119"/>
      <c r="D273" s="119"/>
      <c r="E273" s="119"/>
      <c r="F273" s="119"/>
      <c r="G273" s="119"/>
      <c r="H273" s="119"/>
      <c r="I273" s="119"/>
      <c r="J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J273" s="84"/>
    </row>
    <row r="274" spans="3:36" s="118" customFormat="1" ht="14.25" hidden="1">
      <c r="C274" s="119"/>
      <c r="D274" s="119"/>
      <c r="E274" s="119"/>
      <c r="F274" s="119"/>
      <c r="G274" s="119"/>
      <c r="H274" s="119"/>
      <c r="I274" s="119"/>
      <c r="J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J274" s="84"/>
    </row>
    <row r="275" spans="3:36" s="118" customFormat="1" ht="14.25" hidden="1">
      <c r="C275" s="119"/>
      <c r="D275" s="120"/>
      <c r="E275" s="120"/>
      <c r="F275" s="120"/>
      <c r="G275" s="120"/>
      <c r="H275" s="120"/>
      <c r="I275" s="120"/>
      <c r="J275" s="120"/>
      <c r="K275" s="84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J275" s="84"/>
    </row>
    <row r="276" spans="3:36" s="118" customFormat="1" ht="14.25" hidden="1">
      <c r="C276" s="119"/>
      <c r="D276" s="120"/>
      <c r="E276" s="120"/>
      <c r="F276" s="120"/>
      <c r="G276" s="120"/>
      <c r="H276" s="120"/>
      <c r="I276" s="120"/>
      <c r="J276" s="120"/>
      <c r="K276" s="84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J276" s="84"/>
    </row>
    <row r="277" spans="3:36" s="118" customFormat="1" ht="14.25" hidden="1">
      <c r="C277" s="119"/>
      <c r="D277" s="120"/>
      <c r="E277" s="120"/>
      <c r="F277" s="120"/>
      <c r="G277" s="120"/>
      <c r="H277" s="120"/>
      <c r="I277" s="120"/>
      <c r="J277" s="120"/>
      <c r="K277" s="84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J277" s="84"/>
    </row>
    <row r="278" spans="3:36" s="118" customFormat="1" ht="14.25" hidden="1">
      <c r="C278" s="119"/>
      <c r="D278" s="120"/>
      <c r="E278" s="120"/>
      <c r="F278" s="120"/>
      <c r="G278" s="120"/>
      <c r="H278" s="120"/>
      <c r="I278" s="120"/>
      <c r="J278" s="120"/>
      <c r="K278" s="84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J278" s="84"/>
    </row>
    <row r="279" spans="3:36" s="118" customFormat="1" ht="14.25" hidden="1">
      <c r="C279" s="119"/>
      <c r="D279" s="120"/>
      <c r="E279" s="120"/>
      <c r="F279" s="120"/>
      <c r="G279" s="120"/>
      <c r="H279" s="120"/>
      <c r="I279" s="120"/>
      <c r="J279" s="120"/>
      <c r="K279" s="84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J279" s="84"/>
    </row>
    <row r="280" spans="3:36" s="118" customFormat="1" ht="14.25" hidden="1">
      <c r="C280" s="119"/>
      <c r="D280" s="120"/>
      <c r="E280" s="120"/>
      <c r="F280" s="120"/>
      <c r="G280" s="120"/>
      <c r="H280" s="120"/>
      <c r="I280" s="120"/>
      <c r="J280" s="120"/>
      <c r="K280" s="84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J280" s="84"/>
    </row>
    <row r="281" spans="3:36" s="118" customFormat="1" ht="14.25" hidden="1">
      <c r="C281" s="119"/>
      <c r="D281" s="120"/>
      <c r="E281" s="120"/>
      <c r="F281" s="120"/>
      <c r="G281" s="120"/>
      <c r="H281" s="120"/>
      <c r="I281" s="120"/>
      <c r="J281" s="120"/>
      <c r="K281" s="84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J281" s="84"/>
    </row>
    <row r="282" spans="3:36" s="118" customFormat="1" ht="14.25" hidden="1">
      <c r="C282" s="119"/>
      <c r="D282" s="120"/>
      <c r="E282" s="120"/>
      <c r="F282" s="120"/>
      <c r="G282" s="120"/>
      <c r="H282" s="120"/>
      <c r="I282" s="120"/>
      <c r="J282" s="120"/>
      <c r="K282" s="84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J282" s="84"/>
    </row>
    <row r="283" spans="3:36" s="118" customFormat="1" ht="14.25" hidden="1">
      <c r="C283" s="119"/>
      <c r="D283" s="120"/>
      <c r="E283" s="120"/>
      <c r="F283" s="120"/>
      <c r="G283" s="120"/>
      <c r="H283" s="120"/>
      <c r="I283" s="120"/>
      <c r="J283" s="120"/>
      <c r="K283" s="84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J283" s="84"/>
    </row>
    <row r="284" spans="3:36" s="118" customFormat="1" ht="14.25" hidden="1">
      <c r="C284" s="119"/>
      <c r="D284" s="120"/>
      <c r="E284" s="120"/>
      <c r="F284" s="120"/>
      <c r="G284" s="120"/>
      <c r="H284" s="120"/>
      <c r="I284" s="120"/>
      <c r="J284" s="120"/>
      <c r="K284" s="84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J284" s="84"/>
    </row>
    <row r="285" spans="3:36" s="118" customFormat="1" ht="14.25" hidden="1">
      <c r="C285" s="119"/>
      <c r="D285" s="120"/>
      <c r="E285" s="120"/>
      <c r="F285" s="120"/>
      <c r="G285" s="120"/>
      <c r="H285" s="120"/>
      <c r="I285" s="120"/>
      <c r="J285" s="120"/>
      <c r="K285" s="84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J285" s="84"/>
    </row>
    <row r="286" spans="3:36" s="118" customFormat="1" ht="14.25" hidden="1">
      <c r="C286" s="119"/>
      <c r="D286" s="120"/>
      <c r="E286" s="120"/>
      <c r="F286" s="120"/>
      <c r="G286" s="120"/>
      <c r="H286" s="120"/>
      <c r="I286" s="120"/>
      <c r="J286" s="120"/>
      <c r="K286" s="84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J286" s="84"/>
    </row>
    <row r="287" spans="3:36" s="118" customFormat="1" ht="14.25" hidden="1">
      <c r="C287" s="119"/>
      <c r="D287" s="120"/>
      <c r="E287" s="120"/>
      <c r="F287" s="120"/>
      <c r="G287" s="120"/>
      <c r="H287" s="120"/>
      <c r="I287" s="120"/>
      <c r="J287" s="120"/>
      <c r="K287" s="84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J287" s="84"/>
    </row>
    <row r="288" spans="3:36" s="118" customFormat="1" ht="14.25" hidden="1">
      <c r="C288" s="119"/>
      <c r="D288" s="120"/>
      <c r="E288" s="120"/>
      <c r="F288" s="120"/>
      <c r="G288" s="120"/>
      <c r="H288" s="120"/>
      <c r="I288" s="120"/>
      <c r="J288" s="120"/>
      <c r="K288" s="84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J288" s="84"/>
    </row>
    <row r="289" spans="3:36" s="118" customFormat="1" ht="14.25" hidden="1">
      <c r="C289" s="119"/>
      <c r="D289" s="120"/>
      <c r="E289" s="120"/>
      <c r="F289" s="120"/>
      <c r="G289" s="120"/>
      <c r="H289" s="120"/>
      <c r="I289" s="120"/>
      <c r="J289" s="120"/>
      <c r="K289" s="84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J289" s="84"/>
    </row>
    <row r="290" spans="3:36" s="118" customFormat="1" ht="14.25" hidden="1">
      <c r="C290" s="119"/>
      <c r="D290" s="120"/>
      <c r="E290" s="120"/>
      <c r="F290" s="120"/>
      <c r="G290" s="120"/>
      <c r="H290" s="120"/>
      <c r="I290" s="120"/>
      <c r="J290" s="120"/>
      <c r="K290" s="84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J290" s="84"/>
    </row>
    <row r="291" spans="3:36" s="118" customFormat="1" ht="14.25" hidden="1">
      <c r="C291" s="119"/>
      <c r="D291" s="120"/>
      <c r="E291" s="120"/>
      <c r="F291" s="120"/>
      <c r="G291" s="120"/>
      <c r="H291" s="120"/>
      <c r="I291" s="120"/>
      <c r="J291" s="120"/>
      <c r="K291" s="84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J291" s="84"/>
    </row>
    <row r="292" spans="3:36" s="118" customFormat="1" ht="14.25" hidden="1">
      <c r="C292" s="119"/>
      <c r="D292" s="120"/>
      <c r="E292" s="120"/>
      <c r="F292" s="120"/>
      <c r="G292" s="120"/>
      <c r="H292" s="120"/>
      <c r="I292" s="120"/>
      <c r="J292" s="120"/>
      <c r="K292" s="84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J292" s="84"/>
    </row>
    <row r="293" spans="3:36" ht="14.25"/>
    <row r="294" spans="3:36" ht="14.25"/>
    <row r="295" spans="3:36" ht="14.25"/>
    <row r="296" spans="3:36" ht="14.25"/>
    <row r="297" spans="3:36" ht="14.25"/>
    <row r="298" spans="3:36" ht="14.25"/>
    <row r="299" spans="3:36" ht="14.25" customHeight="1"/>
    <row r="300" spans="3:36" ht="14.25" customHeight="1"/>
    <row r="301" spans="3:36" ht="14.25" customHeight="1"/>
    <row r="302" spans="3:36" ht="14.25" customHeight="1"/>
    <row r="303" spans="3:36" ht="14.25" customHeight="1"/>
    <row r="304" spans="3:36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</sheetData>
  <mergeCells count="10">
    <mergeCell ref="A2:D2"/>
    <mergeCell ref="B4:AH4"/>
    <mergeCell ref="B5:AH5"/>
    <mergeCell ref="A73:D73"/>
    <mergeCell ref="C35:C36"/>
    <mergeCell ref="D36:AF36"/>
    <mergeCell ref="C72:AG72"/>
    <mergeCell ref="J8:AF8"/>
    <mergeCell ref="B9:C9"/>
    <mergeCell ref="B10:C10"/>
  </mergeCells>
  <phoneticPr fontId="11" type="noConversion"/>
  <conditionalFormatting sqref="D11:AH34">
    <cfRule type="cellIs" dxfId="9" priority="1" stopIfTrue="1" operator="lessThan">
      <formula>0</formula>
    </cfRule>
  </conditionalFormatting>
  <conditionalFormatting sqref="J8:AF8">
    <cfRule type="expression" dxfId="8" priority="4" stopIfTrue="1">
      <formula>+MIN($D$11:$AF$34)&lt;0</formula>
    </cfRule>
  </conditionalFormatting>
  <conditionalFormatting sqref="AG101">
    <cfRule type="cellIs" dxfId="7" priority="3" stopIfTrue="1" operator="equal">
      <formula>$AG$108</formula>
    </cfRule>
  </conditionalFormatting>
  <printOptions horizontalCentered="1"/>
  <pageMargins left="0" right="0" top="0" bottom="0" header="0" footer="0"/>
  <pageSetup scale="7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indexed="42"/>
    <pageSetUpPr fitToPage="1"/>
  </sheetPr>
  <dimension ref="A1:EB161"/>
  <sheetViews>
    <sheetView zoomScale="70" zoomScaleNormal="70" workbookViewId="0"/>
  </sheetViews>
  <sheetFormatPr baseColWidth="10" defaultColWidth="11.42578125" defaultRowHeight="12.75"/>
  <cols>
    <col min="1" max="1" width="5.42578125" customWidth="1"/>
    <col min="2" max="2" width="5.5703125" customWidth="1"/>
    <col min="3" max="3" width="9.5703125" customWidth="1"/>
    <col min="4" max="4" width="8.85546875" customWidth="1"/>
    <col min="5" max="49" width="9.140625" customWidth="1"/>
    <col min="50" max="51" width="14.7109375" customWidth="1"/>
    <col min="52" max="53" width="9.5703125" customWidth="1"/>
    <col min="54" max="98" width="9.28515625" customWidth="1"/>
    <col min="99" max="99" width="14.85546875" customWidth="1"/>
  </cols>
  <sheetData>
    <row r="1" spans="1:132" ht="14.25">
      <c r="A1" s="82"/>
      <c r="B1" s="82"/>
      <c r="C1" s="83"/>
      <c r="D1" s="83"/>
      <c r="E1" s="121"/>
      <c r="F1" s="121">
        <v>37.106299999999997</v>
      </c>
      <c r="G1" s="121">
        <v>8.9</v>
      </c>
      <c r="H1" s="121">
        <v>11008.2</v>
      </c>
      <c r="I1" s="121"/>
      <c r="J1" s="121"/>
      <c r="K1" s="121"/>
      <c r="L1" s="121"/>
      <c r="M1" s="121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49">
        <v>31.390999999999998</v>
      </c>
      <c r="AF1" s="349">
        <v>8.9</v>
      </c>
      <c r="AG1" s="350">
        <v>9012.25</v>
      </c>
      <c r="AH1" s="350"/>
      <c r="AI1" s="350"/>
      <c r="AJ1" s="350"/>
      <c r="AK1" s="350"/>
      <c r="AL1" s="350"/>
      <c r="AM1" s="350"/>
      <c r="AN1" s="350"/>
      <c r="AO1" s="350"/>
      <c r="AP1" s="350"/>
      <c r="AQ1" s="350"/>
      <c r="AR1" s="350"/>
      <c r="AS1" s="350"/>
      <c r="AT1" s="350"/>
      <c r="AU1" s="350"/>
      <c r="AV1" s="350"/>
      <c r="AW1" s="350"/>
      <c r="AX1" s="350"/>
      <c r="AY1" s="350"/>
      <c r="AZ1" s="350"/>
      <c r="BA1" s="350"/>
      <c r="BB1" s="350"/>
      <c r="BC1" s="350"/>
      <c r="BD1" s="350"/>
      <c r="BE1" s="350"/>
      <c r="BF1" s="350"/>
      <c r="BG1" s="350"/>
      <c r="BH1" s="350"/>
      <c r="BI1" s="350"/>
      <c r="BJ1" s="350"/>
      <c r="BK1" s="350"/>
      <c r="BL1" s="350"/>
      <c r="BM1" s="350"/>
      <c r="BN1" s="350"/>
      <c r="BO1" s="350"/>
      <c r="BP1" s="350"/>
      <c r="BQ1" s="350"/>
      <c r="BR1" s="350"/>
      <c r="BS1" s="350"/>
      <c r="BT1" s="350"/>
      <c r="BU1" s="350"/>
      <c r="BV1" s="350"/>
      <c r="BW1" s="350"/>
      <c r="BX1" s="350"/>
      <c r="BY1" s="350"/>
      <c r="BZ1" s="350"/>
      <c r="CA1" s="350"/>
      <c r="CB1" s="350"/>
      <c r="CC1" s="350"/>
      <c r="CD1" s="350"/>
      <c r="CE1" s="350"/>
      <c r="CF1" s="350"/>
      <c r="CG1" s="350"/>
      <c r="CH1" s="350"/>
      <c r="CI1" s="350"/>
      <c r="CJ1" s="350"/>
      <c r="CK1" s="350"/>
      <c r="CL1" s="350"/>
      <c r="CM1" s="350"/>
      <c r="CN1" s="350"/>
      <c r="CO1" s="350"/>
      <c r="CP1" s="350"/>
      <c r="CQ1" s="350"/>
      <c r="CR1" s="350"/>
      <c r="CS1" s="350"/>
      <c r="CT1" s="350"/>
      <c r="CU1" s="350"/>
      <c r="CV1" s="350"/>
      <c r="CW1" s="350"/>
      <c r="CX1" s="350"/>
      <c r="CY1" s="350"/>
      <c r="CZ1" s="350"/>
      <c r="DA1" s="350"/>
      <c r="DB1" s="350"/>
      <c r="DC1" s="350"/>
      <c r="DD1" s="350"/>
      <c r="DE1" s="350"/>
      <c r="DF1" s="350"/>
      <c r="DG1" s="350"/>
      <c r="DH1" s="350"/>
      <c r="DI1" s="350"/>
      <c r="DJ1" s="350"/>
      <c r="DK1" s="350"/>
      <c r="DL1" s="350"/>
      <c r="DM1" s="350"/>
      <c r="DN1" s="350"/>
      <c r="DO1" s="350"/>
      <c r="DP1" s="350"/>
      <c r="DQ1" s="269"/>
      <c r="DR1" s="269"/>
      <c r="DS1" s="269"/>
      <c r="DT1" s="269"/>
      <c r="DU1" s="269"/>
      <c r="DV1" s="269"/>
      <c r="DW1" s="269"/>
      <c r="DX1" s="269"/>
      <c r="DY1" s="269"/>
      <c r="DZ1" s="269"/>
      <c r="EA1" s="269"/>
      <c r="EB1" s="269"/>
    </row>
    <row r="2" spans="1:132" ht="14.25">
      <c r="A2" s="82"/>
      <c r="B2" s="82"/>
      <c r="C2" s="83"/>
      <c r="D2" s="83"/>
      <c r="E2" s="121"/>
      <c r="F2" s="121">
        <v>5.6676000000000002</v>
      </c>
      <c r="G2" s="121">
        <v>8.9</v>
      </c>
      <c r="H2" s="121">
        <v>1681.39</v>
      </c>
      <c r="I2" s="121"/>
      <c r="J2" s="121"/>
      <c r="K2" s="121"/>
      <c r="L2" s="121"/>
      <c r="M2" s="121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349">
        <v>32.320999999999998</v>
      </c>
      <c r="AF2" s="349">
        <v>8.9</v>
      </c>
      <c r="AG2" s="350">
        <v>9279.25</v>
      </c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 s="350"/>
      <c r="BF2" s="350"/>
      <c r="BG2" s="350"/>
      <c r="BH2" s="350"/>
      <c r="BI2" s="350"/>
      <c r="BJ2" s="350"/>
      <c r="BK2" s="350"/>
      <c r="BL2" s="350"/>
      <c r="BM2" s="350"/>
      <c r="BN2" s="350"/>
      <c r="BO2" s="350"/>
      <c r="BP2" s="350"/>
      <c r="BQ2" s="350"/>
      <c r="BR2" s="350"/>
      <c r="BS2" s="350"/>
      <c r="BT2" s="350"/>
      <c r="BU2" s="350"/>
      <c r="BV2" s="350"/>
      <c r="BW2" s="350"/>
      <c r="BX2" s="350"/>
      <c r="BY2" s="350"/>
      <c r="BZ2" s="350"/>
      <c r="CA2" s="350"/>
      <c r="CB2" s="350"/>
      <c r="CC2" s="350"/>
      <c r="CD2" s="350"/>
      <c r="CE2" s="350"/>
      <c r="CF2" s="350"/>
      <c r="CG2" s="350"/>
      <c r="CH2" s="350"/>
      <c r="CI2" s="350"/>
      <c r="CJ2" s="350"/>
      <c r="CK2" s="350"/>
      <c r="CL2" s="350"/>
      <c r="CM2" s="350"/>
      <c r="CN2" s="350"/>
      <c r="CO2" s="350"/>
      <c r="CP2" s="350"/>
      <c r="CQ2" s="350"/>
      <c r="CR2" s="350"/>
      <c r="CS2" s="350"/>
      <c r="CT2" s="350"/>
      <c r="CU2" s="350"/>
      <c r="CV2" s="350"/>
      <c r="CW2" s="350"/>
      <c r="CX2" s="350"/>
      <c r="CY2" s="350"/>
      <c r="CZ2" s="350"/>
      <c r="DA2" s="350"/>
      <c r="DB2" s="350"/>
      <c r="DC2" s="350"/>
      <c r="DD2" s="350"/>
      <c r="DE2" s="350"/>
      <c r="DF2" s="350"/>
      <c r="DG2" s="350"/>
      <c r="DH2" s="350"/>
      <c r="DI2" s="350"/>
      <c r="DJ2" s="350"/>
      <c r="DK2" s="350"/>
      <c r="DL2" s="350"/>
      <c r="DM2" s="350"/>
      <c r="DN2" s="350"/>
      <c r="DO2" s="350"/>
      <c r="DP2" s="350"/>
      <c r="DQ2" s="269"/>
      <c r="DR2" s="269"/>
      <c r="DS2" s="269"/>
      <c r="DT2" s="269"/>
      <c r="DU2" s="269"/>
      <c r="DV2" s="269"/>
      <c r="DW2" s="269"/>
      <c r="DX2" s="269"/>
      <c r="DY2" s="269"/>
      <c r="DZ2" s="269"/>
      <c r="EA2" s="269"/>
      <c r="EB2" s="269"/>
    </row>
    <row r="3" spans="1:132" ht="15">
      <c r="A3" s="508"/>
      <c r="B3" s="508"/>
      <c r="C3" s="508"/>
      <c r="D3" s="508"/>
      <c r="E3" s="122"/>
      <c r="F3" s="122">
        <v>5.5627000000000004</v>
      </c>
      <c r="G3" s="122">
        <v>8.9</v>
      </c>
      <c r="H3" s="121">
        <v>1650.27</v>
      </c>
      <c r="I3" s="122"/>
      <c r="J3" s="122"/>
      <c r="K3" s="122"/>
      <c r="L3" s="122"/>
      <c r="M3" s="122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348"/>
      <c r="AE3" s="351">
        <v>15.9819</v>
      </c>
      <c r="AF3" s="351">
        <v>8.9</v>
      </c>
      <c r="AG3" s="350">
        <v>4588.3500000000004</v>
      </c>
      <c r="AH3" s="350"/>
      <c r="AI3" s="350"/>
      <c r="AJ3" s="350"/>
      <c r="AK3" s="350"/>
      <c r="AL3" s="350"/>
      <c r="AM3" s="350"/>
      <c r="AN3" s="350"/>
      <c r="AO3" s="350"/>
      <c r="AP3" s="350"/>
      <c r="AQ3" s="350"/>
      <c r="AR3" s="350"/>
      <c r="AS3" s="350"/>
      <c r="AT3" s="350"/>
      <c r="AU3" s="350"/>
      <c r="AV3" s="350"/>
      <c r="AW3" s="350"/>
      <c r="AX3" s="350"/>
      <c r="AY3" s="350"/>
      <c r="AZ3" s="350"/>
      <c r="BA3" s="350"/>
      <c r="BB3" s="350"/>
      <c r="BC3" s="350"/>
      <c r="BD3" s="350"/>
      <c r="BE3" s="350"/>
      <c r="BF3" s="350"/>
      <c r="BG3" s="350"/>
      <c r="BH3" s="350"/>
      <c r="BI3" s="350"/>
      <c r="BJ3" s="350"/>
      <c r="BK3" s="350"/>
      <c r="BL3" s="350"/>
      <c r="BM3" s="350"/>
      <c r="BN3" s="350"/>
      <c r="BO3" s="350"/>
      <c r="BP3" s="350"/>
      <c r="BQ3" s="350"/>
      <c r="BR3" s="350"/>
      <c r="BS3" s="350"/>
      <c r="BT3" s="350"/>
      <c r="BU3" s="350"/>
      <c r="BV3" s="350"/>
      <c r="BW3" s="350"/>
      <c r="BX3" s="350"/>
      <c r="BY3" s="350"/>
      <c r="BZ3" s="350"/>
      <c r="CA3" s="350"/>
      <c r="CB3" s="350"/>
      <c r="CC3" s="350"/>
      <c r="CD3" s="350"/>
      <c r="CE3" s="350"/>
      <c r="CF3" s="350"/>
      <c r="CG3" s="350"/>
      <c r="CH3" s="350"/>
      <c r="CI3" s="350"/>
      <c r="CJ3" s="350"/>
      <c r="CK3" s="350"/>
      <c r="CL3" s="350"/>
      <c r="CM3" s="350"/>
      <c r="CN3" s="350"/>
      <c r="CO3" s="350"/>
      <c r="CP3" s="350"/>
      <c r="CQ3" s="350"/>
      <c r="CR3" s="350"/>
      <c r="CS3" s="350"/>
      <c r="CT3" s="350"/>
      <c r="CU3" s="350"/>
      <c r="CV3" s="350"/>
      <c r="CW3" s="350"/>
      <c r="CX3" s="350"/>
      <c r="CY3" s="350"/>
      <c r="CZ3" s="350"/>
      <c r="DA3" s="350"/>
      <c r="DB3" s="350"/>
      <c r="DC3" s="350"/>
      <c r="DD3" s="350"/>
      <c r="DE3" s="350"/>
      <c r="DF3" s="350"/>
      <c r="DG3" s="350"/>
      <c r="DH3" s="350"/>
      <c r="DI3" s="350"/>
      <c r="DJ3" s="350"/>
      <c r="DK3" s="350"/>
      <c r="DL3" s="350"/>
      <c r="DM3" s="350"/>
      <c r="DN3" s="350"/>
      <c r="DO3" s="350"/>
      <c r="DP3" s="350"/>
      <c r="DQ3" s="269"/>
      <c r="DR3" s="269"/>
      <c r="DS3" s="269"/>
      <c r="DT3" s="269"/>
      <c r="DU3" s="269"/>
      <c r="DV3" s="269"/>
      <c r="DW3" s="269"/>
      <c r="DX3" s="269"/>
      <c r="DY3" s="269"/>
      <c r="DZ3" s="269"/>
      <c r="EA3" s="269"/>
      <c r="EB3" s="269"/>
    </row>
    <row r="4" spans="1:132" ht="15">
      <c r="A4" s="85"/>
      <c r="B4" s="85"/>
      <c r="C4" s="85"/>
      <c r="D4" s="85"/>
      <c r="E4" s="122"/>
      <c r="F4" s="122">
        <v>5.6332000000000004</v>
      </c>
      <c r="G4" s="122">
        <v>8.9</v>
      </c>
      <c r="H4" s="121">
        <v>1671.18</v>
      </c>
      <c r="I4" s="122"/>
      <c r="J4" s="122"/>
      <c r="K4" s="122"/>
      <c r="L4" s="122"/>
      <c r="M4" s="122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197"/>
      <c r="AE4" s="352"/>
      <c r="AF4" s="351">
        <v>0</v>
      </c>
      <c r="AG4" s="350"/>
      <c r="AH4" s="350"/>
      <c r="AI4" s="350"/>
      <c r="AJ4" s="350"/>
      <c r="AK4" s="350"/>
      <c r="AL4" s="350"/>
      <c r="AM4" s="350"/>
      <c r="AN4" s="350"/>
      <c r="AO4" s="350"/>
      <c r="AP4" s="350"/>
      <c r="AQ4" s="350"/>
      <c r="AR4" s="350"/>
      <c r="AS4" s="350"/>
      <c r="AT4" s="350"/>
      <c r="AU4" s="350"/>
      <c r="AV4" s="350"/>
      <c r="AW4" s="350"/>
      <c r="AX4" s="350"/>
      <c r="AY4" s="350"/>
      <c r="AZ4" s="350"/>
      <c r="BA4" s="350"/>
      <c r="BB4" s="350"/>
      <c r="BC4" s="350"/>
      <c r="BD4" s="350"/>
      <c r="BE4" s="350"/>
      <c r="BF4" s="350"/>
      <c r="BG4" s="350"/>
      <c r="BH4" s="350"/>
      <c r="BI4" s="350"/>
      <c r="BJ4" s="350"/>
      <c r="BK4" s="350"/>
      <c r="BL4" s="350"/>
      <c r="BM4" s="350"/>
      <c r="BN4" s="350"/>
      <c r="BO4" s="350"/>
      <c r="BP4" s="350"/>
      <c r="BQ4" s="350"/>
      <c r="BR4" s="350"/>
      <c r="BS4" s="350"/>
      <c r="BT4" s="350"/>
      <c r="BU4" s="350"/>
      <c r="BV4" s="350"/>
      <c r="BW4" s="350"/>
      <c r="BX4" s="350"/>
      <c r="BY4" s="350"/>
      <c r="BZ4" s="350"/>
      <c r="CA4" s="350"/>
      <c r="CB4" s="350"/>
      <c r="CC4" s="350"/>
      <c r="CD4" s="350"/>
      <c r="CE4" s="350"/>
      <c r="CF4" s="350"/>
      <c r="CG4" s="350"/>
      <c r="CH4" s="350"/>
      <c r="CI4" s="350"/>
      <c r="CJ4" s="350"/>
      <c r="CK4" s="350"/>
      <c r="CL4" s="350"/>
      <c r="CM4" s="350"/>
      <c r="CN4" s="350"/>
      <c r="CO4" s="350"/>
      <c r="CP4" s="350"/>
      <c r="CQ4" s="350"/>
      <c r="CR4" s="350"/>
      <c r="CS4" s="350"/>
      <c r="CT4" s="350"/>
      <c r="CU4" s="350"/>
      <c r="CV4" s="350"/>
      <c r="CW4" s="350"/>
      <c r="CX4" s="350"/>
      <c r="CY4" s="350"/>
      <c r="CZ4" s="350"/>
      <c r="DA4" s="350"/>
      <c r="DB4" s="350"/>
      <c r="DC4" s="350"/>
      <c r="DD4" s="350"/>
      <c r="DE4" s="350"/>
      <c r="DF4" s="350"/>
      <c r="DG4" s="350"/>
      <c r="DH4" s="350"/>
      <c r="DI4" s="350"/>
      <c r="DJ4" s="350"/>
      <c r="DK4" s="350"/>
      <c r="DL4" s="350"/>
      <c r="DM4" s="350"/>
      <c r="DN4" s="350"/>
      <c r="DO4" s="350"/>
      <c r="DP4" s="350"/>
      <c r="DQ4" s="269"/>
      <c r="DR4" s="269"/>
      <c r="DS4" s="269"/>
      <c r="DT4" s="269"/>
      <c r="DU4" s="269"/>
      <c r="DV4" s="269"/>
      <c r="DW4" s="269"/>
      <c r="DX4" s="269"/>
      <c r="DY4" s="269"/>
      <c r="DZ4" s="269"/>
      <c r="EA4" s="269"/>
      <c r="EB4" s="269"/>
    </row>
    <row r="5" spans="1:132" ht="15">
      <c r="A5" s="85"/>
      <c r="B5" s="85"/>
      <c r="C5" s="85"/>
      <c r="D5" s="85"/>
      <c r="E5" s="122"/>
      <c r="F5" s="122">
        <v>5.6750999999999996</v>
      </c>
      <c r="G5" s="122">
        <v>8.9</v>
      </c>
      <c r="H5" s="121">
        <v>1683.61</v>
      </c>
      <c r="I5" s="122"/>
      <c r="J5" s="122"/>
      <c r="K5" s="122"/>
      <c r="L5" s="122"/>
      <c r="M5" s="122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197"/>
      <c r="AE5" s="352"/>
      <c r="AF5" s="351">
        <v>0</v>
      </c>
      <c r="AG5" s="350"/>
      <c r="AH5" s="350"/>
      <c r="AI5" s="350"/>
      <c r="AJ5" s="350"/>
      <c r="AK5" s="350"/>
      <c r="AL5" s="350"/>
      <c r="AM5" s="350"/>
      <c r="AN5" s="350"/>
      <c r="AO5" s="350"/>
      <c r="AP5" s="350"/>
      <c r="AQ5" s="350"/>
      <c r="AR5" s="350"/>
      <c r="AS5" s="350"/>
      <c r="AT5" s="350"/>
      <c r="AU5" s="350"/>
      <c r="AV5" s="350"/>
      <c r="AW5" s="350"/>
      <c r="AX5" s="350"/>
      <c r="AY5" s="350"/>
      <c r="AZ5" s="350"/>
      <c r="BA5" s="350"/>
      <c r="BB5" s="350"/>
      <c r="BC5" s="350"/>
      <c r="BD5" s="350"/>
      <c r="BE5" s="350"/>
      <c r="BF5" s="350"/>
      <c r="BG5" s="350"/>
      <c r="BH5" s="350"/>
      <c r="BI5" s="350"/>
      <c r="BJ5" s="350"/>
      <c r="BK5" s="350"/>
      <c r="BL5" s="350"/>
      <c r="BM5" s="350"/>
      <c r="BN5" s="350"/>
      <c r="BO5" s="350"/>
      <c r="BP5" s="350"/>
      <c r="BQ5" s="350"/>
      <c r="BR5" s="350"/>
      <c r="BS5" s="350"/>
      <c r="BT5" s="350"/>
      <c r="BU5" s="350"/>
      <c r="BV5" s="350"/>
      <c r="BW5" s="350"/>
      <c r="BX5" s="350"/>
      <c r="BY5" s="350"/>
      <c r="BZ5" s="350"/>
      <c r="CA5" s="350"/>
      <c r="CB5" s="350"/>
      <c r="CC5" s="350"/>
      <c r="CD5" s="350"/>
      <c r="CE5" s="350"/>
      <c r="CF5" s="350"/>
      <c r="CG5" s="350"/>
      <c r="CH5" s="350"/>
      <c r="CI5" s="350"/>
      <c r="CJ5" s="350"/>
      <c r="CK5" s="350"/>
      <c r="CL5" s="350"/>
      <c r="CM5" s="350"/>
      <c r="CN5" s="350"/>
      <c r="CO5" s="350"/>
      <c r="CP5" s="350"/>
      <c r="CQ5" s="350"/>
      <c r="CR5" s="350"/>
      <c r="CS5" s="350"/>
      <c r="CT5" s="350"/>
      <c r="CU5" s="350"/>
      <c r="CV5" s="350"/>
      <c r="CW5" s="350"/>
      <c r="CX5" s="350"/>
      <c r="CY5" s="350"/>
      <c r="CZ5" s="350"/>
      <c r="DA5" s="350"/>
      <c r="DB5" s="350"/>
      <c r="DC5" s="350"/>
      <c r="DD5" s="350"/>
      <c r="DE5" s="350"/>
      <c r="DF5" s="350"/>
      <c r="DG5" s="350"/>
      <c r="DH5" s="350"/>
      <c r="DI5" s="350"/>
      <c r="DJ5" s="350"/>
      <c r="DK5" s="350"/>
      <c r="DL5" s="350"/>
      <c r="DM5" s="350"/>
      <c r="DN5" s="350"/>
      <c r="DO5" s="350"/>
      <c r="DP5" s="350"/>
      <c r="DQ5" s="269"/>
      <c r="DR5" s="269"/>
      <c r="DS5" s="269"/>
      <c r="DT5" s="269"/>
      <c r="DU5" s="269"/>
      <c r="DV5" s="269"/>
      <c r="DW5" s="269"/>
      <c r="DX5" s="269"/>
      <c r="DY5" s="269"/>
      <c r="DZ5" s="269"/>
      <c r="EA5" s="269"/>
      <c r="EB5" s="269"/>
    </row>
    <row r="6" spans="1:132" ht="15" thickBot="1">
      <c r="A6" s="82"/>
      <c r="B6" s="82"/>
      <c r="C6" s="83"/>
      <c r="D6" s="83"/>
      <c r="E6" s="121"/>
      <c r="F6" s="121">
        <v>5.4698000000000002</v>
      </c>
      <c r="G6" s="121">
        <v>8.9</v>
      </c>
      <c r="H6" s="121">
        <v>1622.71</v>
      </c>
      <c r="I6" s="121"/>
      <c r="J6" s="121"/>
      <c r="K6" s="121"/>
      <c r="L6" s="121"/>
      <c r="M6" s="121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349"/>
      <c r="AF6" s="349">
        <v>0</v>
      </c>
      <c r="AG6" s="350"/>
      <c r="AH6" s="350"/>
      <c r="AI6" s="350"/>
      <c r="AJ6" s="350"/>
      <c r="AK6" s="350"/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/>
      <c r="AX6" s="350"/>
      <c r="AY6" s="350"/>
      <c r="AZ6" s="350"/>
      <c r="BA6" s="350"/>
      <c r="BB6" s="350"/>
      <c r="BC6" s="350"/>
      <c r="BD6" s="350"/>
      <c r="BE6" s="350"/>
      <c r="BF6" s="350"/>
      <c r="BG6" s="350"/>
      <c r="BH6" s="350"/>
      <c r="BI6" s="350"/>
      <c r="BJ6" s="350"/>
      <c r="BK6" s="350"/>
      <c r="BL6" s="350"/>
      <c r="BM6" s="350"/>
      <c r="BN6" s="350"/>
      <c r="BO6" s="350"/>
      <c r="BP6" s="350"/>
      <c r="BQ6" s="350"/>
      <c r="BR6" s="350"/>
      <c r="BS6" s="350"/>
      <c r="BT6" s="350"/>
      <c r="BU6" s="350"/>
      <c r="BV6" s="350"/>
      <c r="BW6" s="350"/>
      <c r="BX6" s="350"/>
      <c r="BY6" s="350"/>
      <c r="BZ6" s="350"/>
      <c r="CA6" s="350"/>
      <c r="CB6" s="350"/>
      <c r="CC6" s="350"/>
      <c r="CD6" s="350"/>
      <c r="CE6" s="350"/>
      <c r="CF6" s="350"/>
      <c r="CG6" s="350"/>
      <c r="CH6" s="350"/>
      <c r="CI6" s="350"/>
      <c r="CJ6" s="350"/>
      <c r="CK6" s="350"/>
      <c r="CL6" s="350"/>
      <c r="CM6" s="350"/>
      <c r="CN6" s="350"/>
      <c r="CO6" s="350"/>
      <c r="CP6" s="350"/>
      <c r="CQ6" s="350"/>
      <c r="CR6" s="350"/>
      <c r="CS6" s="350"/>
      <c r="CT6" s="350"/>
      <c r="CU6" s="350"/>
      <c r="CV6" s="350"/>
      <c r="CW6" s="350"/>
      <c r="CX6" s="350"/>
      <c r="CY6" s="350"/>
      <c r="CZ6" s="350"/>
      <c r="DA6" s="350"/>
      <c r="DB6" s="350"/>
      <c r="DC6" s="350"/>
      <c r="DD6" s="350"/>
      <c r="DE6" s="350"/>
      <c r="DF6" s="350"/>
      <c r="DG6" s="350"/>
      <c r="DH6" s="350"/>
      <c r="DI6" s="350"/>
      <c r="DJ6" s="350"/>
      <c r="DK6" s="350"/>
      <c r="DL6" s="350"/>
      <c r="DM6" s="350"/>
      <c r="DN6" s="350"/>
      <c r="DO6" s="350"/>
      <c r="DP6" s="350"/>
      <c r="DQ6" s="269"/>
      <c r="DR6" s="269"/>
      <c r="DS6" s="269"/>
      <c r="DT6" s="269"/>
      <c r="DU6" s="269"/>
      <c r="DV6" s="269"/>
      <c r="DW6" s="269"/>
      <c r="DX6" s="269"/>
      <c r="DY6" s="269"/>
      <c r="DZ6" s="269"/>
      <c r="EA6" s="269"/>
      <c r="EB6" s="269"/>
    </row>
    <row r="7" spans="1:132" ht="20.25">
      <c r="A7" s="82"/>
      <c r="B7" s="86"/>
      <c r="C7" s="559" t="s">
        <v>319</v>
      </c>
      <c r="D7" s="560"/>
      <c r="E7" s="560"/>
      <c r="F7" s="560"/>
      <c r="G7" s="560"/>
      <c r="H7" s="560"/>
      <c r="I7" s="560"/>
      <c r="J7" s="560"/>
      <c r="K7" s="560"/>
      <c r="L7" s="560"/>
      <c r="M7" s="560"/>
      <c r="N7" s="560"/>
      <c r="O7" s="560"/>
      <c r="P7" s="560"/>
      <c r="Q7" s="560"/>
      <c r="R7" s="560"/>
      <c r="S7" s="560"/>
      <c r="T7" s="560"/>
      <c r="U7" s="560"/>
      <c r="V7" s="560"/>
      <c r="W7" s="560"/>
      <c r="X7" s="560"/>
      <c r="Y7" s="560"/>
      <c r="Z7" s="560"/>
      <c r="AA7" s="560"/>
      <c r="AB7" s="560"/>
      <c r="AC7" s="560"/>
      <c r="AD7" s="561"/>
      <c r="AE7" s="349"/>
      <c r="AF7" s="349">
        <v>0</v>
      </c>
      <c r="AG7" s="350"/>
      <c r="AH7" s="350"/>
      <c r="AI7" s="350"/>
      <c r="AJ7" s="350"/>
      <c r="AK7" s="350"/>
      <c r="AL7" s="350"/>
      <c r="AM7" s="350"/>
      <c r="AN7" s="350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50"/>
      <c r="BE7" s="350"/>
      <c r="BF7" s="350"/>
      <c r="BG7" s="350"/>
      <c r="BH7" s="350"/>
      <c r="BI7" s="350"/>
      <c r="BJ7" s="350"/>
      <c r="BK7" s="350"/>
      <c r="BL7" s="350"/>
      <c r="BM7" s="350"/>
      <c r="BN7" s="350"/>
      <c r="BO7" s="350"/>
      <c r="BP7" s="350"/>
      <c r="BQ7" s="350"/>
      <c r="BR7" s="350"/>
      <c r="BS7" s="350"/>
      <c r="BT7" s="350"/>
      <c r="BU7" s="350"/>
      <c r="BV7" s="350"/>
      <c r="BW7" s="350"/>
      <c r="BX7" s="350"/>
      <c r="BY7" s="350"/>
      <c r="BZ7" s="350"/>
      <c r="CA7" s="350"/>
      <c r="CB7" s="350"/>
      <c r="CC7" s="350"/>
      <c r="CD7" s="350"/>
      <c r="CE7" s="350"/>
      <c r="CF7" s="350"/>
      <c r="CG7" s="350"/>
      <c r="CH7" s="350"/>
      <c r="CI7" s="350"/>
      <c r="CJ7" s="350"/>
      <c r="CK7" s="350"/>
      <c r="CL7" s="350"/>
      <c r="CM7" s="350"/>
      <c r="CN7" s="350"/>
      <c r="CO7" s="350"/>
      <c r="CP7" s="350"/>
      <c r="CQ7" s="350"/>
      <c r="CR7" s="350"/>
      <c r="CS7" s="350"/>
      <c r="CT7" s="350"/>
      <c r="CU7" s="350"/>
      <c r="CV7" s="350"/>
      <c r="CW7" s="350"/>
      <c r="CX7" s="350"/>
      <c r="CY7" s="350"/>
      <c r="CZ7" s="350"/>
      <c r="DA7" s="350"/>
      <c r="DB7" s="350"/>
      <c r="DC7" s="350"/>
      <c r="DD7" s="350"/>
      <c r="DE7" s="350"/>
      <c r="DF7" s="350"/>
      <c r="DG7" s="350"/>
      <c r="DH7" s="350"/>
      <c r="DI7" s="350"/>
      <c r="DJ7" s="350"/>
      <c r="DK7" s="350"/>
      <c r="DL7" s="350"/>
      <c r="DM7" s="350"/>
      <c r="DN7" s="350"/>
      <c r="DO7" s="350"/>
      <c r="DP7" s="350"/>
      <c r="DQ7" s="269"/>
      <c r="DR7" s="269"/>
      <c r="DS7" s="269"/>
      <c r="DT7" s="269"/>
      <c r="DU7" s="269"/>
      <c r="DV7" s="269"/>
      <c r="DW7" s="269"/>
      <c r="DX7" s="269"/>
      <c r="DY7" s="269"/>
      <c r="DZ7" s="269"/>
      <c r="EA7" s="269"/>
      <c r="EB7" s="269"/>
    </row>
    <row r="8" spans="1:132" ht="21" thickBot="1">
      <c r="A8" s="82"/>
      <c r="B8" s="86"/>
      <c r="C8" s="562" t="s">
        <v>73</v>
      </c>
      <c r="D8" s="563"/>
      <c r="E8" s="563"/>
      <c r="F8" s="563"/>
      <c r="G8" s="563"/>
      <c r="H8" s="563"/>
      <c r="I8" s="563"/>
      <c r="J8" s="563"/>
      <c r="K8" s="563"/>
      <c r="L8" s="563"/>
      <c r="M8" s="563"/>
      <c r="N8" s="563"/>
      <c r="O8" s="563"/>
      <c r="P8" s="563"/>
      <c r="Q8" s="563"/>
      <c r="R8" s="563"/>
      <c r="S8" s="563"/>
      <c r="T8" s="563"/>
      <c r="U8" s="563"/>
      <c r="V8" s="563"/>
      <c r="W8" s="563"/>
      <c r="X8" s="563"/>
      <c r="Y8" s="563"/>
      <c r="Z8" s="563"/>
      <c r="AA8" s="563"/>
      <c r="AB8" s="563"/>
      <c r="AC8" s="563"/>
      <c r="AD8" s="564"/>
      <c r="AE8" s="349"/>
      <c r="AF8" s="349">
        <v>0</v>
      </c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50"/>
      <c r="AW8" s="350"/>
      <c r="AX8" s="350"/>
      <c r="AY8" s="350"/>
      <c r="AZ8" s="350"/>
      <c r="BA8" s="350"/>
      <c r="BB8" s="350"/>
      <c r="BC8" s="350"/>
      <c r="BD8" s="350"/>
      <c r="BE8" s="350"/>
      <c r="BF8" s="350"/>
      <c r="BG8" s="350"/>
      <c r="BH8" s="350"/>
      <c r="BI8" s="350"/>
      <c r="BJ8" s="350"/>
      <c r="BK8" s="350"/>
      <c r="BL8" s="350"/>
      <c r="BM8" s="350"/>
      <c r="BN8" s="350"/>
      <c r="BO8" s="350"/>
      <c r="BP8" s="350"/>
      <c r="BQ8" s="350"/>
      <c r="BR8" s="350"/>
      <c r="BS8" s="350"/>
      <c r="BT8" s="350"/>
      <c r="BU8" s="350"/>
      <c r="BV8" s="350"/>
      <c r="BW8" s="350"/>
      <c r="BX8" s="350"/>
      <c r="BY8" s="350"/>
      <c r="BZ8" s="350"/>
      <c r="CA8" s="350"/>
      <c r="CB8" s="350"/>
      <c r="CC8" s="350"/>
      <c r="CD8" s="350"/>
      <c r="CE8" s="350"/>
      <c r="CF8" s="350"/>
      <c r="CG8" s="350"/>
      <c r="CH8" s="350"/>
      <c r="CI8" s="350"/>
      <c r="CJ8" s="350"/>
      <c r="CK8" s="350"/>
      <c r="CL8" s="350"/>
      <c r="CM8" s="350"/>
      <c r="CN8" s="350"/>
      <c r="CO8" s="350"/>
      <c r="CP8" s="350"/>
      <c r="CQ8" s="350"/>
      <c r="CR8" s="350"/>
      <c r="CS8" s="350"/>
      <c r="CT8" s="350"/>
      <c r="CU8" s="350"/>
      <c r="CV8" s="350"/>
      <c r="CW8" s="350"/>
      <c r="CX8" s="350"/>
      <c r="CY8" s="350"/>
      <c r="CZ8" s="350"/>
      <c r="DA8" s="350"/>
      <c r="DB8" s="350"/>
      <c r="DC8" s="350"/>
      <c r="DD8" s="350"/>
      <c r="DE8" s="350"/>
      <c r="DF8" s="350"/>
      <c r="DG8" s="350"/>
      <c r="DH8" s="350"/>
      <c r="DI8" s="350"/>
      <c r="DJ8" s="350"/>
      <c r="DK8" s="350"/>
      <c r="DL8" s="350"/>
      <c r="DM8" s="350"/>
      <c r="DN8" s="350"/>
      <c r="DO8" s="350"/>
      <c r="DP8" s="350"/>
      <c r="DQ8" s="269"/>
      <c r="DR8" s="269"/>
      <c r="DS8" s="269"/>
      <c r="DT8" s="269"/>
      <c r="DU8" s="269"/>
      <c r="DV8" s="269"/>
      <c r="DW8" s="269"/>
      <c r="DX8" s="269"/>
      <c r="DY8" s="269"/>
      <c r="DZ8" s="269"/>
      <c r="EA8" s="269"/>
      <c r="EB8" s="269"/>
    </row>
    <row r="9" spans="1:132" ht="15" thickBot="1">
      <c r="A9" s="8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349"/>
      <c r="AF9" s="349">
        <v>0</v>
      </c>
      <c r="AG9" s="350"/>
      <c r="AH9" s="350"/>
      <c r="AI9" s="350"/>
      <c r="AJ9" s="350"/>
      <c r="AK9" s="350"/>
      <c r="AL9" s="350"/>
      <c r="AM9" s="350"/>
      <c r="AN9" s="350"/>
      <c r="AO9" s="350"/>
      <c r="AP9" s="350"/>
      <c r="AQ9" s="350"/>
      <c r="AR9" s="350"/>
      <c r="AS9" s="350"/>
      <c r="AT9" s="350"/>
      <c r="AU9" s="350"/>
      <c r="AV9" s="350"/>
      <c r="AW9" s="350"/>
      <c r="AX9" s="350"/>
      <c r="AY9" s="350"/>
      <c r="AZ9" s="350"/>
      <c r="BA9" s="350"/>
      <c r="BB9" s="350"/>
      <c r="BC9" s="350"/>
      <c r="BD9" s="350"/>
      <c r="BE9" s="350"/>
      <c r="BF9" s="350"/>
      <c r="BG9" s="350"/>
      <c r="BH9" s="350"/>
      <c r="BI9" s="350"/>
      <c r="BJ9" s="350"/>
      <c r="BK9" s="350"/>
      <c r="BL9" s="350"/>
      <c r="BM9" s="350"/>
      <c r="BN9" s="350"/>
      <c r="BO9" s="350"/>
      <c r="BP9" s="350"/>
      <c r="BQ9" s="350"/>
      <c r="BR9" s="350"/>
      <c r="BS9" s="350"/>
      <c r="BT9" s="350"/>
      <c r="BU9" s="350"/>
      <c r="BV9" s="350"/>
      <c r="BW9" s="350"/>
      <c r="BX9" s="350"/>
      <c r="BY9" s="350"/>
      <c r="BZ9" s="350"/>
      <c r="CA9" s="350"/>
      <c r="CB9" s="350"/>
      <c r="CC9" s="350"/>
      <c r="CD9" s="350"/>
      <c r="CE9" s="350"/>
      <c r="CF9" s="350"/>
      <c r="CG9" s="350"/>
      <c r="CH9" s="350"/>
      <c r="CI9" s="350"/>
      <c r="CJ9" s="350"/>
      <c r="CK9" s="350"/>
      <c r="CL9" s="350"/>
      <c r="CM9" s="350"/>
      <c r="CN9" s="350"/>
      <c r="CO9" s="350"/>
      <c r="CP9" s="350"/>
      <c r="CQ9" s="350"/>
      <c r="CR9" s="350"/>
      <c r="CS9" s="350"/>
      <c r="CT9" s="350"/>
      <c r="CU9" s="350"/>
      <c r="CV9" s="350"/>
      <c r="CW9" s="350"/>
      <c r="CX9" s="350"/>
      <c r="CY9" s="350"/>
      <c r="CZ9" s="350"/>
      <c r="DA9" s="350"/>
      <c r="DB9" s="350"/>
      <c r="DC9" s="350"/>
      <c r="DD9" s="350"/>
      <c r="DE9" s="350"/>
      <c r="DF9" s="350"/>
      <c r="DG9" s="350"/>
      <c r="DH9" s="350"/>
      <c r="DI9" s="350"/>
      <c r="DJ9" s="350"/>
      <c r="DK9" s="350"/>
      <c r="DL9" s="350"/>
      <c r="DM9" s="350"/>
      <c r="DN9" s="350"/>
      <c r="DO9" s="350"/>
      <c r="DP9" s="350"/>
      <c r="DQ9" s="269"/>
      <c r="DR9" s="269"/>
      <c r="DS9" s="269"/>
      <c r="DT9" s="269"/>
      <c r="DU9" s="269"/>
      <c r="DV9" s="269"/>
      <c r="DW9" s="269"/>
      <c r="DX9" s="269"/>
      <c r="DY9" s="269"/>
      <c r="DZ9" s="269"/>
      <c r="EA9" s="269"/>
      <c r="EB9" s="269"/>
    </row>
    <row r="10" spans="1:132" ht="21" thickBot="1">
      <c r="A10" s="82"/>
      <c r="B10" s="82"/>
      <c r="C10" s="246" t="s">
        <v>85</v>
      </c>
      <c r="D10" s="247"/>
      <c r="E10" s="247"/>
      <c r="F10" s="247"/>
      <c r="G10" s="247"/>
      <c r="H10" s="247"/>
      <c r="I10" s="247"/>
      <c r="J10" s="247"/>
      <c r="K10" s="247"/>
      <c r="L10" s="247"/>
      <c r="M10" s="248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  <c r="AA10" s="249"/>
      <c r="AB10" s="249"/>
      <c r="AC10" s="249"/>
      <c r="AD10" s="249"/>
      <c r="AE10" s="349"/>
      <c r="AF10" s="349">
        <v>0</v>
      </c>
      <c r="AG10" s="350"/>
      <c r="AH10" s="350"/>
      <c r="AI10" s="350"/>
      <c r="AJ10" s="350"/>
      <c r="AK10" s="350"/>
      <c r="AL10" s="350"/>
      <c r="AM10" s="350"/>
      <c r="AN10" s="350"/>
      <c r="AO10" s="350"/>
      <c r="AP10" s="350"/>
      <c r="AQ10" s="350"/>
      <c r="AR10" s="350"/>
      <c r="AS10" s="350"/>
      <c r="AT10" s="350"/>
      <c r="AU10" s="350"/>
      <c r="AV10" s="350"/>
      <c r="AW10" s="350"/>
      <c r="AX10" s="350"/>
      <c r="AY10" s="350"/>
      <c r="AZ10" s="350"/>
      <c r="BA10" s="350"/>
      <c r="BB10" s="350"/>
      <c r="BC10" s="350"/>
      <c r="BD10" s="350"/>
      <c r="BE10" s="350"/>
      <c r="BF10" s="350"/>
      <c r="BG10" s="350"/>
      <c r="BH10" s="350"/>
      <c r="BI10" s="350"/>
      <c r="BJ10" s="350"/>
      <c r="BK10" s="350"/>
      <c r="BL10" s="350"/>
      <c r="BM10" s="350"/>
      <c r="BN10" s="350"/>
      <c r="BO10" s="350"/>
      <c r="BP10" s="350"/>
      <c r="BQ10" s="350"/>
      <c r="BR10" s="350"/>
      <c r="BS10" s="350"/>
      <c r="BT10" s="350"/>
      <c r="BU10" s="350"/>
      <c r="BV10" s="350"/>
      <c r="BW10" s="350"/>
      <c r="BX10" s="350"/>
      <c r="BY10" s="350"/>
      <c r="BZ10" s="350"/>
      <c r="CA10" s="350"/>
      <c r="CB10" s="350"/>
      <c r="CC10" s="350"/>
      <c r="CD10" s="350"/>
      <c r="CE10" s="350"/>
      <c r="CF10" s="350"/>
      <c r="CG10" s="350"/>
      <c r="CH10" s="350"/>
      <c r="CI10" s="350"/>
      <c r="CJ10" s="350"/>
      <c r="CK10" s="350"/>
      <c r="CL10" s="350"/>
      <c r="CM10" s="350"/>
      <c r="CN10" s="350"/>
      <c r="CO10" s="350"/>
      <c r="CP10" s="350"/>
      <c r="CQ10" s="350"/>
      <c r="CR10" s="350"/>
      <c r="CS10" s="350"/>
      <c r="CT10" s="350"/>
      <c r="CU10" s="350"/>
      <c r="CV10" s="350"/>
      <c r="CW10" s="350"/>
      <c r="CX10" s="350"/>
      <c r="CY10" s="350"/>
      <c r="CZ10" s="350"/>
      <c r="DA10" s="350"/>
      <c r="DB10" s="350"/>
      <c r="DC10" s="350"/>
      <c r="DD10" s="350"/>
      <c r="DE10" s="350"/>
      <c r="DF10" s="350"/>
      <c r="DG10" s="350"/>
      <c r="DH10" s="350"/>
      <c r="DI10" s="350"/>
      <c r="DJ10" s="350"/>
      <c r="DK10" s="350"/>
      <c r="DL10" s="350"/>
      <c r="DM10" s="350"/>
      <c r="DN10" s="350"/>
      <c r="DO10" s="350"/>
      <c r="DP10" s="350"/>
      <c r="DQ10" s="269"/>
      <c r="DR10" s="269"/>
      <c r="DS10" s="269"/>
      <c r="DT10" s="269"/>
      <c r="DU10" s="269"/>
      <c r="DV10" s="269"/>
      <c r="DW10" s="269"/>
      <c r="DX10" s="269"/>
      <c r="DY10" s="269"/>
      <c r="DZ10" s="269"/>
      <c r="EA10" s="269"/>
      <c r="EB10" s="269"/>
    </row>
    <row r="11" spans="1:132" ht="45" customHeight="1">
      <c r="A11" s="82"/>
      <c r="B11" s="82"/>
      <c r="C11" s="538" t="s">
        <v>72</v>
      </c>
      <c r="D11" s="558"/>
      <c r="E11" s="558"/>
      <c r="F11" s="558"/>
      <c r="G11" s="558"/>
      <c r="H11" s="556" t="s">
        <v>53</v>
      </c>
      <c r="I11" s="556"/>
      <c r="J11" s="556" t="s">
        <v>27</v>
      </c>
      <c r="K11" s="556"/>
      <c r="L11" s="556" t="s">
        <v>26</v>
      </c>
      <c r="M11" s="557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249"/>
      <c r="AD11" s="249"/>
      <c r="AE11" s="349"/>
      <c r="AF11" s="349"/>
      <c r="AG11" s="350"/>
      <c r="AH11" s="350"/>
      <c r="AI11" s="350"/>
      <c r="AJ11" s="350"/>
      <c r="AK11" s="350"/>
      <c r="AL11" s="350"/>
      <c r="AM11" s="350"/>
      <c r="AN11" s="350"/>
      <c r="AO11" s="350"/>
      <c r="AP11" s="350"/>
      <c r="AQ11" s="350"/>
      <c r="AR11" s="350"/>
      <c r="AS11" s="350"/>
      <c r="AT11" s="350"/>
      <c r="AU11" s="350"/>
      <c r="AV11" s="350"/>
      <c r="AW11" s="350"/>
      <c r="AX11" s="350"/>
      <c r="AY11" s="350"/>
      <c r="AZ11" s="350"/>
      <c r="BA11" s="350"/>
      <c r="BB11" s="350"/>
      <c r="BC11" s="350"/>
      <c r="BD11" s="350"/>
      <c r="BE11" s="350"/>
      <c r="BF11" s="350"/>
      <c r="BG11" s="350"/>
      <c r="BH11" s="350"/>
      <c r="BI11" s="350"/>
      <c r="BJ11" s="350"/>
      <c r="BK11" s="350"/>
      <c r="BL11" s="350"/>
      <c r="BM11" s="350"/>
      <c r="BN11" s="350"/>
      <c r="BO11" s="350"/>
      <c r="BP11" s="350"/>
      <c r="BQ11" s="350"/>
      <c r="BR11" s="350"/>
      <c r="BS11" s="350"/>
      <c r="BT11" s="350"/>
      <c r="BU11" s="350"/>
      <c r="BV11" s="350"/>
      <c r="BW11" s="350"/>
      <c r="BX11" s="350"/>
      <c r="BY11" s="350"/>
      <c r="BZ11" s="350"/>
      <c r="CA11" s="350"/>
      <c r="CB11" s="350"/>
      <c r="CC11" s="350"/>
      <c r="CD11" s="350"/>
      <c r="CE11" s="350"/>
      <c r="CF11" s="350"/>
      <c r="CG11" s="350"/>
      <c r="CH11" s="350"/>
      <c r="CI11" s="350"/>
      <c r="CJ11" s="350"/>
      <c r="CK11" s="350"/>
      <c r="CL11" s="350"/>
      <c r="CM11" s="350"/>
      <c r="CN11" s="350"/>
      <c r="CO11" s="350"/>
      <c r="CP11" s="350"/>
      <c r="CQ11" s="350"/>
      <c r="CR11" s="350"/>
      <c r="CS11" s="350"/>
      <c r="CT11" s="350"/>
      <c r="CU11" s="350"/>
      <c r="CV11" s="350"/>
      <c r="CW11" s="350"/>
      <c r="CX11" s="350"/>
      <c r="CY11" s="350"/>
      <c r="CZ11" s="350"/>
      <c r="DA11" s="350"/>
      <c r="DB11" s="350"/>
      <c r="DC11" s="350"/>
      <c r="DD11" s="350"/>
      <c r="DE11" s="350"/>
      <c r="DF11" s="350"/>
      <c r="DG11" s="350"/>
      <c r="DH11" s="350"/>
      <c r="DI11" s="350"/>
      <c r="DJ11" s="350"/>
      <c r="DK11" s="350"/>
      <c r="DL11" s="350"/>
      <c r="DM11" s="350"/>
      <c r="DN11" s="350"/>
      <c r="DO11" s="350"/>
      <c r="DP11" s="350"/>
      <c r="DQ11" s="269"/>
      <c r="DR11" s="269"/>
      <c r="DS11" s="269"/>
      <c r="DT11" s="269"/>
      <c r="DU11" s="269"/>
      <c r="DV11" s="269"/>
      <c r="DW11" s="269"/>
      <c r="DX11" s="269"/>
      <c r="DY11" s="269"/>
      <c r="DZ11" s="269"/>
      <c r="EA11" s="269"/>
      <c r="EB11" s="269"/>
    </row>
    <row r="12" spans="1:132" ht="15">
      <c r="A12" s="82"/>
      <c r="B12" s="82"/>
      <c r="C12" s="551" t="s">
        <v>370</v>
      </c>
      <c r="D12" s="552"/>
      <c r="E12" s="552"/>
      <c r="F12" s="552"/>
      <c r="G12" s="552"/>
      <c r="H12" s="550">
        <f t="shared" ref="H12:H26" si="0">AE1</f>
        <v>31.390999999999998</v>
      </c>
      <c r="I12" s="550"/>
      <c r="J12" s="547">
        <f t="shared" ref="J12:J26" si="1">AF1</f>
        <v>8.9</v>
      </c>
      <c r="K12" s="547"/>
      <c r="L12" s="548">
        <f t="shared" ref="L12:L26" si="2">AG1</f>
        <v>9012.25</v>
      </c>
      <c r="M12" s="5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49"/>
      <c r="AB12" s="249"/>
      <c r="AC12" s="249"/>
      <c r="AD12" s="249"/>
      <c r="AE12" s="349"/>
      <c r="AF12" s="349"/>
      <c r="AG12" s="350"/>
      <c r="AH12" s="350"/>
      <c r="AI12" s="350"/>
      <c r="AJ12" s="350"/>
      <c r="AK12" s="350"/>
      <c r="AL12" s="350"/>
      <c r="AM12" s="350"/>
      <c r="AN12" s="350"/>
      <c r="AO12" s="350"/>
      <c r="AP12" s="350"/>
      <c r="AQ12" s="350"/>
      <c r="AR12" s="350"/>
      <c r="AS12" s="350"/>
      <c r="AT12" s="350"/>
      <c r="AU12" s="350"/>
      <c r="AV12" s="350"/>
      <c r="AW12" s="350"/>
      <c r="AX12" s="350"/>
      <c r="AY12" s="350"/>
      <c r="AZ12" s="350"/>
      <c r="BA12" s="350"/>
      <c r="BB12" s="350"/>
      <c r="BC12" s="350"/>
      <c r="BD12" s="350"/>
      <c r="BE12" s="350"/>
      <c r="BF12" s="350"/>
      <c r="BG12" s="350"/>
      <c r="BH12" s="350"/>
      <c r="BI12" s="350"/>
      <c r="BJ12" s="350"/>
      <c r="BK12" s="350"/>
      <c r="BL12" s="350"/>
      <c r="BM12" s="350"/>
      <c r="BN12" s="350"/>
      <c r="BO12" s="350"/>
      <c r="BP12" s="350"/>
      <c r="BQ12" s="350"/>
      <c r="BR12" s="350"/>
      <c r="BS12" s="350"/>
      <c r="BT12" s="350"/>
      <c r="BU12" s="350"/>
      <c r="BV12" s="350"/>
      <c r="BW12" s="350"/>
      <c r="BX12" s="350"/>
      <c r="BY12" s="350"/>
      <c r="BZ12" s="350"/>
      <c r="CA12" s="350"/>
      <c r="CB12" s="350"/>
      <c r="CC12" s="350"/>
      <c r="CD12" s="350"/>
      <c r="CE12" s="350"/>
      <c r="CF12" s="350"/>
      <c r="CG12" s="350"/>
      <c r="CH12" s="350"/>
      <c r="CI12" s="350"/>
      <c r="CJ12" s="350"/>
      <c r="CK12" s="350"/>
      <c r="CL12" s="350"/>
      <c r="CM12" s="350"/>
      <c r="CN12" s="350"/>
      <c r="CO12" s="350"/>
      <c r="CP12" s="350"/>
      <c r="CQ12" s="350"/>
      <c r="CR12" s="350"/>
      <c r="CS12" s="350"/>
      <c r="CT12" s="350"/>
      <c r="CU12" s="350"/>
      <c r="CV12" s="350"/>
      <c r="CW12" s="350"/>
      <c r="CX12" s="350"/>
      <c r="CY12" s="350"/>
      <c r="CZ12" s="350"/>
      <c r="DA12" s="350"/>
      <c r="DB12" s="350"/>
      <c r="DC12" s="350"/>
      <c r="DD12" s="350"/>
      <c r="DE12" s="350"/>
      <c r="DF12" s="350"/>
      <c r="DG12" s="350"/>
      <c r="DH12" s="350"/>
      <c r="DI12" s="350"/>
      <c r="DJ12" s="350"/>
      <c r="DK12" s="350"/>
      <c r="DL12" s="350"/>
      <c r="DM12" s="350"/>
      <c r="DN12" s="350"/>
      <c r="DO12" s="350"/>
      <c r="DP12" s="350"/>
      <c r="DQ12" s="269"/>
      <c r="DR12" s="269"/>
      <c r="DS12" s="269"/>
      <c r="DT12" s="269"/>
      <c r="DU12" s="269"/>
      <c r="DV12" s="269"/>
      <c r="DW12" s="269"/>
      <c r="DX12" s="269"/>
      <c r="DY12" s="269"/>
      <c r="DZ12" s="269"/>
      <c r="EA12" s="269"/>
      <c r="EB12" s="269"/>
    </row>
    <row r="13" spans="1:132" ht="15">
      <c r="A13" s="82"/>
      <c r="B13" s="82"/>
      <c r="C13" s="553" t="s">
        <v>371</v>
      </c>
      <c r="D13" s="554"/>
      <c r="E13" s="554"/>
      <c r="F13" s="554"/>
      <c r="G13" s="555"/>
      <c r="H13" s="550">
        <f t="shared" si="0"/>
        <v>32.320999999999998</v>
      </c>
      <c r="I13" s="550"/>
      <c r="J13" s="547">
        <f t="shared" si="1"/>
        <v>8.9</v>
      </c>
      <c r="K13" s="547"/>
      <c r="L13" s="548">
        <f t="shared" si="2"/>
        <v>9279.25</v>
      </c>
      <c r="M13" s="5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  <c r="AE13" s="349"/>
      <c r="AF13" s="349"/>
      <c r="AG13" s="350"/>
      <c r="AH13" s="350"/>
      <c r="AI13" s="350"/>
      <c r="AJ13" s="350"/>
      <c r="AK13" s="350"/>
      <c r="AL13" s="350"/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0"/>
      <c r="AX13" s="350"/>
      <c r="AY13" s="350"/>
      <c r="AZ13" s="350"/>
      <c r="BA13" s="350"/>
      <c r="BB13" s="350"/>
      <c r="BC13" s="350"/>
      <c r="BD13" s="350"/>
      <c r="BE13" s="350"/>
      <c r="BF13" s="350"/>
      <c r="BG13" s="350"/>
      <c r="BH13" s="350"/>
      <c r="BI13" s="350"/>
      <c r="BJ13" s="350"/>
      <c r="BK13" s="350"/>
      <c r="BL13" s="350"/>
      <c r="BM13" s="350"/>
      <c r="BN13" s="350"/>
      <c r="BO13" s="350"/>
      <c r="BP13" s="350"/>
      <c r="BQ13" s="350"/>
      <c r="BR13" s="350"/>
      <c r="BS13" s="350"/>
      <c r="BT13" s="350"/>
      <c r="BU13" s="350"/>
      <c r="BV13" s="350"/>
      <c r="BW13" s="350"/>
      <c r="BX13" s="350"/>
      <c r="BY13" s="350"/>
      <c r="BZ13" s="350"/>
      <c r="CA13" s="350"/>
      <c r="CB13" s="350"/>
      <c r="CC13" s="350"/>
      <c r="CD13" s="350"/>
      <c r="CE13" s="350"/>
      <c r="CF13" s="350"/>
      <c r="CG13" s="350"/>
      <c r="CH13" s="350"/>
      <c r="CI13" s="350"/>
      <c r="CJ13" s="350"/>
      <c r="CK13" s="350"/>
      <c r="CL13" s="350"/>
      <c r="CM13" s="350"/>
      <c r="CN13" s="350"/>
      <c r="CO13" s="350"/>
      <c r="CP13" s="350"/>
      <c r="CQ13" s="350"/>
      <c r="CR13" s="350"/>
      <c r="CS13" s="350"/>
      <c r="CT13" s="350"/>
      <c r="CU13" s="350"/>
      <c r="CV13" s="350"/>
      <c r="CW13" s="350"/>
      <c r="CX13" s="350"/>
      <c r="CY13" s="350"/>
      <c r="CZ13" s="350"/>
      <c r="DA13" s="350"/>
      <c r="DB13" s="350"/>
      <c r="DC13" s="350"/>
      <c r="DD13" s="350"/>
      <c r="DE13" s="350"/>
      <c r="DF13" s="350"/>
      <c r="DG13" s="350"/>
      <c r="DH13" s="350"/>
      <c r="DI13" s="350"/>
      <c r="DJ13" s="350"/>
      <c r="DK13" s="350"/>
      <c r="DL13" s="350"/>
      <c r="DM13" s="350"/>
      <c r="DN13" s="350"/>
      <c r="DO13" s="350"/>
      <c r="DP13" s="350"/>
      <c r="DQ13" s="269"/>
      <c r="DR13" s="269"/>
      <c r="DS13" s="269"/>
      <c r="DT13" s="269"/>
      <c r="DU13" s="269"/>
      <c r="DV13" s="269"/>
      <c r="DW13" s="269"/>
      <c r="DX13" s="269"/>
      <c r="DY13" s="269"/>
      <c r="DZ13" s="269"/>
      <c r="EA13" s="269"/>
      <c r="EB13" s="269"/>
    </row>
    <row r="14" spans="1:132" ht="15">
      <c r="A14" s="82"/>
      <c r="B14" s="82"/>
      <c r="C14" s="553" t="s">
        <v>372</v>
      </c>
      <c r="D14" s="554"/>
      <c r="E14" s="554"/>
      <c r="F14" s="554"/>
      <c r="G14" s="555"/>
      <c r="H14" s="550">
        <f t="shared" si="0"/>
        <v>15.9819</v>
      </c>
      <c r="I14" s="550"/>
      <c r="J14" s="547">
        <f t="shared" si="1"/>
        <v>8.9</v>
      </c>
      <c r="K14" s="547"/>
      <c r="L14" s="548">
        <f t="shared" si="2"/>
        <v>4588.3500000000004</v>
      </c>
      <c r="M14" s="5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  <c r="AE14" s="349"/>
      <c r="AF14" s="349"/>
      <c r="AG14" s="350"/>
      <c r="AH14" s="350"/>
      <c r="AI14" s="350"/>
      <c r="AJ14" s="350"/>
      <c r="AK14" s="350"/>
      <c r="AL14" s="350"/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0"/>
      <c r="AY14" s="350"/>
      <c r="AZ14" s="350"/>
      <c r="BA14" s="350"/>
      <c r="BB14" s="350"/>
      <c r="BC14" s="350"/>
      <c r="BD14" s="350"/>
      <c r="BE14" s="350"/>
      <c r="BF14" s="350"/>
      <c r="BG14" s="350"/>
      <c r="BH14" s="350"/>
      <c r="BI14" s="350"/>
      <c r="BJ14" s="350"/>
      <c r="BK14" s="350"/>
      <c r="BL14" s="350"/>
      <c r="BM14" s="350"/>
      <c r="BN14" s="350"/>
      <c r="BO14" s="350"/>
      <c r="BP14" s="350"/>
      <c r="BQ14" s="350"/>
      <c r="BR14" s="350"/>
      <c r="BS14" s="350"/>
      <c r="BT14" s="350"/>
      <c r="BU14" s="350"/>
      <c r="BV14" s="350"/>
      <c r="BW14" s="350"/>
      <c r="BX14" s="350"/>
      <c r="BY14" s="350"/>
      <c r="BZ14" s="350"/>
      <c r="CA14" s="350"/>
      <c r="CB14" s="350"/>
      <c r="CC14" s="350"/>
      <c r="CD14" s="350"/>
      <c r="CE14" s="350"/>
      <c r="CF14" s="350"/>
      <c r="CG14" s="350"/>
      <c r="CH14" s="350"/>
      <c r="CI14" s="350"/>
      <c r="CJ14" s="350"/>
      <c r="CK14" s="350"/>
      <c r="CL14" s="350"/>
      <c r="CM14" s="350"/>
      <c r="CN14" s="350"/>
      <c r="CO14" s="350"/>
      <c r="CP14" s="350"/>
      <c r="CQ14" s="350"/>
      <c r="CR14" s="350"/>
      <c r="CS14" s="350"/>
      <c r="CT14" s="350"/>
      <c r="CU14" s="350"/>
      <c r="CV14" s="350"/>
      <c r="CW14" s="350"/>
      <c r="CX14" s="350"/>
      <c r="CY14" s="350"/>
      <c r="CZ14" s="350"/>
      <c r="DA14" s="350"/>
      <c r="DB14" s="350"/>
      <c r="DC14" s="350"/>
      <c r="DD14" s="350"/>
      <c r="DE14" s="350"/>
      <c r="DF14" s="350"/>
      <c r="DG14" s="350"/>
      <c r="DH14" s="350"/>
      <c r="DI14" s="350"/>
      <c r="DJ14" s="350"/>
      <c r="DK14" s="350"/>
      <c r="DL14" s="350"/>
      <c r="DM14" s="350"/>
      <c r="DN14" s="350"/>
      <c r="DO14" s="350"/>
      <c r="DP14" s="350"/>
      <c r="DQ14" s="269"/>
      <c r="DR14" s="269"/>
      <c r="DS14" s="269"/>
      <c r="DT14" s="269"/>
      <c r="DU14" s="269"/>
      <c r="DV14" s="269"/>
      <c r="DW14" s="269"/>
      <c r="DX14" s="269"/>
      <c r="DY14" s="269"/>
      <c r="DZ14" s="269"/>
      <c r="EA14" s="269"/>
      <c r="EB14" s="269"/>
    </row>
    <row r="15" spans="1:132" ht="15">
      <c r="A15" s="82"/>
      <c r="B15" s="82"/>
      <c r="C15" s="553"/>
      <c r="D15" s="554"/>
      <c r="E15" s="554"/>
      <c r="F15" s="554"/>
      <c r="G15" s="555"/>
      <c r="H15" s="550">
        <f t="shared" si="0"/>
        <v>0</v>
      </c>
      <c r="I15" s="550"/>
      <c r="J15" s="547">
        <f t="shared" si="1"/>
        <v>0</v>
      </c>
      <c r="K15" s="547"/>
      <c r="L15" s="548">
        <f t="shared" si="2"/>
        <v>0</v>
      </c>
      <c r="M15" s="5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  <c r="AE15" s="349"/>
      <c r="AF15" s="349"/>
      <c r="AG15" s="350"/>
      <c r="AH15" s="350"/>
      <c r="AI15" s="350"/>
      <c r="AJ15" s="350"/>
      <c r="AK15" s="350"/>
      <c r="AL15" s="350"/>
      <c r="AM15" s="350"/>
      <c r="AN15" s="350"/>
      <c r="AO15" s="350"/>
      <c r="AP15" s="350"/>
      <c r="AQ15" s="350"/>
      <c r="AR15" s="350"/>
      <c r="AS15" s="350"/>
      <c r="AT15" s="350"/>
      <c r="AU15" s="350"/>
      <c r="AV15" s="350"/>
      <c r="AW15" s="350"/>
      <c r="AX15" s="350"/>
      <c r="AY15" s="350"/>
      <c r="AZ15" s="350"/>
      <c r="BA15" s="350"/>
      <c r="BB15" s="350"/>
      <c r="BC15" s="350"/>
      <c r="BD15" s="350"/>
      <c r="BE15" s="350"/>
      <c r="BF15" s="350"/>
      <c r="BG15" s="350"/>
      <c r="BH15" s="350"/>
      <c r="BI15" s="350"/>
      <c r="BJ15" s="350"/>
      <c r="BK15" s="350"/>
      <c r="BL15" s="350"/>
      <c r="BM15" s="350"/>
      <c r="BN15" s="350"/>
      <c r="BO15" s="350"/>
      <c r="BP15" s="350"/>
      <c r="BQ15" s="350"/>
      <c r="BR15" s="350"/>
      <c r="BS15" s="350"/>
      <c r="BT15" s="350"/>
      <c r="BU15" s="350"/>
      <c r="BV15" s="350"/>
      <c r="BW15" s="350"/>
      <c r="BX15" s="350"/>
      <c r="BY15" s="350"/>
      <c r="BZ15" s="350"/>
      <c r="CA15" s="350"/>
      <c r="CB15" s="350"/>
      <c r="CC15" s="350"/>
      <c r="CD15" s="350"/>
      <c r="CE15" s="350"/>
      <c r="CF15" s="350"/>
      <c r="CG15" s="350"/>
      <c r="CH15" s="350"/>
      <c r="CI15" s="350"/>
      <c r="CJ15" s="350"/>
      <c r="CK15" s="350"/>
      <c r="CL15" s="350"/>
      <c r="CM15" s="350"/>
      <c r="CN15" s="350"/>
      <c r="CO15" s="350"/>
      <c r="CP15" s="350"/>
      <c r="CQ15" s="350"/>
      <c r="CR15" s="350"/>
      <c r="CS15" s="350"/>
      <c r="CT15" s="350"/>
      <c r="CU15" s="350"/>
      <c r="CV15" s="350"/>
      <c r="CW15" s="350"/>
      <c r="CX15" s="350"/>
      <c r="CY15" s="350"/>
      <c r="CZ15" s="350"/>
      <c r="DA15" s="350"/>
      <c r="DB15" s="350"/>
      <c r="DC15" s="350"/>
      <c r="DD15" s="350"/>
      <c r="DE15" s="350"/>
      <c r="DF15" s="350"/>
      <c r="DG15" s="350"/>
      <c r="DH15" s="350"/>
      <c r="DI15" s="350"/>
      <c r="DJ15" s="350"/>
      <c r="DK15" s="350"/>
      <c r="DL15" s="350"/>
      <c r="DM15" s="350"/>
      <c r="DN15" s="350"/>
      <c r="DO15" s="350"/>
      <c r="DP15" s="350"/>
      <c r="DQ15" s="269"/>
      <c r="DR15" s="269"/>
      <c r="DS15" s="269"/>
      <c r="DT15" s="269"/>
      <c r="DU15" s="269"/>
      <c r="DV15" s="269"/>
      <c r="DW15" s="269"/>
      <c r="DX15" s="269"/>
      <c r="DY15" s="269"/>
      <c r="DZ15" s="269"/>
      <c r="EA15" s="269"/>
      <c r="EB15" s="269"/>
    </row>
    <row r="16" spans="1:132" ht="15">
      <c r="A16" s="82"/>
      <c r="B16" s="82"/>
      <c r="C16" s="553"/>
      <c r="D16" s="554"/>
      <c r="E16" s="554"/>
      <c r="F16" s="554"/>
      <c r="G16" s="555"/>
      <c r="H16" s="550">
        <f t="shared" si="0"/>
        <v>0</v>
      </c>
      <c r="I16" s="550"/>
      <c r="J16" s="547">
        <f t="shared" si="1"/>
        <v>0</v>
      </c>
      <c r="K16" s="547"/>
      <c r="L16" s="548">
        <f t="shared" si="2"/>
        <v>0</v>
      </c>
      <c r="M16" s="5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  <c r="AE16" s="349"/>
      <c r="AF16" s="349"/>
      <c r="AG16" s="350"/>
      <c r="AH16" s="350"/>
      <c r="AI16" s="350"/>
      <c r="AJ16" s="350"/>
      <c r="AK16" s="350"/>
      <c r="AL16" s="350"/>
      <c r="AM16" s="350"/>
      <c r="AN16" s="350"/>
      <c r="AO16" s="350"/>
      <c r="AP16" s="350"/>
      <c r="AQ16" s="350"/>
      <c r="AR16" s="350"/>
      <c r="AS16" s="350"/>
      <c r="AT16" s="350"/>
      <c r="AU16" s="350"/>
      <c r="AV16" s="350"/>
      <c r="AW16" s="350"/>
      <c r="AX16" s="350"/>
      <c r="AY16" s="350"/>
      <c r="AZ16" s="350"/>
      <c r="BA16" s="350"/>
      <c r="BB16" s="350"/>
      <c r="BC16" s="350"/>
      <c r="BD16" s="350"/>
      <c r="BE16" s="350"/>
      <c r="BF16" s="350"/>
      <c r="BG16" s="350"/>
      <c r="BH16" s="350"/>
      <c r="BI16" s="350"/>
      <c r="BJ16" s="350"/>
      <c r="BK16" s="350"/>
      <c r="BL16" s="350"/>
      <c r="BM16" s="350"/>
      <c r="BN16" s="350"/>
      <c r="BO16" s="350"/>
      <c r="BP16" s="350"/>
      <c r="BQ16" s="350"/>
      <c r="BR16" s="350"/>
      <c r="BS16" s="350"/>
      <c r="BT16" s="350"/>
      <c r="BU16" s="350"/>
      <c r="BV16" s="350"/>
      <c r="BW16" s="350"/>
      <c r="BX16" s="350"/>
      <c r="BY16" s="350"/>
      <c r="BZ16" s="350"/>
      <c r="CA16" s="350"/>
      <c r="CB16" s="350"/>
      <c r="CC16" s="350"/>
      <c r="CD16" s="350"/>
      <c r="CE16" s="350"/>
      <c r="CF16" s="350"/>
      <c r="CG16" s="350"/>
      <c r="CH16" s="350"/>
      <c r="CI16" s="350"/>
      <c r="CJ16" s="350"/>
      <c r="CK16" s="350"/>
      <c r="CL16" s="350"/>
      <c r="CM16" s="350"/>
      <c r="CN16" s="350"/>
      <c r="CO16" s="350"/>
      <c r="CP16" s="350"/>
      <c r="CQ16" s="350"/>
      <c r="CR16" s="350"/>
      <c r="CS16" s="350"/>
      <c r="CT16" s="350"/>
      <c r="CU16" s="350"/>
      <c r="CV16" s="350"/>
      <c r="CW16" s="350"/>
      <c r="CX16" s="350"/>
      <c r="CY16" s="350"/>
      <c r="CZ16" s="350"/>
      <c r="DA16" s="350"/>
      <c r="DB16" s="350"/>
      <c r="DC16" s="350"/>
      <c r="DD16" s="350"/>
      <c r="DE16" s="350"/>
      <c r="DF16" s="350"/>
      <c r="DG16" s="350"/>
      <c r="DH16" s="350"/>
      <c r="DI16" s="350"/>
      <c r="DJ16" s="350"/>
      <c r="DK16" s="350"/>
      <c r="DL16" s="350"/>
      <c r="DM16" s="350"/>
      <c r="DN16" s="350"/>
      <c r="DO16" s="350"/>
      <c r="DP16" s="350"/>
      <c r="DQ16" s="269"/>
      <c r="DR16" s="269"/>
      <c r="DS16" s="269"/>
      <c r="DT16" s="269"/>
      <c r="DU16" s="269"/>
      <c r="DV16" s="269"/>
      <c r="DW16" s="269"/>
      <c r="DX16" s="269"/>
      <c r="DY16" s="269"/>
      <c r="DZ16" s="269"/>
      <c r="EA16" s="269"/>
      <c r="EB16" s="269"/>
    </row>
    <row r="17" spans="1:132" ht="15">
      <c r="A17" s="82"/>
      <c r="B17" s="82"/>
      <c r="C17" s="553"/>
      <c r="D17" s="554"/>
      <c r="E17" s="554"/>
      <c r="F17" s="554"/>
      <c r="G17" s="555"/>
      <c r="H17" s="550">
        <f t="shared" si="0"/>
        <v>0</v>
      </c>
      <c r="I17" s="550"/>
      <c r="J17" s="547">
        <f t="shared" si="1"/>
        <v>0</v>
      </c>
      <c r="K17" s="547"/>
      <c r="L17" s="548">
        <f t="shared" si="2"/>
        <v>0</v>
      </c>
      <c r="M17" s="5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  <c r="AA17" s="249"/>
      <c r="AB17" s="249"/>
      <c r="AC17" s="249"/>
      <c r="AD17" s="249"/>
      <c r="AE17" s="349"/>
      <c r="AF17" s="349"/>
      <c r="AG17" s="350"/>
      <c r="AH17" s="350"/>
      <c r="AI17" s="350"/>
      <c r="AJ17" s="350"/>
      <c r="AK17" s="350"/>
      <c r="AL17" s="350"/>
      <c r="AM17" s="350"/>
      <c r="AN17" s="350"/>
      <c r="AO17" s="350"/>
      <c r="AP17" s="350"/>
      <c r="AQ17" s="350"/>
      <c r="AR17" s="350"/>
      <c r="AS17" s="350"/>
      <c r="AT17" s="350"/>
      <c r="AU17" s="350"/>
      <c r="AV17" s="350"/>
      <c r="AW17" s="350"/>
      <c r="AX17" s="350"/>
      <c r="AY17" s="350"/>
      <c r="AZ17" s="350"/>
      <c r="BA17" s="350"/>
      <c r="BB17" s="350"/>
      <c r="BC17" s="350"/>
      <c r="BD17" s="350"/>
      <c r="BE17" s="350"/>
      <c r="BF17" s="350"/>
      <c r="BG17" s="350"/>
      <c r="BH17" s="350"/>
      <c r="BI17" s="350"/>
      <c r="BJ17" s="350"/>
      <c r="BK17" s="350"/>
      <c r="BL17" s="350"/>
      <c r="BM17" s="350"/>
      <c r="BN17" s="350"/>
      <c r="BO17" s="350"/>
      <c r="BP17" s="350"/>
      <c r="BQ17" s="350"/>
      <c r="BR17" s="350"/>
      <c r="BS17" s="350"/>
      <c r="BT17" s="350"/>
      <c r="BU17" s="350"/>
      <c r="BV17" s="350"/>
      <c r="BW17" s="350"/>
      <c r="BX17" s="350"/>
      <c r="BY17" s="350"/>
      <c r="BZ17" s="350"/>
      <c r="CA17" s="350"/>
      <c r="CB17" s="350"/>
      <c r="CC17" s="350"/>
      <c r="CD17" s="350"/>
      <c r="CE17" s="350"/>
      <c r="CF17" s="350"/>
      <c r="CG17" s="350"/>
      <c r="CH17" s="350"/>
      <c r="CI17" s="350"/>
      <c r="CJ17" s="350"/>
      <c r="CK17" s="350"/>
      <c r="CL17" s="350"/>
      <c r="CM17" s="350"/>
      <c r="CN17" s="350"/>
      <c r="CO17" s="350"/>
      <c r="CP17" s="350"/>
      <c r="CQ17" s="350"/>
      <c r="CR17" s="350"/>
      <c r="CS17" s="350"/>
      <c r="CT17" s="350"/>
      <c r="CU17" s="350"/>
      <c r="CV17" s="350"/>
      <c r="CW17" s="350"/>
      <c r="CX17" s="350"/>
      <c r="CY17" s="350"/>
      <c r="CZ17" s="350"/>
      <c r="DA17" s="350"/>
      <c r="DB17" s="350"/>
      <c r="DC17" s="350"/>
      <c r="DD17" s="350"/>
      <c r="DE17" s="350"/>
      <c r="DF17" s="350"/>
      <c r="DG17" s="350"/>
      <c r="DH17" s="350"/>
      <c r="DI17" s="350"/>
      <c r="DJ17" s="350"/>
      <c r="DK17" s="350"/>
      <c r="DL17" s="350"/>
      <c r="DM17" s="350"/>
      <c r="DN17" s="350"/>
      <c r="DO17" s="350"/>
      <c r="DP17" s="350"/>
      <c r="DQ17" s="269"/>
      <c r="DR17" s="269"/>
      <c r="DS17" s="269"/>
      <c r="DT17" s="269"/>
      <c r="DU17" s="269"/>
      <c r="DV17" s="269"/>
      <c r="DW17" s="269"/>
      <c r="DX17" s="269"/>
      <c r="DY17" s="269"/>
      <c r="DZ17" s="269"/>
      <c r="EA17" s="269"/>
      <c r="EB17" s="269"/>
    </row>
    <row r="18" spans="1:132" ht="15">
      <c r="A18" s="82"/>
      <c r="B18" s="82"/>
      <c r="C18" s="553"/>
      <c r="D18" s="554"/>
      <c r="E18" s="554"/>
      <c r="F18" s="554"/>
      <c r="G18" s="555"/>
      <c r="H18" s="550">
        <f t="shared" si="0"/>
        <v>0</v>
      </c>
      <c r="I18" s="550"/>
      <c r="J18" s="547">
        <f t="shared" si="1"/>
        <v>0</v>
      </c>
      <c r="K18" s="547"/>
      <c r="L18" s="548">
        <f t="shared" si="2"/>
        <v>0</v>
      </c>
      <c r="M18" s="5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49"/>
      <c r="AA18" s="249"/>
      <c r="AB18" s="249"/>
      <c r="AC18" s="249"/>
      <c r="AD18" s="249"/>
      <c r="AE18" s="349"/>
      <c r="AF18" s="349"/>
      <c r="AG18" s="350"/>
      <c r="AH18" s="350"/>
      <c r="AI18" s="350"/>
      <c r="AJ18" s="350"/>
      <c r="AK18" s="350"/>
      <c r="AL18" s="350"/>
      <c r="AM18" s="350"/>
      <c r="AN18" s="350"/>
      <c r="AO18" s="350"/>
      <c r="AP18" s="350"/>
      <c r="AQ18" s="350"/>
      <c r="AR18" s="350"/>
      <c r="AS18" s="350"/>
      <c r="AT18" s="350"/>
      <c r="AU18" s="350"/>
      <c r="AV18" s="350"/>
      <c r="AW18" s="350"/>
      <c r="AX18" s="350"/>
      <c r="AY18" s="350"/>
      <c r="AZ18" s="350"/>
      <c r="BA18" s="350"/>
      <c r="BB18" s="350"/>
      <c r="BC18" s="350"/>
      <c r="BD18" s="350"/>
      <c r="BE18" s="350"/>
      <c r="BF18" s="350"/>
      <c r="BG18" s="350"/>
      <c r="BH18" s="350"/>
      <c r="BI18" s="350"/>
      <c r="BJ18" s="350"/>
      <c r="BK18" s="350"/>
      <c r="BL18" s="350"/>
      <c r="BM18" s="350"/>
      <c r="BN18" s="350"/>
      <c r="BO18" s="350"/>
      <c r="BP18" s="350"/>
      <c r="BQ18" s="350"/>
      <c r="BR18" s="350"/>
      <c r="BS18" s="350"/>
      <c r="BT18" s="350"/>
      <c r="BU18" s="350"/>
      <c r="BV18" s="350"/>
      <c r="BW18" s="350"/>
      <c r="BX18" s="350"/>
      <c r="BY18" s="350"/>
      <c r="BZ18" s="350"/>
      <c r="CA18" s="350"/>
      <c r="CB18" s="350"/>
      <c r="CC18" s="350"/>
      <c r="CD18" s="350"/>
      <c r="CE18" s="350"/>
      <c r="CF18" s="350"/>
      <c r="CG18" s="350"/>
      <c r="CH18" s="350"/>
      <c r="CI18" s="350"/>
      <c r="CJ18" s="350"/>
      <c r="CK18" s="350"/>
      <c r="CL18" s="350"/>
      <c r="CM18" s="350"/>
      <c r="CN18" s="350"/>
      <c r="CO18" s="350"/>
      <c r="CP18" s="350"/>
      <c r="CQ18" s="350"/>
      <c r="CR18" s="350"/>
      <c r="CS18" s="350"/>
      <c r="CT18" s="350"/>
      <c r="CU18" s="350"/>
      <c r="CV18" s="350"/>
      <c r="CW18" s="350"/>
      <c r="CX18" s="350"/>
      <c r="CY18" s="350"/>
      <c r="CZ18" s="350"/>
      <c r="DA18" s="350"/>
      <c r="DB18" s="350"/>
      <c r="DC18" s="350"/>
      <c r="DD18" s="350"/>
      <c r="DE18" s="350"/>
      <c r="DF18" s="350"/>
      <c r="DG18" s="350"/>
      <c r="DH18" s="350"/>
      <c r="DI18" s="350"/>
      <c r="DJ18" s="350"/>
      <c r="DK18" s="350"/>
      <c r="DL18" s="350"/>
      <c r="DM18" s="350"/>
      <c r="DN18" s="350"/>
      <c r="DO18" s="350"/>
      <c r="DP18" s="350"/>
      <c r="DQ18" s="269"/>
      <c r="DR18" s="269"/>
      <c r="DS18" s="269"/>
      <c r="DT18" s="269"/>
      <c r="DU18" s="269"/>
      <c r="DV18" s="269"/>
      <c r="DW18" s="269"/>
      <c r="DX18" s="269"/>
      <c r="DY18" s="269"/>
      <c r="DZ18" s="269"/>
      <c r="EA18" s="269"/>
      <c r="EB18" s="269"/>
    </row>
    <row r="19" spans="1:132" ht="15">
      <c r="A19" s="82"/>
      <c r="B19" s="82"/>
      <c r="C19" s="553"/>
      <c r="D19" s="554"/>
      <c r="E19" s="554"/>
      <c r="F19" s="554"/>
      <c r="G19" s="555"/>
      <c r="H19" s="550">
        <f t="shared" si="0"/>
        <v>0</v>
      </c>
      <c r="I19" s="550"/>
      <c r="J19" s="547">
        <f t="shared" si="1"/>
        <v>0</v>
      </c>
      <c r="K19" s="547"/>
      <c r="L19" s="548">
        <f t="shared" si="2"/>
        <v>0</v>
      </c>
      <c r="M19" s="5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49"/>
      <c r="AA19" s="249"/>
      <c r="AB19" s="249"/>
      <c r="AC19" s="249"/>
      <c r="AD19" s="249"/>
      <c r="AE19" s="349"/>
      <c r="AF19" s="349"/>
      <c r="AG19" s="350"/>
      <c r="AH19" s="350"/>
      <c r="AI19" s="350"/>
      <c r="AJ19" s="350"/>
      <c r="AK19" s="350"/>
      <c r="AL19" s="350"/>
      <c r="AM19" s="350"/>
      <c r="AN19" s="350"/>
      <c r="AO19" s="350"/>
      <c r="AP19" s="350"/>
      <c r="AQ19" s="350"/>
      <c r="AR19" s="350"/>
      <c r="AS19" s="350"/>
      <c r="AT19" s="350"/>
      <c r="AU19" s="350"/>
      <c r="AV19" s="350"/>
      <c r="AW19" s="350"/>
      <c r="AX19" s="350"/>
      <c r="AY19" s="350"/>
      <c r="AZ19" s="350"/>
      <c r="BA19" s="350"/>
      <c r="BB19" s="350"/>
      <c r="BC19" s="350"/>
      <c r="BD19" s="350"/>
      <c r="BE19" s="350"/>
      <c r="BF19" s="350"/>
      <c r="BG19" s="350"/>
      <c r="BH19" s="350"/>
      <c r="BI19" s="350"/>
      <c r="BJ19" s="350"/>
      <c r="BK19" s="350"/>
      <c r="BL19" s="350"/>
      <c r="BM19" s="350"/>
      <c r="BN19" s="350"/>
      <c r="BO19" s="350"/>
      <c r="BP19" s="350"/>
      <c r="BQ19" s="350"/>
      <c r="BR19" s="350"/>
      <c r="BS19" s="350"/>
      <c r="BT19" s="350"/>
      <c r="BU19" s="350"/>
      <c r="BV19" s="350"/>
      <c r="BW19" s="350"/>
      <c r="BX19" s="350"/>
      <c r="BY19" s="350"/>
      <c r="BZ19" s="350"/>
      <c r="CA19" s="350"/>
      <c r="CB19" s="350"/>
      <c r="CC19" s="350"/>
      <c r="CD19" s="350"/>
      <c r="CE19" s="350"/>
      <c r="CF19" s="350"/>
      <c r="CG19" s="350"/>
      <c r="CH19" s="350"/>
      <c r="CI19" s="350"/>
      <c r="CJ19" s="350"/>
      <c r="CK19" s="350"/>
      <c r="CL19" s="350"/>
      <c r="CM19" s="350"/>
      <c r="CN19" s="350"/>
      <c r="CO19" s="350"/>
      <c r="CP19" s="350"/>
      <c r="CQ19" s="350"/>
      <c r="CR19" s="350"/>
      <c r="CS19" s="350"/>
      <c r="CT19" s="350"/>
      <c r="CU19" s="350"/>
      <c r="CV19" s="350"/>
      <c r="CW19" s="350"/>
      <c r="CX19" s="350"/>
      <c r="CY19" s="350"/>
      <c r="CZ19" s="350"/>
      <c r="DA19" s="350"/>
      <c r="DB19" s="350"/>
      <c r="DC19" s="350"/>
      <c r="DD19" s="350"/>
      <c r="DE19" s="350"/>
      <c r="DF19" s="350"/>
      <c r="DG19" s="350"/>
      <c r="DH19" s="350"/>
      <c r="DI19" s="350"/>
      <c r="DJ19" s="350"/>
      <c r="DK19" s="350"/>
      <c r="DL19" s="350"/>
      <c r="DM19" s="350"/>
      <c r="DN19" s="350"/>
      <c r="DO19" s="350"/>
      <c r="DP19" s="350"/>
      <c r="DQ19" s="269"/>
      <c r="DR19" s="269"/>
      <c r="DS19" s="269"/>
      <c r="DT19" s="269"/>
      <c r="DU19" s="269"/>
      <c r="DV19" s="269"/>
      <c r="DW19" s="269"/>
      <c r="DX19" s="269"/>
      <c r="DY19" s="269"/>
      <c r="DZ19" s="269"/>
      <c r="EA19" s="269"/>
      <c r="EB19" s="269"/>
    </row>
    <row r="20" spans="1:132" ht="15">
      <c r="A20" s="82"/>
      <c r="B20" s="82"/>
      <c r="C20" s="553"/>
      <c r="D20" s="554"/>
      <c r="E20" s="554"/>
      <c r="F20" s="554"/>
      <c r="G20" s="555"/>
      <c r="H20" s="550">
        <f t="shared" si="0"/>
        <v>0</v>
      </c>
      <c r="I20" s="550"/>
      <c r="J20" s="547">
        <f t="shared" si="1"/>
        <v>0</v>
      </c>
      <c r="K20" s="547"/>
      <c r="L20" s="548">
        <f t="shared" si="2"/>
        <v>0</v>
      </c>
      <c r="M20" s="5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49"/>
      <c r="Y20" s="249"/>
      <c r="Z20" s="249"/>
      <c r="AA20" s="249"/>
      <c r="AB20" s="249"/>
      <c r="AC20" s="249"/>
      <c r="AD20" s="249"/>
      <c r="AE20" s="349"/>
      <c r="AF20" s="349"/>
      <c r="AG20" s="350"/>
      <c r="AH20" s="350"/>
      <c r="AI20" s="350"/>
      <c r="AJ20" s="350"/>
      <c r="AK20" s="350"/>
      <c r="AL20" s="350"/>
      <c r="AM20" s="350"/>
      <c r="AN20" s="350"/>
      <c r="AO20" s="350"/>
      <c r="AP20" s="350"/>
      <c r="AQ20" s="350"/>
      <c r="AR20" s="350"/>
      <c r="AS20" s="350"/>
      <c r="AT20" s="350"/>
      <c r="AU20" s="350"/>
      <c r="AV20" s="350"/>
      <c r="AW20" s="350"/>
      <c r="AX20" s="350"/>
      <c r="AY20" s="350"/>
      <c r="AZ20" s="350"/>
      <c r="BA20" s="350"/>
      <c r="BB20" s="350"/>
      <c r="BC20" s="350"/>
      <c r="BD20" s="350"/>
      <c r="BE20" s="350"/>
      <c r="BF20" s="350"/>
      <c r="BG20" s="350"/>
      <c r="BH20" s="350"/>
      <c r="BI20" s="350"/>
      <c r="BJ20" s="350"/>
      <c r="BK20" s="350"/>
      <c r="BL20" s="350"/>
      <c r="BM20" s="350"/>
      <c r="BN20" s="350"/>
      <c r="BO20" s="350"/>
      <c r="BP20" s="350"/>
      <c r="BQ20" s="350"/>
      <c r="BR20" s="350"/>
      <c r="BS20" s="350"/>
      <c r="BT20" s="350"/>
      <c r="BU20" s="350"/>
      <c r="BV20" s="350"/>
      <c r="BW20" s="350"/>
      <c r="BX20" s="350"/>
      <c r="BY20" s="350"/>
      <c r="BZ20" s="350"/>
      <c r="CA20" s="350"/>
      <c r="CB20" s="350"/>
      <c r="CC20" s="350"/>
      <c r="CD20" s="350"/>
      <c r="CE20" s="350"/>
      <c r="CF20" s="350"/>
      <c r="CG20" s="350"/>
      <c r="CH20" s="350"/>
      <c r="CI20" s="350"/>
      <c r="CJ20" s="350"/>
      <c r="CK20" s="350"/>
      <c r="CL20" s="350"/>
      <c r="CM20" s="350"/>
      <c r="CN20" s="350"/>
      <c r="CO20" s="350"/>
      <c r="CP20" s="350"/>
      <c r="CQ20" s="350"/>
      <c r="CR20" s="350"/>
      <c r="CS20" s="350"/>
      <c r="CT20" s="350"/>
      <c r="CU20" s="350"/>
      <c r="CV20" s="350"/>
      <c r="CW20" s="350"/>
      <c r="CX20" s="350"/>
      <c r="CY20" s="350"/>
      <c r="CZ20" s="350"/>
      <c r="DA20" s="350"/>
      <c r="DB20" s="350"/>
      <c r="DC20" s="350"/>
      <c r="DD20" s="350"/>
      <c r="DE20" s="350"/>
      <c r="DF20" s="350"/>
      <c r="DG20" s="350"/>
      <c r="DH20" s="350"/>
      <c r="DI20" s="350"/>
      <c r="DJ20" s="350"/>
      <c r="DK20" s="350"/>
      <c r="DL20" s="350"/>
      <c r="DM20" s="350"/>
      <c r="DN20" s="350"/>
      <c r="DO20" s="350"/>
      <c r="DP20" s="350"/>
      <c r="DQ20" s="269"/>
      <c r="DR20" s="269"/>
      <c r="DS20" s="269"/>
      <c r="DT20" s="269"/>
      <c r="DU20" s="269"/>
      <c r="DV20" s="269"/>
      <c r="DW20" s="269"/>
      <c r="DX20" s="269"/>
      <c r="DY20" s="269"/>
      <c r="DZ20" s="269"/>
      <c r="EA20" s="269"/>
      <c r="EB20" s="269"/>
    </row>
    <row r="21" spans="1:132" ht="15">
      <c r="A21" s="82"/>
      <c r="B21" s="82"/>
      <c r="C21" s="553"/>
      <c r="D21" s="554"/>
      <c r="E21" s="554"/>
      <c r="F21" s="554"/>
      <c r="G21" s="555"/>
      <c r="H21" s="550">
        <f t="shared" si="0"/>
        <v>0</v>
      </c>
      <c r="I21" s="550"/>
      <c r="J21" s="547">
        <f t="shared" si="1"/>
        <v>0</v>
      </c>
      <c r="K21" s="547"/>
      <c r="L21" s="548">
        <f t="shared" si="2"/>
        <v>0</v>
      </c>
      <c r="M21" s="5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49"/>
      <c r="Y21" s="249"/>
      <c r="Z21" s="249"/>
      <c r="AA21" s="249"/>
      <c r="AB21" s="249"/>
      <c r="AC21" s="249"/>
      <c r="AD21" s="249"/>
      <c r="AE21" s="349"/>
      <c r="AF21" s="349"/>
      <c r="AG21" s="350"/>
      <c r="AH21" s="350"/>
      <c r="AI21" s="350"/>
      <c r="AJ21" s="350"/>
      <c r="AK21" s="350"/>
      <c r="AL21" s="350"/>
      <c r="AM21" s="350"/>
      <c r="AN21" s="350"/>
      <c r="AO21" s="350"/>
      <c r="AP21" s="350"/>
      <c r="AQ21" s="350"/>
      <c r="AR21" s="350"/>
      <c r="AS21" s="350"/>
      <c r="AT21" s="350"/>
      <c r="AU21" s="350"/>
      <c r="AV21" s="350"/>
      <c r="AW21" s="350"/>
      <c r="AX21" s="350"/>
      <c r="AY21" s="350"/>
      <c r="AZ21" s="350"/>
      <c r="BA21" s="350"/>
      <c r="BB21" s="350"/>
      <c r="BC21" s="350"/>
      <c r="BD21" s="350"/>
      <c r="BE21" s="350"/>
      <c r="BF21" s="350"/>
      <c r="BG21" s="350"/>
      <c r="BH21" s="350"/>
      <c r="BI21" s="350"/>
      <c r="BJ21" s="350"/>
      <c r="BK21" s="350"/>
      <c r="BL21" s="350"/>
      <c r="BM21" s="350"/>
      <c r="BN21" s="350"/>
      <c r="BO21" s="350"/>
      <c r="BP21" s="350"/>
      <c r="BQ21" s="350"/>
      <c r="BR21" s="350"/>
      <c r="BS21" s="350"/>
      <c r="BT21" s="350"/>
      <c r="BU21" s="350"/>
      <c r="BV21" s="350"/>
      <c r="BW21" s="350"/>
      <c r="BX21" s="350"/>
      <c r="BY21" s="350"/>
      <c r="BZ21" s="350"/>
      <c r="CA21" s="350"/>
      <c r="CB21" s="350"/>
      <c r="CC21" s="350"/>
      <c r="CD21" s="350"/>
      <c r="CE21" s="350"/>
      <c r="CF21" s="350"/>
      <c r="CG21" s="350"/>
      <c r="CH21" s="350"/>
      <c r="CI21" s="350"/>
      <c r="CJ21" s="350"/>
      <c r="CK21" s="350"/>
      <c r="CL21" s="350"/>
      <c r="CM21" s="350"/>
      <c r="CN21" s="350"/>
      <c r="CO21" s="350"/>
      <c r="CP21" s="350"/>
      <c r="CQ21" s="350"/>
      <c r="CR21" s="350"/>
      <c r="CS21" s="350"/>
      <c r="CT21" s="350"/>
      <c r="CU21" s="350"/>
      <c r="CV21" s="350"/>
      <c r="CW21" s="350"/>
      <c r="CX21" s="350"/>
      <c r="CY21" s="350"/>
      <c r="CZ21" s="350"/>
      <c r="DA21" s="350"/>
      <c r="DB21" s="350"/>
      <c r="DC21" s="350"/>
      <c r="DD21" s="350"/>
      <c r="DE21" s="350"/>
      <c r="DF21" s="350"/>
      <c r="DG21" s="350"/>
      <c r="DH21" s="350"/>
      <c r="DI21" s="350"/>
      <c r="DJ21" s="350"/>
      <c r="DK21" s="350"/>
      <c r="DL21" s="350"/>
      <c r="DM21" s="350"/>
      <c r="DN21" s="350"/>
      <c r="DO21" s="350"/>
      <c r="DP21" s="350"/>
      <c r="DQ21" s="269"/>
      <c r="DR21" s="269"/>
      <c r="DS21" s="269"/>
      <c r="DT21" s="269"/>
      <c r="DU21" s="269"/>
      <c r="DV21" s="269"/>
      <c r="DW21" s="269"/>
      <c r="DX21" s="269"/>
      <c r="DY21" s="269"/>
      <c r="DZ21" s="269"/>
      <c r="EA21" s="269"/>
      <c r="EB21" s="269"/>
    </row>
    <row r="22" spans="1:132" ht="15">
      <c r="A22" s="82"/>
      <c r="B22" s="82"/>
      <c r="C22" s="553"/>
      <c r="D22" s="554"/>
      <c r="E22" s="554"/>
      <c r="F22" s="554"/>
      <c r="G22" s="555"/>
      <c r="H22" s="550">
        <f t="shared" si="0"/>
        <v>0</v>
      </c>
      <c r="I22" s="550"/>
      <c r="J22" s="547">
        <f t="shared" si="1"/>
        <v>0</v>
      </c>
      <c r="K22" s="547"/>
      <c r="L22" s="548">
        <f t="shared" si="2"/>
        <v>0</v>
      </c>
      <c r="M22" s="5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  <c r="AA22" s="249"/>
      <c r="AB22" s="249"/>
      <c r="AC22" s="249"/>
      <c r="AD22" s="249"/>
      <c r="AE22" s="349"/>
      <c r="AF22" s="349"/>
      <c r="AG22" s="350"/>
      <c r="AH22" s="350"/>
      <c r="AI22" s="350"/>
      <c r="AJ22" s="350"/>
      <c r="AK22" s="350"/>
      <c r="AL22" s="350"/>
      <c r="AM22" s="350"/>
      <c r="AN22" s="350"/>
      <c r="AO22" s="350"/>
      <c r="AP22" s="350"/>
      <c r="AQ22" s="350"/>
      <c r="AR22" s="350"/>
      <c r="AS22" s="350"/>
      <c r="AT22" s="350"/>
      <c r="AU22" s="350"/>
      <c r="AV22" s="350"/>
      <c r="AW22" s="350"/>
      <c r="AX22" s="350"/>
      <c r="AY22" s="350"/>
      <c r="AZ22" s="350"/>
      <c r="BA22" s="350"/>
      <c r="BB22" s="350"/>
      <c r="BC22" s="350"/>
      <c r="BD22" s="350"/>
      <c r="BE22" s="350"/>
      <c r="BF22" s="350"/>
      <c r="BG22" s="350"/>
      <c r="BH22" s="350"/>
      <c r="BI22" s="350"/>
      <c r="BJ22" s="350"/>
      <c r="BK22" s="350"/>
      <c r="BL22" s="350"/>
      <c r="BM22" s="350"/>
      <c r="BN22" s="350"/>
      <c r="BO22" s="350"/>
      <c r="BP22" s="350"/>
      <c r="BQ22" s="350"/>
      <c r="BR22" s="350"/>
      <c r="BS22" s="350"/>
      <c r="BT22" s="350"/>
      <c r="BU22" s="350"/>
      <c r="BV22" s="350"/>
      <c r="BW22" s="350"/>
      <c r="BX22" s="350"/>
      <c r="BY22" s="350"/>
      <c r="BZ22" s="350"/>
      <c r="CA22" s="350"/>
      <c r="CB22" s="350"/>
      <c r="CC22" s="350"/>
      <c r="CD22" s="350"/>
      <c r="CE22" s="350"/>
      <c r="CF22" s="350"/>
      <c r="CG22" s="350"/>
      <c r="CH22" s="350"/>
      <c r="CI22" s="350"/>
      <c r="CJ22" s="350"/>
      <c r="CK22" s="350"/>
      <c r="CL22" s="350"/>
      <c r="CM22" s="350"/>
      <c r="CN22" s="350"/>
      <c r="CO22" s="350"/>
      <c r="CP22" s="350"/>
      <c r="CQ22" s="350"/>
      <c r="CR22" s="350"/>
      <c r="CS22" s="350"/>
      <c r="CT22" s="350"/>
      <c r="CU22" s="350"/>
      <c r="CV22" s="350"/>
      <c r="CW22" s="350"/>
      <c r="CX22" s="350"/>
      <c r="CY22" s="350"/>
      <c r="CZ22" s="350"/>
      <c r="DA22" s="350"/>
      <c r="DB22" s="350"/>
      <c r="DC22" s="350"/>
      <c r="DD22" s="350"/>
      <c r="DE22" s="350"/>
      <c r="DF22" s="350"/>
      <c r="DG22" s="350"/>
      <c r="DH22" s="350"/>
      <c r="DI22" s="350"/>
      <c r="DJ22" s="350"/>
      <c r="DK22" s="350"/>
      <c r="DL22" s="350"/>
      <c r="DM22" s="350"/>
      <c r="DN22" s="350"/>
      <c r="DO22" s="350"/>
      <c r="DP22" s="350"/>
      <c r="DQ22" s="269"/>
      <c r="DR22" s="269"/>
      <c r="DS22" s="269"/>
      <c r="DT22" s="269"/>
      <c r="DU22" s="269"/>
      <c r="DV22" s="269"/>
      <c r="DW22" s="269"/>
      <c r="DX22" s="269"/>
      <c r="DY22" s="269"/>
      <c r="DZ22" s="269"/>
      <c r="EA22" s="269"/>
      <c r="EB22" s="269"/>
    </row>
    <row r="23" spans="1:132" ht="15">
      <c r="A23" s="82"/>
      <c r="B23" s="82"/>
      <c r="C23" s="553"/>
      <c r="D23" s="554"/>
      <c r="E23" s="554"/>
      <c r="F23" s="554"/>
      <c r="G23" s="555"/>
      <c r="H23" s="550">
        <f t="shared" si="0"/>
        <v>0</v>
      </c>
      <c r="I23" s="550"/>
      <c r="J23" s="547">
        <f t="shared" si="1"/>
        <v>0</v>
      </c>
      <c r="K23" s="547"/>
      <c r="L23" s="548">
        <f t="shared" si="2"/>
        <v>0</v>
      </c>
      <c r="M23" s="5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  <c r="AA23" s="249"/>
      <c r="AB23" s="249"/>
      <c r="AC23" s="249"/>
      <c r="AD23" s="249"/>
      <c r="AE23" s="349"/>
      <c r="AF23" s="349"/>
      <c r="AG23" s="350"/>
      <c r="AH23" s="350"/>
      <c r="AI23" s="350"/>
      <c r="AJ23" s="350"/>
      <c r="AK23" s="350"/>
      <c r="AL23" s="350"/>
      <c r="AM23" s="350"/>
      <c r="AN23" s="350"/>
      <c r="AO23" s="350"/>
      <c r="AP23" s="350"/>
      <c r="AQ23" s="350"/>
      <c r="AR23" s="350"/>
      <c r="AS23" s="350"/>
      <c r="AT23" s="350"/>
      <c r="AU23" s="350"/>
      <c r="AV23" s="350"/>
      <c r="AW23" s="350"/>
      <c r="AX23" s="350"/>
      <c r="AY23" s="350"/>
      <c r="AZ23" s="350"/>
      <c r="BA23" s="350"/>
      <c r="BB23" s="350"/>
      <c r="BC23" s="350"/>
      <c r="BD23" s="350"/>
      <c r="BE23" s="350"/>
      <c r="BF23" s="350"/>
      <c r="BG23" s="350"/>
      <c r="BH23" s="350"/>
      <c r="BI23" s="350"/>
      <c r="BJ23" s="350"/>
      <c r="BK23" s="350"/>
      <c r="BL23" s="350"/>
      <c r="BM23" s="350"/>
      <c r="BN23" s="350"/>
      <c r="BO23" s="350"/>
      <c r="BP23" s="350"/>
      <c r="BQ23" s="350"/>
      <c r="BR23" s="350"/>
      <c r="BS23" s="350"/>
      <c r="BT23" s="350"/>
      <c r="BU23" s="350"/>
      <c r="BV23" s="350"/>
      <c r="BW23" s="350"/>
      <c r="BX23" s="350"/>
      <c r="BY23" s="350"/>
      <c r="BZ23" s="350"/>
      <c r="CA23" s="350"/>
      <c r="CB23" s="350"/>
      <c r="CC23" s="350"/>
      <c r="CD23" s="350"/>
      <c r="CE23" s="350"/>
      <c r="CF23" s="350"/>
      <c r="CG23" s="350"/>
      <c r="CH23" s="350"/>
      <c r="CI23" s="350"/>
      <c r="CJ23" s="350"/>
      <c r="CK23" s="350"/>
      <c r="CL23" s="350"/>
      <c r="CM23" s="350"/>
      <c r="CN23" s="350"/>
      <c r="CO23" s="350"/>
      <c r="CP23" s="350"/>
      <c r="CQ23" s="350"/>
      <c r="CR23" s="350"/>
      <c r="CS23" s="350"/>
      <c r="CT23" s="350"/>
      <c r="CU23" s="350"/>
      <c r="CV23" s="350"/>
      <c r="CW23" s="350"/>
      <c r="CX23" s="350"/>
      <c r="CY23" s="350"/>
      <c r="CZ23" s="350"/>
      <c r="DA23" s="350"/>
      <c r="DB23" s="350"/>
      <c r="DC23" s="350"/>
      <c r="DD23" s="350"/>
      <c r="DE23" s="350"/>
      <c r="DF23" s="350"/>
      <c r="DG23" s="350"/>
      <c r="DH23" s="350"/>
      <c r="DI23" s="350"/>
      <c r="DJ23" s="350"/>
      <c r="DK23" s="350"/>
      <c r="DL23" s="350"/>
      <c r="DM23" s="350"/>
      <c r="DN23" s="350"/>
      <c r="DO23" s="350"/>
      <c r="DP23" s="350"/>
      <c r="DQ23" s="269"/>
      <c r="DR23" s="269"/>
      <c r="DS23" s="269"/>
      <c r="DT23" s="269"/>
      <c r="DU23" s="269"/>
      <c r="DV23" s="269"/>
      <c r="DW23" s="269"/>
      <c r="DX23" s="269"/>
      <c r="DY23" s="269"/>
      <c r="DZ23" s="269"/>
      <c r="EA23" s="269"/>
      <c r="EB23" s="269"/>
    </row>
    <row r="24" spans="1:132" ht="15">
      <c r="A24" s="82"/>
      <c r="B24" s="82"/>
      <c r="C24" s="553"/>
      <c r="D24" s="554"/>
      <c r="E24" s="554"/>
      <c r="F24" s="554"/>
      <c r="G24" s="555"/>
      <c r="H24" s="550">
        <f t="shared" si="0"/>
        <v>0</v>
      </c>
      <c r="I24" s="550"/>
      <c r="J24" s="547">
        <f t="shared" si="1"/>
        <v>0</v>
      </c>
      <c r="K24" s="547"/>
      <c r="L24" s="548">
        <f t="shared" si="2"/>
        <v>0</v>
      </c>
      <c r="M24" s="5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349"/>
      <c r="AF24" s="349"/>
      <c r="AG24" s="350"/>
      <c r="AH24" s="350"/>
      <c r="AI24" s="350"/>
      <c r="AJ24" s="350"/>
      <c r="AK24" s="350"/>
      <c r="AL24" s="350"/>
      <c r="AM24" s="350"/>
      <c r="AN24" s="350"/>
      <c r="AO24" s="350"/>
      <c r="AP24" s="350"/>
      <c r="AQ24" s="350"/>
      <c r="AR24" s="350"/>
      <c r="AS24" s="350"/>
      <c r="AT24" s="350"/>
      <c r="AU24" s="350"/>
      <c r="AV24" s="350"/>
      <c r="AW24" s="350"/>
      <c r="AX24" s="350"/>
      <c r="AY24" s="350"/>
      <c r="AZ24" s="350"/>
      <c r="BA24" s="350"/>
      <c r="BB24" s="350"/>
      <c r="BC24" s="350"/>
      <c r="BD24" s="350"/>
      <c r="BE24" s="350"/>
      <c r="BF24" s="350"/>
      <c r="BG24" s="350"/>
      <c r="BH24" s="350"/>
      <c r="BI24" s="350"/>
      <c r="BJ24" s="350"/>
      <c r="BK24" s="350"/>
      <c r="BL24" s="350"/>
      <c r="BM24" s="350"/>
      <c r="BN24" s="350"/>
      <c r="BO24" s="350"/>
      <c r="BP24" s="350"/>
      <c r="BQ24" s="350"/>
      <c r="BR24" s="350"/>
      <c r="BS24" s="350"/>
      <c r="BT24" s="350"/>
      <c r="BU24" s="350"/>
      <c r="BV24" s="350"/>
      <c r="BW24" s="350"/>
      <c r="BX24" s="350"/>
      <c r="BY24" s="350"/>
      <c r="BZ24" s="350"/>
      <c r="CA24" s="350"/>
      <c r="CB24" s="350"/>
      <c r="CC24" s="350"/>
      <c r="CD24" s="350"/>
      <c r="CE24" s="350"/>
      <c r="CF24" s="350"/>
      <c r="CG24" s="350"/>
      <c r="CH24" s="350"/>
      <c r="CI24" s="350"/>
      <c r="CJ24" s="350"/>
      <c r="CK24" s="350"/>
      <c r="CL24" s="350"/>
      <c r="CM24" s="350"/>
      <c r="CN24" s="350"/>
      <c r="CO24" s="350"/>
      <c r="CP24" s="350"/>
      <c r="CQ24" s="350"/>
      <c r="CR24" s="350"/>
      <c r="CS24" s="350"/>
      <c r="CT24" s="350"/>
      <c r="CU24" s="350"/>
      <c r="CV24" s="350"/>
      <c r="CW24" s="350"/>
      <c r="CX24" s="350"/>
      <c r="CY24" s="350"/>
      <c r="CZ24" s="350"/>
      <c r="DA24" s="350"/>
      <c r="DB24" s="350"/>
      <c r="DC24" s="350"/>
      <c r="DD24" s="350"/>
      <c r="DE24" s="350"/>
      <c r="DF24" s="350"/>
      <c r="DG24" s="350"/>
      <c r="DH24" s="350"/>
      <c r="DI24" s="350"/>
      <c r="DJ24" s="350"/>
      <c r="DK24" s="350"/>
      <c r="DL24" s="350"/>
      <c r="DM24" s="350"/>
      <c r="DN24" s="350"/>
      <c r="DO24" s="350"/>
      <c r="DP24" s="350"/>
      <c r="DQ24" s="269"/>
      <c r="DR24" s="269"/>
      <c r="DS24" s="269"/>
      <c r="DT24" s="269"/>
      <c r="DU24" s="269"/>
      <c r="DV24" s="269"/>
      <c r="DW24" s="269"/>
      <c r="DX24" s="269"/>
      <c r="DY24" s="269"/>
      <c r="DZ24" s="269"/>
      <c r="EA24" s="269"/>
      <c r="EB24" s="269"/>
    </row>
    <row r="25" spans="1:132" ht="15">
      <c r="A25" s="82"/>
      <c r="B25" s="82"/>
      <c r="C25" s="553"/>
      <c r="D25" s="554"/>
      <c r="E25" s="554"/>
      <c r="F25" s="554"/>
      <c r="G25" s="555"/>
      <c r="H25" s="550">
        <f t="shared" si="0"/>
        <v>0</v>
      </c>
      <c r="I25" s="550"/>
      <c r="J25" s="547">
        <f t="shared" si="1"/>
        <v>0</v>
      </c>
      <c r="K25" s="547"/>
      <c r="L25" s="548">
        <f t="shared" si="2"/>
        <v>0</v>
      </c>
      <c r="M25" s="5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82"/>
      <c r="AF25" s="82"/>
      <c r="AG25" s="269"/>
      <c r="AH25" s="269"/>
      <c r="AI25" s="269"/>
      <c r="AJ25" s="269"/>
      <c r="AK25" s="269"/>
      <c r="AL25" s="269"/>
      <c r="AM25" s="269"/>
      <c r="AN25" s="269"/>
      <c r="AO25" s="269"/>
      <c r="AP25" s="269"/>
      <c r="AQ25" s="269"/>
      <c r="AR25" s="269"/>
      <c r="AS25" s="269"/>
      <c r="AT25" s="269"/>
      <c r="AU25" s="269"/>
      <c r="AV25" s="269"/>
      <c r="AW25" s="269"/>
      <c r="AX25" s="269"/>
      <c r="AY25" s="269"/>
      <c r="AZ25" s="269"/>
      <c r="BA25" s="269"/>
      <c r="BB25" s="269"/>
      <c r="BC25" s="269"/>
      <c r="BD25" s="269"/>
      <c r="BE25" s="269"/>
      <c r="BF25" s="269"/>
      <c r="BG25" s="269"/>
      <c r="BH25" s="269"/>
      <c r="BI25" s="269"/>
      <c r="BJ25" s="269"/>
      <c r="BK25" s="269"/>
      <c r="BL25" s="269"/>
      <c r="BM25" s="269"/>
      <c r="BN25" s="269"/>
      <c r="BO25" s="269"/>
      <c r="BP25" s="269"/>
      <c r="BQ25" s="269"/>
      <c r="BR25" s="269"/>
      <c r="BS25" s="269"/>
      <c r="BT25" s="269"/>
      <c r="BU25" s="269"/>
      <c r="BV25" s="269"/>
      <c r="BW25" s="269"/>
      <c r="BX25" s="269"/>
      <c r="BY25" s="269"/>
      <c r="BZ25" s="269"/>
      <c r="CA25" s="269"/>
      <c r="CB25" s="269"/>
      <c r="CC25" s="269"/>
      <c r="CD25" s="269"/>
      <c r="CE25" s="269"/>
      <c r="CF25" s="269"/>
      <c r="CG25" s="269"/>
      <c r="CH25" s="269"/>
      <c r="CI25" s="269"/>
      <c r="CJ25" s="269"/>
      <c r="CK25" s="269"/>
      <c r="CL25" s="269"/>
      <c r="CM25" s="269"/>
      <c r="CN25" s="269"/>
      <c r="CO25" s="269"/>
      <c r="CP25" s="269"/>
      <c r="CQ25" s="269"/>
      <c r="CR25" s="269"/>
      <c r="CS25" s="269"/>
      <c r="CT25" s="269"/>
      <c r="CU25" s="269"/>
      <c r="CV25" s="269"/>
      <c r="CW25" s="269"/>
      <c r="CX25" s="269"/>
      <c r="CY25" s="269"/>
      <c r="CZ25" s="269"/>
      <c r="DA25" s="269"/>
      <c r="DB25" s="269"/>
      <c r="DC25" s="269"/>
      <c r="DD25" s="269"/>
      <c r="DE25" s="269"/>
      <c r="DF25" s="269"/>
      <c r="DG25" s="269"/>
      <c r="DH25" s="269"/>
      <c r="DI25" s="269"/>
      <c r="DJ25" s="269"/>
      <c r="DK25" s="269"/>
      <c r="DL25" s="269"/>
      <c r="DM25" s="269"/>
      <c r="DN25" s="269"/>
      <c r="DO25" s="269"/>
      <c r="DP25" s="269"/>
      <c r="DQ25" s="269"/>
      <c r="DR25" s="269"/>
      <c r="DS25" s="269"/>
      <c r="DT25" s="269"/>
      <c r="DU25" s="269"/>
      <c r="DV25" s="269"/>
      <c r="DW25" s="269"/>
      <c r="DX25" s="269"/>
      <c r="DY25" s="269"/>
      <c r="DZ25" s="269"/>
      <c r="EA25" s="269"/>
      <c r="EB25" s="269"/>
    </row>
    <row r="26" spans="1:132" ht="15">
      <c r="A26" s="82"/>
      <c r="B26" s="82"/>
      <c r="C26" s="553"/>
      <c r="D26" s="554"/>
      <c r="E26" s="554"/>
      <c r="F26" s="554"/>
      <c r="G26" s="555"/>
      <c r="H26" s="550">
        <f t="shared" si="0"/>
        <v>0</v>
      </c>
      <c r="I26" s="550"/>
      <c r="J26" s="547">
        <f t="shared" si="1"/>
        <v>0</v>
      </c>
      <c r="K26" s="547"/>
      <c r="L26" s="548">
        <f t="shared" si="2"/>
        <v>0</v>
      </c>
      <c r="M26" s="5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49"/>
      <c r="Y26" s="249"/>
      <c r="Z26" s="249"/>
      <c r="AA26" s="249"/>
      <c r="AB26" s="249"/>
      <c r="AC26" s="249"/>
      <c r="AD26" s="249"/>
      <c r="AE26" s="82"/>
      <c r="AF26" s="82"/>
      <c r="AG26" s="269"/>
      <c r="AH26" s="269"/>
      <c r="AI26" s="269"/>
      <c r="AJ26" s="269"/>
      <c r="AK26" s="269"/>
      <c r="AL26" s="269"/>
      <c r="AM26" s="269"/>
      <c r="AN26" s="269"/>
      <c r="AO26" s="269"/>
      <c r="AP26" s="269"/>
      <c r="AQ26" s="269"/>
      <c r="AR26" s="269"/>
      <c r="AS26" s="269"/>
      <c r="AT26" s="269"/>
      <c r="AU26" s="269"/>
      <c r="AV26" s="269"/>
      <c r="AW26" s="269"/>
      <c r="AX26" s="269"/>
      <c r="AY26" s="269"/>
      <c r="AZ26" s="269"/>
      <c r="BA26" s="269"/>
      <c r="BB26" s="269"/>
      <c r="BC26" s="269"/>
      <c r="BD26" s="269"/>
      <c r="BE26" s="269"/>
      <c r="BF26" s="269"/>
      <c r="BG26" s="269"/>
      <c r="BH26" s="269"/>
      <c r="BI26" s="269"/>
      <c r="BJ26" s="269"/>
      <c r="BK26" s="269"/>
      <c r="BL26" s="269"/>
      <c r="BM26" s="269"/>
      <c r="BN26" s="269"/>
      <c r="BO26" s="269"/>
      <c r="BP26" s="269"/>
      <c r="BQ26" s="269"/>
      <c r="BR26" s="269"/>
      <c r="BS26" s="269"/>
      <c r="BT26" s="269"/>
      <c r="BU26" s="269"/>
      <c r="BV26" s="269"/>
      <c r="BW26" s="269"/>
      <c r="BX26" s="269"/>
      <c r="BY26" s="269"/>
      <c r="BZ26" s="269"/>
      <c r="CA26" s="269"/>
      <c r="CB26" s="269"/>
      <c r="CC26" s="269"/>
      <c r="CD26" s="269"/>
      <c r="CE26" s="269"/>
      <c r="CF26" s="269"/>
      <c r="CG26" s="269"/>
      <c r="CH26" s="269"/>
      <c r="CI26" s="269"/>
      <c r="CJ26" s="269"/>
      <c r="CK26" s="269"/>
      <c r="CL26" s="269"/>
      <c r="CM26" s="269"/>
      <c r="CN26" s="269"/>
      <c r="CO26" s="269"/>
      <c r="CP26" s="269"/>
      <c r="CQ26" s="269"/>
      <c r="CR26" s="269"/>
      <c r="CS26" s="269"/>
      <c r="CT26" s="269"/>
      <c r="CU26" s="269"/>
      <c r="CV26" s="269"/>
      <c r="CW26" s="269"/>
      <c r="CX26" s="269"/>
      <c r="CY26" s="269"/>
      <c r="CZ26" s="269"/>
      <c r="DA26" s="269"/>
      <c r="DB26" s="269"/>
      <c r="DC26" s="269"/>
      <c r="DD26" s="269"/>
      <c r="DE26" s="269"/>
      <c r="DF26" s="269"/>
      <c r="DG26" s="269"/>
      <c r="DH26" s="269"/>
      <c r="DI26" s="269"/>
      <c r="DJ26" s="269"/>
      <c r="DK26" s="269"/>
      <c r="DL26" s="269"/>
      <c r="DM26" s="269"/>
      <c r="DN26" s="269"/>
      <c r="DO26" s="269"/>
      <c r="DP26" s="269"/>
      <c r="DQ26" s="269"/>
      <c r="DR26" s="269"/>
      <c r="DS26" s="269"/>
      <c r="DT26" s="269"/>
      <c r="DU26" s="269"/>
      <c r="DV26" s="269"/>
      <c r="DW26" s="269"/>
      <c r="DX26" s="269"/>
      <c r="DY26" s="269"/>
      <c r="DZ26" s="269"/>
      <c r="EA26" s="269"/>
      <c r="EB26" s="269"/>
    </row>
    <row r="27" spans="1:132" ht="16.5" thickBot="1">
      <c r="A27" s="82"/>
      <c r="B27" s="82"/>
      <c r="C27" s="579" t="s">
        <v>13</v>
      </c>
      <c r="D27" s="580"/>
      <c r="E27" s="580"/>
      <c r="F27" s="580"/>
      <c r="G27" s="580"/>
      <c r="H27" s="575">
        <f>SUM(H12:I26)</f>
        <v>79.693899999999999</v>
      </c>
      <c r="I27" s="576"/>
      <c r="J27" s="575"/>
      <c r="K27" s="576"/>
      <c r="L27" s="577">
        <f>SUM(L12:M26)</f>
        <v>22879.85</v>
      </c>
      <c r="M27" s="578"/>
      <c r="N27" s="249"/>
      <c r="O27" s="249"/>
      <c r="P27" s="249"/>
      <c r="Q27" s="249"/>
      <c r="R27" s="249"/>
      <c r="S27" s="249"/>
      <c r="T27" s="249"/>
      <c r="U27" s="249"/>
      <c r="V27" s="249"/>
      <c r="W27" s="249"/>
      <c r="X27" s="249"/>
      <c r="Y27" s="249"/>
      <c r="Z27" s="249"/>
      <c r="AA27" s="249"/>
      <c r="AB27" s="249"/>
      <c r="AC27" s="249"/>
      <c r="AD27" s="249"/>
      <c r="AE27" s="82"/>
      <c r="AF27" s="82"/>
      <c r="AG27" s="269"/>
      <c r="AH27" s="269"/>
      <c r="AI27" s="269"/>
      <c r="AJ27" s="269"/>
      <c r="AK27" s="269"/>
      <c r="AL27" s="269"/>
      <c r="AM27" s="269"/>
      <c r="AN27" s="269"/>
      <c r="AO27" s="269"/>
      <c r="AP27" s="269"/>
      <c r="AQ27" s="269"/>
      <c r="AR27" s="269"/>
      <c r="AS27" s="269"/>
      <c r="AT27" s="269"/>
      <c r="AU27" s="269"/>
      <c r="AV27" s="269"/>
      <c r="AW27" s="269"/>
      <c r="AX27" s="269"/>
      <c r="AY27" s="269"/>
      <c r="AZ27" s="269"/>
      <c r="BA27" s="269"/>
      <c r="BB27" s="269"/>
      <c r="BC27" s="269"/>
      <c r="BD27" s="269"/>
      <c r="BE27" s="269"/>
      <c r="BF27" s="269"/>
      <c r="BG27" s="269"/>
      <c r="BH27" s="269"/>
      <c r="BI27" s="269"/>
      <c r="BJ27" s="269"/>
      <c r="BK27" s="269"/>
      <c r="BL27" s="269"/>
      <c r="BM27" s="269"/>
      <c r="BN27" s="269"/>
      <c r="BO27" s="269"/>
      <c r="BP27" s="269"/>
      <c r="BQ27" s="269"/>
      <c r="BR27" s="269"/>
      <c r="BS27" s="269"/>
      <c r="BT27" s="269"/>
      <c r="BU27" s="269"/>
      <c r="BV27" s="269"/>
      <c r="BW27" s="269"/>
      <c r="BX27" s="269"/>
      <c r="BY27" s="269"/>
      <c r="BZ27" s="269"/>
      <c r="CA27" s="269"/>
      <c r="CB27" s="269"/>
      <c r="CC27" s="269"/>
      <c r="CD27" s="269"/>
      <c r="CE27" s="269"/>
      <c r="CF27" s="269"/>
      <c r="CG27" s="269"/>
      <c r="CH27" s="269"/>
      <c r="CI27" s="269"/>
      <c r="CJ27" s="269"/>
      <c r="CK27" s="269"/>
      <c r="CL27" s="269"/>
      <c r="CM27" s="269"/>
      <c r="CN27" s="269"/>
      <c r="CO27" s="269"/>
      <c r="CP27" s="269"/>
      <c r="CQ27" s="269"/>
      <c r="CR27" s="269"/>
      <c r="CS27" s="269"/>
      <c r="CT27" s="269"/>
      <c r="CU27" s="269"/>
      <c r="CV27" s="269"/>
      <c r="CW27" s="269"/>
      <c r="CX27" s="269"/>
      <c r="CY27" s="269"/>
      <c r="CZ27" s="269"/>
      <c r="DA27" s="269"/>
      <c r="DB27" s="269"/>
      <c r="DC27" s="269"/>
      <c r="DD27" s="269"/>
      <c r="DE27" s="269"/>
      <c r="DF27" s="269"/>
      <c r="DG27" s="269"/>
      <c r="DH27" s="269"/>
      <c r="DI27" s="269"/>
      <c r="DJ27" s="269"/>
      <c r="DK27" s="269"/>
      <c r="DL27" s="269"/>
      <c r="DM27" s="269"/>
      <c r="DN27" s="269"/>
      <c r="DO27" s="269"/>
      <c r="DP27" s="269"/>
      <c r="DQ27" s="269"/>
      <c r="DR27" s="269"/>
      <c r="DS27" s="269"/>
      <c r="DT27" s="269"/>
      <c r="DU27" s="269"/>
      <c r="DV27" s="269"/>
      <c r="DW27" s="269"/>
      <c r="DX27" s="269"/>
      <c r="DY27" s="269"/>
      <c r="DZ27" s="269"/>
      <c r="EA27" s="269"/>
      <c r="EB27" s="269"/>
    </row>
    <row r="28" spans="1:132" ht="15" customHeight="1">
      <c r="A28" s="82"/>
      <c r="B28" s="82"/>
      <c r="C28" s="250"/>
      <c r="D28" s="249"/>
      <c r="E28" s="249"/>
      <c r="F28" s="251"/>
      <c r="G28" s="249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49"/>
      <c r="Y28" s="249"/>
      <c r="Z28" s="249"/>
      <c r="AA28" s="249"/>
      <c r="AB28" s="249"/>
      <c r="AC28" s="249"/>
      <c r="AD28" s="249"/>
      <c r="AE28" s="82"/>
      <c r="AF28" s="82"/>
      <c r="AG28" s="269"/>
      <c r="AH28" s="269"/>
      <c r="AI28" s="269"/>
      <c r="AJ28" s="269"/>
      <c r="AK28" s="269"/>
      <c r="AL28" s="269"/>
      <c r="AM28" s="269"/>
      <c r="AN28" s="269"/>
      <c r="AO28" s="269"/>
      <c r="AP28" s="269"/>
      <c r="AQ28" s="269"/>
      <c r="AR28" s="269"/>
      <c r="AS28" s="269"/>
      <c r="AT28" s="269"/>
      <c r="AU28" s="269"/>
      <c r="AV28" s="269"/>
      <c r="AW28" s="269"/>
      <c r="AX28" s="269"/>
      <c r="AY28" s="269"/>
      <c r="AZ28" s="269"/>
      <c r="BA28" s="269"/>
      <c r="BB28" s="269"/>
      <c r="BC28" s="269"/>
      <c r="BD28" s="269"/>
      <c r="BE28" s="269"/>
      <c r="BF28" s="269"/>
      <c r="BG28" s="269"/>
      <c r="BH28" s="269"/>
      <c r="BI28" s="269"/>
      <c r="BJ28" s="269"/>
      <c r="BK28" s="269"/>
      <c r="BL28" s="269"/>
      <c r="BM28" s="269"/>
      <c r="BN28" s="269"/>
      <c r="BO28" s="269"/>
      <c r="BP28" s="269"/>
      <c r="BQ28" s="269"/>
      <c r="BR28" s="269"/>
      <c r="BS28" s="269"/>
      <c r="BT28" s="269"/>
      <c r="BU28" s="269"/>
      <c r="BV28" s="269"/>
      <c r="BW28" s="269"/>
      <c r="BX28" s="269"/>
      <c r="BY28" s="269"/>
      <c r="BZ28" s="269"/>
      <c r="CA28" s="269"/>
      <c r="CB28" s="269"/>
      <c r="CC28" s="269"/>
      <c r="CD28" s="269"/>
      <c r="CE28" s="269"/>
      <c r="CF28" s="269"/>
      <c r="CG28" s="269"/>
      <c r="CH28" s="269"/>
      <c r="CI28" s="269"/>
      <c r="CJ28" s="269"/>
      <c r="CK28" s="269"/>
      <c r="CL28" s="269"/>
      <c r="CM28" s="269"/>
      <c r="CN28" s="269"/>
      <c r="CO28" s="269"/>
      <c r="CP28" s="269"/>
      <c r="CQ28" s="269"/>
      <c r="CR28" s="269"/>
      <c r="CS28" s="269"/>
      <c r="CT28" s="269"/>
      <c r="CU28" s="269"/>
      <c r="CV28" s="269"/>
      <c r="CW28" s="269"/>
      <c r="CX28" s="269"/>
      <c r="CY28" s="269"/>
      <c r="CZ28" s="269"/>
      <c r="DA28" s="269"/>
      <c r="DB28" s="269"/>
      <c r="DC28" s="269"/>
      <c r="DD28" s="269"/>
      <c r="DE28" s="269"/>
      <c r="DF28" s="269"/>
      <c r="DG28" s="269"/>
      <c r="DH28" s="269"/>
      <c r="DI28" s="269"/>
      <c r="DJ28" s="269"/>
      <c r="DK28" s="269"/>
      <c r="DL28" s="269"/>
      <c r="DM28" s="269"/>
      <c r="DN28" s="269"/>
      <c r="DO28" s="269"/>
      <c r="DP28" s="269"/>
      <c r="DQ28" s="269"/>
      <c r="DR28" s="269"/>
      <c r="DS28" s="269"/>
      <c r="DT28" s="269"/>
      <c r="DU28" s="269"/>
      <c r="DV28" s="269"/>
      <c r="DW28" s="269"/>
      <c r="DX28" s="269"/>
      <c r="DY28" s="269"/>
      <c r="DZ28" s="269"/>
      <c r="EA28" s="269"/>
      <c r="EB28" s="269"/>
    </row>
    <row r="29" spans="1:132" ht="15" thickBot="1">
      <c r="A29" s="82"/>
      <c r="B29" s="82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2"/>
      <c r="AF29" s="82"/>
      <c r="AG29" s="269"/>
      <c r="AH29" s="269"/>
      <c r="AI29" s="269"/>
      <c r="AJ29" s="269"/>
      <c r="AK29" s="269"/>
      <c r="AL29" s="269"/>
      <c r="AM29" s="269"/>
      <c r="AN29" s="269"/>
      <c r="AO29" s="269"/>
      <c r="AP29" s="269"/>
      <c r="AQ29" s="269"/>
      <c r="AR29" s="269"/>
      <c r="AS29" s="269"/>
      <c r="AT29" s="269"/>
      <c r="AU29" s="269"/>
      <c r="AV29" s="269"/>
      <c r="AW29" s="269"/>
      <c r="AX29" s="269"/>
      <c r="AY29" s="269"/>
      <c r="AZ29" s="269"/>
      <c r="BA29" s="269"/>
      <c r="BB29" s="269"/>
      <c r="BC29" s="269"/>
      <c r="BD29" s="269"/>
      <c r="BE29" s="269"/>
      <c r="BF29" s="269"/>
      <c r="BG29" s="269"/>
      <c r="BH29" s="269"/>
      <c r="BI29" s="269"/>
      <c r="BJ29" s="269"/>
      <c r="BK29" s="269"/>
      <c r="BL29" s="269"/>
      <c r="BM29" s="269"/>
      <c r="BN29" s="269"/>
      <c r="BO29" s="269"/>
      <c r="BP29" s="269"/>
      <c r="BQ29" s="269"/>
      <c r="BR29" s="269"/>
      <c r="BS29" s="269"/>
      <c r="BT29" s="269"/>
      <c r="BU29" s="269"/>
      <c r="BV29" s="269"/>
      <c r="BW29" s="269"/>
      <c r="BX29" s="269"/>
      <c r="BY29" s="269"/>
      <c r="BZ29" s="269"/>
      <c r="CA29" s="269"/>
      <c r="CB29" s="269"/>
      <c r="CC29" s="269"/>
      <c r="CD29" s="269"/>
      <c r="CE29" s="269"/>
      <c r="CF29" s="269"/>
      <c r="CG29" s="269"/>
      <c r="CH29" s="269"/>
      <c r="CI29" s="269"/>
      <c r="CJ29" s="269"/>
      <c r="CK29" s="269"/>
      <c r="CL29" s="269"/>
      <c r="CM29" s="269"/>
      <c r="CN29" s="269"/>
      <c r="CO29" s="269"/>
      <c r="CP29" s="269"/>
      <c r="CQ29" s="269"/>
      <c r="CR29" s="269"/>
      <c r="CS29" s="269"/>
      <c r="CT29" s="269"/>
      <c r="CU29" s="269"/>
      <c r="CV29" s="269"/>
      <c r="CW29" s="269"/>
      <c r="CX29" s="269"/>
      <c r="CY29" s="269"/>
      <c r="CZ29" s="269"/>
      <c r="DA29" s="269"/>
      <c r="DB29" s="269"/>
      <c r="DC29" s="269"/>
      <c r="DD29" s="269"/>
      <c r="DE29" s="269"/>
      <c r="DF29" s="269"/>
      <c r="DG29" s="269"/>
      <c r="DH29" s="269"/>
      <c r="DI29" s="269"/>
      <c r="DJ29" s="269"/>
      <c r="DK29" s="269"/>
      <c r="DL29" s="269"/>
      <c r="DM29" s="269"/>
      <c r="DN29" s="269"/>
      <c r="DO29" s="269"/>
      <c r="DP29" s="269"/>
      <c r="DQ29" s="269"/>
      <c r="DR29" s="269"/>
      <c r="DS29" s="269"/>
      <c r="DT29" s="269"/>
      <c r="DU29" s="269"/>
      <c r="DV29" s="269"/>
      <c r="DW29" s="269"/>
      <c r="DX29" s="269"/>
      <c r="DY29" s="269"/>
      <c r="DZ29" s="269"/>
      <c r="EA29" s="269"/>
      <c r="EB29" s="269"/>
    </row>
    <row r="30" spans="1:132" ht="21" thickBot="1">
      <c r="A30" s="82"/>
      <c r="B30" s="82"/>
      <c r="C30" s="573"/>
      <c r="D30" s="574"/>
      <c r="E30" s="574"/>
      <c r="F30" s="574"/>
      <c r="G30" s="574"/>
      <c r="H30" s="574"/>
      <c r="I30" s="574"/>
      <c r="J30" s="574"/>
      <c r="K30" s="574"/>
      <c r="L30" s="574"/>
      <c r="M30" s="574"/>
      <c r="N30" s="574"/>
      <c r="O30" s="574"/>
      <c r="P30" s="574"/>
      <c r="Q30" s="574"/>
      <c r="R30" s="574"/>
      <c r="S30" s="574"/>
      <c r="T30" s="574"/>
      <c r="U30" s="574"/>
      <c r="V30" s="574"/>
      <c r="W30" s="574"/>
      <c r="X30" s="574"/>
      <c r="Y30" s="574"/>
      <c r="Z30" s="574"/>
      <c r="AA30" s="574"/>
      <c r="AB30" s="574"/>
      <c r="AC30" s="574"/>
      <c r="AD30" s="574"/>
      <c r="AE30" s="574"/>
      <c r="AF30" s="574"/>
      <c r="AG30" s="574"/>
      <c r="AH30" s="574"/>
      <c r="AI30" s="574"/>
      <c r="AJ30" s="574"/>
      <c r="AK30" s="574"/>
      <c r="AL30" s="574"/>
      <c r="AM30" s="574"/>
      <c r="AN30" s="574"/>
      <c r="AO30" s="574"/>
      <c r="AP30" s="574"/>
      <c r="AQ30" s="574"/>
      <c r="AR30" s="574"/>
      <c r="AS30" s="574"/>
      <c r="AT30" s="574"/>
      <c r="AU30" s="574"/>
      <c r="AV30" s="574"/>
      <c r="AW30" s="574"/>
      <c r="AX30" s="565"/>
      <c r="AY30" s="566"/>
      <c r="AZ30" s="269"/>
      <c r="BA30" s="269"/>
      <c r="BB30" s="269"/>
      <c r="BC30" s="269"/>
      <c r="BD30" s="269"/>
      <c r="BE30" s="269"/>
      <c r="BF30" s="269"/>
      <c r="BG30" s="269"/>
      <c r="BH30" s="269"/>
      <c r="BI30" s="269"/>
      <c r="BJ30" s="269"/>
      <c r="BK30" s="269"/>
      <c r="BL30" s="269"/>
      <c r="BM30" s="269"/>
      <c r="BN30" s="269"/>
      <c r="BO30" s="269"/>
      <c r="BP30" s="269"/>
      <c r="BQ30" s="269"/>
      <c r="BR30" s="269"/>
      <c r="BS30" s="269"/>
      <c r="BT30" s="269"/>
      <c r="BU30" s="269"/>
      <c r="BV30" s="269"/>
      <c r="BW30" s="269"/>
      <c r="BX30" s="269"/>
      <c r="BY30" s="269"/>
      <c r="BZ30" s="269"/>
      <c r="CA30" s="269"/>
      <c r="CB30" s="269"/>
      <c r="CC30" s="269"/>
      <c r="CD30" s="269"/>
      <c r="CE30" s="269"/>
      <c r="CF30" s="269"/>
      <c r="CG30" s="269"/>
      <c r="CH30" s="269"/>
      <c r="CI30" s="269"/>
      <c r="CJ30" s="269"/>
      <c r="CK30" s="269"/>
      <c r="CL30" s="269"/>
      <c r="CM30" s="269"/>
      <c r="CN30" s="269"/>
      <c r="CO30" s="269"/>
      <c r="CP30" s="269"/>
      <c r="CQ30" s="269"/>
      <c r="CR30" s="269"/>
      <c r="CS30" s="269"/>
      <c r="CT30" s="269"/>
      <c r="CU30" s="269"/>
      <c r="CV30" s="269"/>
      <c r="CW30" s="269"/>
      <c r="CX30" s="269"/>
      <c r="CY30" s="269"/>
      <c r="CZ30" s="269"/>
      <c r="DA30" s="269"/>
      <c r="DB30" s="269"/>
      <c r="DC30" s="269"/>
      <c r="DD30" s="269"/>
      <c r="DE30" s="269"/>
      <c r="DF30" s="269"/>
      <c r="DG30" s="269"/>
      <c r="DH30" s="269"/>
      <c r="DI30" s="269"/>
      <c r="DJ30" s="269"/>
      <c r="DK30" s="269"/>
      <c r="DL30" s="269"/>
      <c r="DM30" s="269"/>
      <c r="DN30" s="269"/>
      <c r="DO30" s="269"/>
      <c r="DP30" s="269"/>
      <c r="DQ30" s="269"/>
      <c r="DR30" s="269"/>
      <c r="DS30" s="269"/>
      <c r="DT30" s="269"/>
      <c r="DU30" s="269"/>
      <c r="DV30" s="269"/>
      <c r="DW30" s="269"/>
      <c r="DX30" s="269"/>
      <c r="DY30" s="269"/>
      <c r="DZ30" s="269"/>
      <c r="EA30" s="269"/>
      <c r="EB30" s="269"/>
    </row>
    <row r="31" spans="1:132" ht="15.75" customHeight="1" thickBot="1">
      <c r="A31" s="82"/>
      <c r="B31" s="82"/>
      <c r="C31" s="538" t="s">
        <v>74</v>
      </c>
      <c r="D31" s="545"/>
      <c r="E31" s="546" t="s">
        <v>52</v>
      </c>
      <c r="F31" s="543"/>
      <c r="G31" s="543"/>
      <c r="H31" s="543"/>
      <c r="I31" s="543"/>
      <c r="J31" s="543"/>
      <c r="K31" s="543"/>
      <c r="L31" s="543"/>
      <c r="M31" s="543"/>
      <c r="N31" s="543"/>
      <c r="O31" s="543"/>
      <c r="P31" s="543"/>
      <c r="Q31" s="543"/>
      <c r="R31" s="543"/>
      <c r="S31" s="543"/>
      <c r="T31" s="543"/>
      <c r="U31" s="543"/>
      <c r="V31" s="543"/>
      <c r="W31" s="543"/>
      <c r="X31" s="543"/>
      <c r="Y31" s="543"/>
      <c r="Z31" s="543"/>
      <c r="AA31" s="543"/>
      <c r="AB31" s="543"/>
      <c r="AC31" s="543"/>
      <c r="AD31" s="543"/>
      <c r="AE31" s="543"/>
      <c r="AF31" s="543"/>
      <c r="AG31" s="543"/>
      <c r="AH31" s="543"/>
      <c r="AI31" s="543"/>
      <c r="AJ31" s="543"/>
      <c r="AK31" s="543"/>
      <c r="AL31" s="543"/>
      <c r="AM31" s="543"/>
      <c r="AN31" s="543"/>
      <c r="AO31" s="543"/>
      <c r="AP31" s="543"/>
      <c r="AQ31" s="543"/>
      <c r="AR31" s="543"/>
      <c r="AS31" s="543"/>
      <c r="AT31" s="543"/>
      <c r="AU31" s="543"/>
      <c r="AV31" s="543"/>
      <c r="AW31" s="544"/>
      <c r="AX31" s="569" t="s">
        <v>25</v>
      </c>
      <c r="AY31" s="571" t="s">
        <v>26</v>
      </c>
      <c r="AZ31" s="269"/>
      <c r="BA31" s="269"/>
      <c r="BB31" s="269"/>
      <c r="BC31" s="269"/>
      <c r="BD31" s="269"/>
      <c r="BE31" s="269"/>
      <c r="BF31" s="269"/>
      <c r="BG31" s="269"/>
      <c r="BH31" s="269"/>
      <c r="BI31" s="269"/>
      <c r="BJ31" s="269"/>
      <c r="BK31" s="269"/>
      <c r="BL31" s="269"/>
      <c r="BM31" s="269"/>
      <c r="BN31" s="269"/>
      <c r="BO31" s="269"/>
      <c r="BP31" s="269"/>
      <c r="BQ31" s="269"/>
      <c r="BR31" s="269"/>
      <c r="BS31" s="269"/>
      <c r="BT31" s="269"/>
      <c r="BU31" s="269"/>
      <c r="BV31" s="269"/>
      <c r="BW31" s="269"/>
      <c r="BX31" s="269"/>
      <c r="BY31" s="269"/>
      <c r="BZ31" s="269"/>
      <c r="CA31" s="269"/>
      <c r="CB31" s="269"/>
      <c r="CC31" s="269"/>
      <c r="CD31" s="269"/>
      <c r="CE31" s="269"/>
      <c r="CF31" s="269"/>
      <c r="CG31" s="269"/>
      <c r="CH31" s="269"/>
      <c r="CI31" s="269"/>
      <c r="CJ31" s="269"/>
      <c r="CK31" s="269"/>
      <c r="CL31" s="269"/>
      <c r="CM31" s="269"/>
      <c r="CN31" s="269"/>
      <c r="CO31" s="269"/>
      <c r="CP31" s="269"/>
      <c r="CQ31" s="269"/>
      <c r="CR31" s="269"/>
      <c r="CS31" s="269"/>
      <c r="CT31" s="269"/>
      <c r="CU31" s="269"/>
      <c r="CV31" s="269"/>
      <c r="CW31" s="269"/>
      <c r="CX31" s="269"/>
      <c r="CY31" s="269"/>
      <c r="CZ31" s="269"/>
      <c r="DA31" s="269"/>
      <c r="DB31" s="269"/>
      <c r="DC31" s="269"/>
      <c r="DD31" s="269"/>
      <c r="DE31" s="269"/>
      <c r="DF31" s="269"/>
      <c r="DG31" s="269"/>
      <c r="DH31" s="269"/>
      <c r="DI31" s="269"/>
      <c r="DJ31" s="269"/>
      <c r="DK31" s="269"/>
      <c r="DL31" s="269"/>
      <c r="DM31" s="269"/>
      <c r="DN31" s="269"/>
      <c r="DO31" s="269"/>
      <c r="DP31" s="269"/>
      <c r="DQ31" s="269"/>
      <c r="DR31" s="269"/>
      <c r="DS31" s="269"/>
      <c r="DT31" s="269"/>
      <c r="DU31" s="269"/>
      <c r="DV31" s="269"/>
      <c r="DW31" s="269"/>
      <c r="DX31" s="269"/>
      <c r="DY31" s="269"/>
      <c r="DZ31" s="269"/>
      <c r="EA31" s="269"/>
      <c r="EB31" s="269"/>
    </row>
    <row r="32" spans="1:132" ht="15.75" thickBot="1">
      <c r="A32" s="82"/>
      <c r="B32" s="82"/>
      <c r="C32" s="567"/>
      <c r="D32" s="568"/>
      <c r="E32" s="440" t="s">
        <v>334</v>
      </c>
      <c r="F32" s="441" t="s">
        <v>335</v>
      </c>
      <c r="G32" s="441" t="s">
        <v>336</v>
      </c>
      <c r="H32" s="442" t="s">
        <v>337</v>
      </c>
      <c r="I32" s="441" t="s">
        <v>338</v>
      </c>
      <c r="J32" s="441" t="s">
        <v>339</v>
      </c>
      <c r="K32" s="441" t="s">
        <v>340</v>
      </c>
      <c r="L32" s="441" t="s">
        <v>341</v>
      </c>
      <c r="M32" s="442" t="s">
        <v>342</v>
      </c>
      <c r="N32" s="441" t="s">
        <v>343</v>
      </c>
      <c r="O32" s="443" t="s">
        <v>344</v>
      </c>
      <c r="P32" s="441" t="s">
        <v>345</v>
      </c>
      <c r="Q32" s="441" t="s">
        <v>225</v>
      </c>
      <c r="R32" s="441" t="s">
        <v>226</v>
      </c>
      <c r="S32" s="441" t="s">
        <v>227</v>
      </c>
      <c r="T32" s="441" t="s">
        <v>346</v>
      </c>
      <c r="U32" s="441" t="s">
        <v>347</v>
      </c>
      <c r="V32" s="441" t="s">
        <v>348</v>
      </c>
      <c r="W32" s="441" t="s">
        <v>349</v>
      </c>
      <c r="X32" s="441" t="s">
        <v>350</v>
      </c>
      <c r="Y32" s="441" t="s">
        <v>351</v>
      </c>
      <c r="Z32" s="441" t="s">
        <v>352</v>
      </c>
      <c r="AA32" s="441" t="s">
        <v>353</v>
      </c>
      <c r="AB32" s="441" t="s">
        <v>354</v>
      </c>
      <c r="AC32" s="441" t="s">
        <v>355</v>
      </c>
      <c r="AD32" s="441" t="s">
        <v>356</v>
      </c>
      <c r="AE32" s="441" t="s">
        <v>357</v>
      </c>
      <c r="AF32" s="441" t="s">
        <v>358</v>
      </c>
      <c r="AG32" s="441" t="s">
        <v>359</v>
      </c>
      <c r="AH32" s="441" t="s">
        <v>360</v>
      </c>
      <c r="AI32" s="442" t="s">
        <v>361</v>
      </c>
      <c r="AJ32" s="441" t="s">
        <v>362</v>
      </c>
      <c r="AK32" s="443" t="s">
        <v>363</v>
      </c>
      <c r="AL32" s="443" t="s">
        <v>364</v>
      </c>
      <c r="AM32" s="443" t="s">
        <v>365</v>
      </c>
      <c r="AN32" s="443" t="s">
        <v>366</v>
      </c>
      <c r="AO32" s="443" t="s">
        <v>367</v>
      </c>
      <c r="AP32" s="443" t="s">
        <v>368</v>
      </c>
      <c r="AQ32" s="443" t="s">
        <v>369</v>
      </c>
      <c r="AR32" s="443"/>
      <c r="AS32" s="443"/>
      <c r="AT32" s="443"/>
      <c r="AU32" s="443"/>
      <c r="AV32" s="441"/>
      <c r="AW32" s="444"/>
      <c r="AX32" s="570"/>
      <c r="AY32" s="572"/>
      <c r="AZ32" s="117"/>
      <c r="BA32" s="269"/>
      <c r="BB32" s="269"/>
      <c r="BC32" s="269"/>
      <c r="BD32" s="269"/>
      <c r="BE32" s="269"/>
      <c r="BF32" s="269"/>
      <c r="BG32" s="269"/>
      <c r="BH32" s="269"/>
      <c r="BI32" s="269"/>
      <c r="BJ32" s="269"/>
      <c r="BK32" s="269"/>
      <c r="BL32" s="269"/>
      <c r="BM32" s="269"/>
      <c r="BN32" s="269"/>
      <c r="BO32" s="269"/>
      <c r="BP32" s="269"/>
      <c r="BQ32" s="269"/>
      <c r="BR32" s="269"/>
      <c r="BS32" s="269"/>
      <c r="BT32" s="269"/>
      <c r="BU32" s="269"/>
      <c r="BV32" s="269"/>
      <c r="BW32" s="269"/>
      <c r="BX32" s="269"/>
      <c r="BY32" s="269"/>
      <c r="BZ32" s="269"/>
      <c r="CA32" s="269"/>
      <c r="CB32" s="269"/>
      <c r="CC32" s="269"/>
      <c r="CD32" s="269"/>
      <c r="CE32" s="269"/>
      <c r="CF32" s="269"/>
      <c r="CG32" s="269"/>
      <c r="CH32" s="269"/>
      <c r="CI32" s="269"/>
      <c r="CJ32" s="269"/>
      <c r="CK32" s="269"/>
      <c r="CL32" s="269"/>
      <c r="CM32" s="269"/>
      <c r="CN32" s="269"/>
      <c r="CO32" s="269"/>
      <c r="CP32" s="269"/>
      <c r="CQ32" s="269"/>
      <c r="CR32" s="269"/>
      <c r="CS32" s="269"/>
      <c r="CT32" s="269"/>
      <c r="CU32" s="269"/>
      <c r="CV32" s="269"/>
      <c r="CW32" s="269"/>
      <c r="CX32" s="269"/>
      <c r="CY32" s="269"/>
      <c r="CZ32" s="269"/>
      <c r="DA32" s="269"/>
      <c r="DB32" s="269"/>
      <c r="DC32" s="269"/>
      <c r="DD32" s="269"/>
      <c r="DE32" s="269"/>
      <c r="DF32" s="269"/>
      <c r="DG32" s="269"/>
      <c r="DH32" s="269"/>
      <c r="DI32" s="269"/>
      <c r="DJ32" s="269"/>
      <c r="DK32" s="269"/>
      <c r="DL32" s="269"/>
      <c r="DM32" s="269"/>
      <c r="DN32" s="269"/>
      <c r="DO32" s="269"/>
      <c r="DP32" s="269"/>
      <c r="DQ32" s="269"/>
      <c r="DR32" s="269"/>
      <c r="DS32" s="269"/>
      <c r="DT32" s="269"/>
      <c r="DU32" s="269"/>
      <c r="DV32" s="269"/>
      <c r="DW32" s="269"/>
      <c r="DX32" s="269"/>
      <c r="DY32" s="269"/>
      <c r="DZ32" s="269"/>
      <c r="EA32" s="269"/>
      <c r="EB32" s="269"/>
    </row>
    <row r="33" spans="1:132" ht="15">
      <c r="A33" s="82"/>
      <c r="B33" s="82"/>
      <c r="C33" s="417">
        <v>0</v>
      </c>
      <c r="D33" s="436">
        <v>37995.041666666199</v>
      </c>
      <c r="E33" s="419">
        <v>4.03</v>
      </c>
      <c r="F33" s="420">
        <v>9.8450000000000006</v>
      </c>
      <c r="G33" s="420">
        <v>0</v>
      </c>
      <c r="H33" s="422">
        <v>5.69</v>
      </c>
      <c r="I33" s="420">
        <v>0</v>
      </c>
      <c r="J33" s="420">
        <v>0</v>
      </c>
      <c r="K33" s="420">
        <v>0</v>
      </c>
      <c r="L33" s="420">
        <v>0</v>
      </c>
      <c r="M33" s="422">
        <v>0</v>
      </c>
      <c r="N33" s="420">
        <v>0</v>
      </c>
      <c r="O33" s="420">
        <v>0</v>
      </c>
      <c r="P33" s="422">
        <v>0</v>
      </c>
      <c r="Q33" s="420">
        <v>0</v>
      </c>
      <c r="R33" s="420">
        <v>0</v>
      </c>
      <c r="S33" s="420">
        <v>0</v>
      </c>
      <c r="T33" s="420">
        <v>5</v>
      </c>
      <c r="U33" s="420">
        <v>5</v>
      </c>
      <c r="V33" s="420">
        <v>4.34</v>
      </c>
      <c r="W33" s="420">
        <v>8.6449999999999996</v>
      </c>
      <c r="X33" s="420">
        <v>0</v>
      </c>
      <c r="Y33" s="420">
        <v>1.31</v>
      </c>
      <c r="Z33" s="420">
        <v>1.31</v>
      </c>
      <c r="AA33" s="420">
        <v>0</v>
      </c>
      <c r="AB33" s="420">
        <v>0</v>
      </c>
      <c r="AC33" s="420">
        <v>0</v>
      </c>
      <c r="AD33" s="420">
        <v>1.39</v>
      </c>
      <c r="AE33" s="420">
        <v>1.39</v>
      </c>
      <c r="AF33" s="420">
        <v>1.375</v>
      </c>
      <c r="AG33" s="420">
        <v>1.375</v>
      </c>
      <c r="AH33" s="420">
        <v>5.49</v>
      </c>
      <c r="AI33" s="422">
        <v>5.49</v>
      </c>
      <c r="AJ33" s="420">
        <v>5.7</v>
      </c>
      <c r="AK33" s="421">
        <v>0</v>
      </c>
      <c r="AL33" s="421">
        <v>9.5</v>
      </c>
      <c r="AM33" s="421">
        <v>2.54</v>
      </c>
      <c r="AN33" s="421">
        <v>11</v>
      </c>
      <c r="AO33" s="421">
        <v>11</v>
      </c>
      <c r="AP33" s="421">
        <v>1.71</v>
      </c>
      <c r="AQ33" s="421">
        <v>7.92</v>
      </c>
      <c r="AR33" s="421"/>
      <c r="AS33" s="421"/>
      <c r="AT33" s="421"/>
      <c r="AU33" s="421"/>
      <c r="AV33" s="420"/>
      <c r="AW33" s="437"/>
      <c r="AX33" s="438">
        <f t="shared" ref="AX33:AX56" si="3">+SUM(E33:AW33)</f>
        <v>111.05000000000001</v>
      </c>
      <c r="AY33" s="439">
        <f>SUMPRODUCT(E33:AW33,E93:AW93)</f>
        <v>11542.159</v>
      </c>
      <c r="AZ33" s="117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69"/>
      <c r="CI33" s="269"/>
      <c r="CJ33" s="269"/>
      <c r="CK33" s="269"/>
      <c r="CL33" s="269"/>
      <c r="CM33" s="269"/>
      <c r="CN33" s="269"/>
      <c r="CO33" s="269"/>
      <c r="CP33" s="269"/>
      <c r="CQ33" s="269"/>
      <c r="CR33" s="269"/>
      <c r="CS33" s="269"/>
      <c r="CT33" s="269"/>
      <c r="CU33" s="269"/>
      <c r="CV33" s="269"/>
      <c r="CW33" s="269"/>
      <c r="CX33" s="269"/>
      <c r="CY33" s="269"/>
      <c r="CZ33" s="269"/>
      <c r="DA33" s="269"/>
      <c r="DB33" s="269"/>
      <c r="DC33" s="269"/>
      <c r="DD33" s="269"/>
      <c r="DE33" s="269"/>
      <c r="DF33" s="269"/>
      <c r="DG33" s="269"/>
      <c r="DH33" s="269"/>
      <c r="DI33" s="269"/>
      <c r="DJ33" s="269"/>
      <c r="DK33" s="269"/>
      <c r="DL33" s="269"/>
      <c r="DM33" s="269"/>
      <c r="DN33" s="269"/>
      <c r="DO33" s="269"/>
      <c r="DP33" s="269"/>
      <c r="DQ33" s="269"/>
      <c r="DR33" s="269"/>
      <c r="DS33" s="269"/>
      <c r="DT33" s="269"/>
      <c r="DU33" s="269"/>
      <c r="DV33" s="269"/>
      <c r="DW33" s="269"/>
      <c r="DX33" s="269"/>
      <c r="DY33" s="269"/>
      <c r="DZ33" s="269"/>
      <c r="EA33" s="269"/>
      <c r="EB33" s="269"/>
    </row>
    <row r="34" spans="1:132" ht="15">
      <c r="A34" s="82"/>
      <c r="B34" s="82"/>
      <c r="C34" s="394">
        <f>+D33</f>
        <v>37995.041666666199</v>
      </c>
      <c r="D34" s="254">
        <v>37995.083333332863</v>
      </c>
      <c r="E34" s="255">
        <v>6.94</v>
      </c>
      <c r="F34" s="123">
        <v>9.8450000000000006</v>
      </c>
      <c r="G34" s="123">
        <v>0</v>
      </c>
      <c r="H34" s="313">
        <v>5.69</v>
      </c>
      <c r="I34" s="123">
        <v>0</v>
      </c>
      <c r="J34" s="123">
        <v>0</v>
      </c>
      <c r="K34" s="123">
        <v>0</v>
      </c>
      <c r="L34" s="123">
        <v>0</v>
      </c>
      <c r="M34" s="313">
        <v>0</v>
      </c>
      <c r="N34" s="123">
        <v>0</v>
      </c>
      <c r="O34" s="123">
        <v>0</v>
      </c>
      <c r="P34" s="313">
        <v>0</v>
      </c>
      <c r="Q34" s="123">
        <v>0</v>
      </c>
      <c r="R34" s="123">
        <v>0</v>
      </c>
      <c r="S34" s="123">
        <v>0</v>
      </c>
      <c r="T34" s="123">
        <v>5</v>
      </c>
      <c r="U34" s="123">
        <v>5</v>
      </c>
      <c r="V34" s="123">
        <v>4.34</v>
      </c>
      <c r="W34" s="123">
        <v>8.6449999999999996</v>
      </c>
      <c r="X34" s="123">
        <v>0</v>
      </c>
      <c r="Y34" s="123">
        <v>1.31</v>
      </c>
      <c r="Z34" s="123">
        <v>1.31</v>
      </c>
      <c r="AA34" s="123">
        <v>0</v>
      </c>
      <c r="AB34" s="123">
        <v>0</v>
      </c>
      <c r="AC34" s="123">
        <v>0</v>
      </c>
      <c r="AD34" s="123">
        <v>1.39</v>
      </c>
      <c r="AE34" s="123">
        <v>1.39</v>
      </c>
      <c r="AF34" s="123">
        <v>1.375</v>
      </c>
      <c r="AG34" s="123">
        <v>1.375</v>
      </c>
      <c r="AH34" s="123">
        <v>5.49</v>
      </c>
      <c r="AI34" s="313">
        <v>5.49</v>
      </c>
      <c r="AJ34" s="123">
        <v>3.37</v>
      </c>
      <c r="AK34" s="271">
        <v>0</v>
      </c>
      <c r="AL34" s="271">
        <v>9.5</v>
      </c>
      <c r="AM34" s="271">
        <v>2.54</v>
      </c>
      <c r="AN34" s="271">
        <v>11</v>
      </c>
      <c r="AO34" s="271">
        <v>11</v>
      </c>
      <c r="AP34" s="271">
        <v>1.335</v>
      </c>
      <c r="AQ34" s="271">
        <v>0.5</v>
      </c>
      <c r="AR34" s="271"/>
      <c r="AS34" s="271"/>
      <c r="AT34" s="271"/>
      <c r="AU34" s="271"/>
      <c r="AV34" s="123"/>
      <c r="AW34" s="395"/>
      <c r="AX34" s="256">
        <f t="shared" si="3"/>
        <v>103.83500000000001</v>
      </c>
      <c r="AY34" s="431">
        <f t="shared" ref="AY34:AY56" si="4">SUMPRODUCT(E34:AW34,E94:AW94)</f>
        <v>10819.494000000001</v>
      </c>
      <c r="AZ34" s="117"/>
      <c r="BA34" s="269"/>
      <c r="BB34" s="269"/>
      <c r="BC34" s="269"/>
      <c r="BD34" s="269"/>
      <c r="BE34" s="269"/>
      <c r="BF34" s="269"/>
      <c r="BG34" s="269"/>
      <c r="BH34" s="269"/>
      <c r="BI34" s="269"/>
      <c r="BJ34" s="269"/>
      <c r="BK34" s="269"/>
      <c r="BL34" s="269"/>
      <c r="BM34" s="269"/>
      <c r="BN34" s="269"/>
      <c r="BO34" s="269"/>
      <c r="BP34" s="269"/>
      <c r="BQ34" s="269"/>
      <c r="BR34" s="269"/>
      <c r="BS34" s="269"/>
      <c r="BT34" s="269"/>
      <c r="BU34" s="269"/>
      <c r="BV34" s="269"/>
      <c r="BW34" s="269"/>
      <c r="BX34" s="269"/>
      <c r="BY34" s="269"/>
      <c r="BZ34" s="269"/>
      <c r="CA34" s="269"/>
      <c r="CB34" s="269"/>
      <c r="CC34" s="269"/>
      <c r="CD34" s="269"/>
      <c r="CE34" s="269"/>
      <c r="CF34" s="269"/>
      <c r="CG34" s="269"/>
      <c r="CH34" s="269"/>
      <c r="CI34" s="269"/>
      <c r="CJ34" s="269"/>
      <c r="CK34" s="269"/>
      <c r="CL34" s="269"/>
      <c r="CM34" s="269"/>
      <c r="CN34" s="269"/>
      <c r="CO34" s="269"/>
      <c r="CP34" s="269"/>
      <c r="CQ34" s="269"/>
      <c r="CR34" s="269"/>
      <c r="CS34" s="269"/>
      <c r="CT34" s="269"/>
      <c r="CU34" s="269"/>
      <c r="CV34" s="269"/>
      <c r="CW34" s="269"/>
      <c r="CX34" s="269"/>
      <c r="CY34" s="269"/>
      <c r="CZ34" s="269"/>
      <c r="DA34" s="269"/>
      <c r="DB34" s="269"/>
      <c r="DC34" s="269"/>
      <c r="DD34" s="269"/>
      <c r="DE34" s="269"/>
      <c r="DF34" s="269"/>
      <c r="DG34" s="269"/>
      <c r="DH34" s="269"/>
      <c r="DI34" s="269"/>
      <c r="DJ34" s="269"/>
      <c r="DK34" s="269"/>
      <c r="DL34" s="269"/>
      <c r="DM34" s="269"/>
      <c r="DN34" s="269"/>
      <c r="DO34" s="269"/>
      <c r="DP34" s="269"/>
      <c r="DQ34" s="269"/>
      <c r="DR34" s="269"/>
      <c r="DS34" s="269"/>
      <c r="DT34" s="269"/>
      <c r="DU34" s="269"/>
      <c r="DV34" s="269"/>
      <c r="DW34" s="269"/>
      <c r="DX34" s="269"/>
      <c r="DY34" s="269"/>
      <c r="DZ34" s="269"/>
      <c r="EA34" s="269"/>
      <c r="EB34" s="269"/>
    </row>
    <row r="35" spans="1:132" ht="15">
      <c r="A35" s="82"/>
      <c r="B35" s="82"/>
      <c r="C35" s="394">
        <v>37995.083333332863</v>
      </c>
      <c r="D35" s="254">
        <v>37995.124999999527</v>
      </c>
      <c r="E35" s="255">
        <v>2.13</v>
      </c>
      <c r="F35" s="123">
        <v>9.8450000000000006</v>
      </c>
      <c r="G35" s="123">
        <v>0</v>
      </c>
      <c r="H35" s="313">
        <v>5.69</v>
      </c>
      <c r="I35" s="123">
        <v>0</v>
      </c>
      <c r="J35" s="123">
        <v>0</v>
      </c>
      <c r="K35" s="123">
        <v>0</v>
      </c>
      <c r="L35" s="123">
        <v>0</v>
      </c>
      <c r="M35" s="313">
        <v>0</v>
      </c>
      <c r="N35" s="123">
        <v>0</v>
      </c>
      <c r="O35" s="123">
        <v>0</v>
      </c>
      <c r="P35" s="313">
        <v>0</v>
      </c>
      <c r="Q35" s="123">
        <v>0</v>
      </c>
      <c r="R35" s="123">
        <v>0</v>
      </c>
      <c r="S35" s="123">
        <v>0</v>
      </c>
      <c r="T35" s="123">
        <v>5</v>
      </c>
      <c r="U35" s="123">
        <v>0</v>
      </c>
      <c r="V35" s="123">
        <v>5.3849999999999998</v>
      </c>
      <c r="W35" s="123">
        <v>8.6449999999999996</v>
      </c>
      <c r="X35" s="123">
        <v>0</v>
      </c>
      <c r="Y35" s="123">
        <v>1.31</v>
      </c>
      <c r="Z35" s="123">
        <v>1.31</v>
      </c>
      <c r="AA35" s="123">
        <v>0</v>
      </c>
      <c r="AB35" s="123">
        <v>0</v>
      </c>
      <c r="AC35" s="123">
        <v>0</v>
      </c>
      <c r="AD35" s="123">
        <v>1.39</v>
      </c>
      <c r="AE35" s="123">
        <v>1.39</v>
      </c>
      <c r="AF35" s="123">
        <v>1.375</v>
      </c>
      <c r="AG35" s="123">
        <v>1.375</v>
      </c>
      <c r="AH35" s="123">
        <v>5.49</v>
      </c>
      <c r="AI35" s="313">
        <v>5.49</v>
      </c>
      <c r="AJ35" s="123">
        <v>7.0750000000000002</v>
      </c>
      <c r="AK35" s="271">
        <v>0</v>
      </c>
      <c r="AL35" s="271">
        <v>9.5</v>
      </c>
      <c r="AM35" s="271">
        <v>2.54</v>
      </c>
      <c r="AN35" s="271">
        <v>11</v>
      </c>
      <c r="AO35" s="271">
        <v>11</v>
      </c>
      <c r="AP35" s="271">
        <v>1.71</v>
      </c>
      <c r="AQ35" s="271">
        <v>7.92</v>
      </c>
      <c r="AR35" s="271"/>
      <c r="AS35" s="271"/>
      <c r="AT35" s="271"/>
      <c r="AU35" s="271"/>
      <c r="AV35" s="123"/>
      <c r="AW35" s="395"/>
      <c r="AX35" s="256">
        <f t="shared" si="3"/>
        <v>106.57000000000002</v>
      </c>
      <c r="AY35" s="431">
        <f t="shared" si="4"/>
        <v>10870.368999999999</v>
      </c>
      <c r="AZ35" s="117"/>
      <c r="BA35" s="269"/>
      <c r="BB35" s="269"/>
      <c r="BC35" s="269"/>
      <c r="BD35" s="269"/>
      <c r="BE35" s="269"/>
      <c r="BF35" s="269"/>
      <c r="BG35" s="269"/>
      <c r="BH35" s="269"/>
      <c r="BI35" s="269"/>
      <c r="BJ35" s="269"/>
      <c r="BK35" s="269"/>
      <c r="BL35" s="269"/>
      <c r="BM35" s="269"/>
      <c r="BN35" s="269"/>
      <c r="BO35" s="269"/>
      <c r="BP35" s="269"/>
      <c r="BQ35" s="269"/>
      <c r="BR35" s="269"/>
      <c r="BS35" s="269"/>
      <c r="BT35" s="269"/>
      <c r="BU35" s="269"/>
      <c r="BV35" s="269"/>
      <c r="BW35" s="269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269"/>
      <c r="CI35" s="269"/>
      <c r="CJ35" s="269"/>
      <c r="CK35" s="269"/>
      <c r="CL35" s="269"/>
      <c r="CM35" s="269"/>
      <c r="CN35" s="269"/>
      <c r="CO35" s="269"/>
      <c r="CP35" s="269"/>
      <c r="CQ35" s="269"/>
      <c r="CR35" s="269"/>
      <c r="CS35" s="269"/>
      <c r="CT35" s="269"/>
      <c r="CU35" s="269"/>
      <c r="CV35" s="269"/>
      <c r="CW35" s="269"/>
      <c r="CX35" s="269"/>
      <c r="CY35" s="269"/>
      <c r="CZ35" s="269"/>
      <c r="DA35" s="269"/>
      <c r="DB35" s="269"/>
      <c r="DC35" s="269"/>
      <c r="DD35" s="269"/>
      <c r="DE35" s="269"/>
      <c r="DF35" s="269"/>
      <c r="DG35" s="269"/>
      <c r="DH35" s="269"/>
      <c r="DI35" s="269"/>
      <c r="DJ35" s="269"/>
      <c r="DK35" s="269"/>
      <c r="DL35" s="269"/>
      <c r="DM35" s="269"/>
      <c r="DN35" s="269"/>
      <c r="DO35" s="269"/>
      <c r="DP35" s="269"/>
      <c r="DQ35" s="269"/>
      <c r="DR35" s="269"/>
      <c r="DS35" s="269"/>
      <c r="DT35" s="269"/>
      <c r="DU35" s="269"/>
      <c r="DV35" s="269"/>
      <c r="DW35" s="269"/>
      <c r="DX35" s="269"/>
      <c r="DY35" s="269"/>
      <c r="DZ35" s="269"/>
      <c r="EA35" s="269"/>
      <c r="EB35" s="269"/>
    </row>
    <row r="36" spans="1:132" ht="15">
      <c r="A36" s="82"/>
      <c r="B36" s="82"/>
      <c r="C36" s="394">
        <v>37995.124999999527</v>
      </c>
      <c r="D36" s="254">
        <v>37995.166666666191</v>
      </c>
      <c r="E36" s="255">
        <v>6.32</v>
      </c>
      <c r="F36" s="123">
        <v>9.8450000000000006</v>
      </c>
      <c r="G36" s="123">
        <v>0</v>
      </c>
      <c r="H36" s="313">
        <v>5.69</v>
      </c>
      <c r="I36" s="123">
        <v>0</v>
      </c>
      <c r="J36" s="123">
        <v>0</v>
      </c>
      <c r="K36" s="123">
        <v>0</v>
      </c>
      <c r="L36" s="123">
        <v>0</v>
      </c>
      <c r="M36" s="313">
        <v>0</v>
      </c>
      <c r="N36" s="123">
        <v>0</v>
      </c>
      <c r="O36" s="123">
        <v>0</v>
      </c>
      <c r="P36" s="313">
        <v>0</v>
      </c>
      <c r="Q36" s="123">
        <v>0</v>
      </c>
      <c r="R36" s="123">
        <v>0</v>
      </c>
      <c r="S36" s="123">
        <v>0</v>
      </c>
      <c r="T36" s="123">
        <v>5</v>
      </c>
      <c r="U36" s="123">
        <v>0</v>
      </c>
      <c r="V36" s="123">
        <v>5.3849999999999998</v>
      </c>
      <c r="W36" s="123">
        <v>8.6449999999999996</v>
      </c>
      <c r="X36" s="123">
        <v>0</v>
      </c>
      <c r="Y36" s="123">
        <v>1.31</v>
      </c>
      <c r="Z36" s="123">
        <v>1.31</v>
      </c>
      <c r="AA36" s="123">
        <v>0</v>
      </c>
      <c r="AB36" s="123">
        <v>0</v>
      </c>
      <c r="AC36" s="123">
        <v>0</v>
      </c>
      <c r="AD36" s="123">
        <v>1.39</v>
      </c>
      <c r="AE36" s="123">
        <v>1.39</v>
      </c>
      <c r="AF36" s="123">
        <v>1.375</v>
      </c>
      <c r="AG36" s="123">
        <v>1.375</v>
      </c>
      <c r="AH36" s="123">
        <v>5.49</v>
      </c>
      <c r="AI36" s="313">
        <v>5.49</v>
      </c>
      <c r="AJ36" s="123">
        <v>5.61</v>
      </c>
      <c r="AK36" s="271">
        <v>0</v>
      </c>
      <c r="AL36" s="271">
        <v>9.5</v>
      </c>
      <c r="AM36" s="271">
        <v>2.54</v>
      </c>
      <c r="AN36" s="271">
        <v>11</v>
      </c>
      <c r="AO36" s="271">
        <v>0</v>
      </c>
      <c r="AP36" s="271">
        <v>7.92</v>
      </c>
      <c r="AQ36" s="271">
        <v>7.92</v>
      </c>
      <c r="AR36" s="271"/>
      <c r="AS36" s="271"/>
      <c r="AT36" s="271"/>
      <c r="AU36" s="271"/>
      <c r="AV36" s="123"/>
      <c r="AW36" s="395"/>
      <c r="AX36" s="256">
        <f t="shared" si="3"/>
        <v>104.50500000000002</v>
      </c>
      <c r="AY36" s="431">
        <f t="shared" si="4"/>
        <v>10663.136500000001</v>
      </c>
      <c r="AZ36" s="117"/>
      <c r="BA36" s="269"/>
      <c r="BB36" s="269"/>
      <c r="BC36" s="269"/>
      <c r="BD36" s="269"/>
      <c r="BE36" s="269"/>
      <c r="BF36" s="269"/>
      <c r="BG36" s="269"/>
      <c r="BH36" s="269"/>
      <c r="BI36" s="269"/>
      <c r="BJ36" s="269"/>
      <c r="BK36" s="269"/>
      <c r="BL36" s="269"/>
      <c r="BM36" s="269"/>
      <c r="BN36" s="269"/>
      <c r="BO36" s="269"/>
      <c r="BP36" s="269"/>
      <c r="BQ36" s="269"/>
      <c r="BR36" s="269"/>
      <c r="BS36" s="269"/>
      <c r="BT36" s="269"/>
      <c r="BU36" s="269"/>
      <c r="BV36" s="269"/>
      <c r="BW36" s="269"/>
      <c r="BX36" s="269"/>
      <c r="BY36" s="269"/>
      <c r="BZ36" s="269"/>
      <c r="CA36" s="269"/>
      <c r="CB36" s="269"/>
      <c r="CC36" s="269"/>
      <c r="CD36" s="269"/>
      <c r="CE36" s="269"/>
      <c r="CF36" s="269"/>
      <c r="CG36" s="269"/>
      <c r="CH36" s="269"/>
      <c r="CI36" s="269"/>
      <c r="CJ36" s="269"/>
      <c r="CK36" s="269"/>
      <c r="CL36" s="269"/>
      <c r="CM36" s="269"/>
      <c r="CN36" s="269"/>
      <c r="CO36" s="269"/>
      <c r="CP36" s="269"/>
      <c r="CQ36" s="269"/>
      <c r="CR36" s="269"/>
      <c r="CS36" s="269"/>
      <c r="CT36" s="269"/>
      <c r="CU36" s="269"/>
      <c r="CV36" s="269"/>
      <c r="CW36" s="269"/>
      <c r="CX36" s="269"/>
      <c r="CY36" s="269"/>
      <c r="CZ36" s="269"/>
      <c r="DA36" s="269"/>
      <c r="DB36" s="269"/>
      <c r="DC36" s="269"/>
      <c r="DD36" s="269"/>
      <c r="DE36" s="269"/>
      <c r="DF36" s="269"/>
      <c r="DG36" s="269"/>
      <c r="DH36" s="269"/>
      <c r="DI36" s="269"/>
      <c r="DJ36" s="269"/>
      <c r="DK36" s="269"/>
      <c r="DL36" s="269"/>
      <c r="DM36" s="269"/>
      <c r="DN36" s="269"/>
      <c r="DO36" s="269"/>
      <c r="DP36" s="269"/>
      <c r="DQ36" s="269"/>
      <c r="DR36" s="269"/>
      <c r="DS36" s="269"/>
      <c r="DT36" s="269"/>
      <c r="DU36" s="269"/>
      <c r="DV36" s="269"/>
      <c r="DW36" s="269"/>
      <c r="DX36" s="269"/>
      <c r="DY36" s="269"/>
      <c r="DZ36" s="269"/>
      <c r="EA36" s="269"/>
      <c r="EB36" s="269"/>
    </row>
    <row r="37" spans="1:132" ht="15">
      <c r="A37" s="82"/>
      <c r="B37" s="82"/>
      <c r="C37" s="394">
        <v>37995.166666666191</v>
      </c>
      <c r="D37" s="254">
        <v>37995.208333332856</v>
      </c>
      <c r="E37" s="255">
        <v>5.9850000000000003</v>
      </c>
      <c r="F37" s="123">
        <v>9.8450000000000006</v>
      </c>
      <c r="G37" s="123">
        <v>0</v>
      </c>
      <c r="H37" s="313">
        <v>5.69</v>
      </c>
      <c r="I37" s="123">
        <v>0</v>
      </c>
      <c r="J37" s="123">
        <v>0</v>
      </c>
      <c r="K37" s="123">
        <v>0</v>
      </c>
      <c r="L37" s="123">
        <v>0</v>
      </c>
      <c r="M37" s="313">
        <v>0</v>
      </c>
      <c r="N37" s="123">
        <v>0</v>
      </c>
      <c r="O37" s="123">
        <v>0</v>
      </c>
      <c r="P37" s="313">
        <v>0</v>
      </c>
      <c r="Q37" s="123">
        <v>0</v>
      </c>
      <c r="R37" s="123">
        <v>0</v>
      </c>
      <c r="S37" s="123">
        <v>0</v>
      </c>
      <c r="T37" s="123">
        <v>5</v>
      </c>
      <c r="U37" s="123">
        <v>0</v>
      </c>
      <c r="V37" s="123">
        <v>5.3849999999999998</v>
      </c>
      <c r="W37" s="123">
        <v>8.6449999999999996</v>
      </c>
      <c r="X37" s="123">
        <v>0</v>
      </c>
      <c r="Y37" s="123">
        <v>1.31</v>
      </c>
      <c r="Z37" s="123">
        <v>1.31</v>
      </c>
      <c r="AA37" s="123">
        <v>0</v>
      </c>
      <c r="AB37" s="123">
        <v>0</v>
      </c>
      <c r="AC37" s="123">
        <v>0</v>
      </c>
      <c r="AD37" s="123">
        <v>1.39</v>
      </c>
      <c r="AE37" s="123">
        <v>1.39</v>
      </c>
      <c r="AF37" s="123">
        <v>1.375</v>
      </c>
      <c r="AG37" s="123">
        <v>1.375</v>
      </c>
      <c r="AH37" s="123">
        <v>5.49</v>
      </c>
      <c r="AI37" s="313">
        <v>5.49</v>
      </c>
      <c r="AJ37" s="123">
        <v>5.21</v>
      </c>
      <c r="AK37" s="271">
        <v>0</v>
      </c>
      <c r="AL37" s="271">
        <v>9.5</v>
      </c>
      <c r="AM37" s="271">
        <v>2.54</v>
      </c>
      <c r="AN37" s="271">
        <v>11</v>
      </c>
      <c r="AO37" s="271">
        <v>0</v>
      </c>
      <c r="AP37" s="271">
        <v>7.92</v>
      </c>
      <c r="AQ37" s="271">
        <v>7.92</v>
      </c>
      <c r="AR37" s="271"/>
      <c r="AS37" s="271"/>
      <c r="AT37" s="271"/>
      <c r="AU37" s="271"/>
      <c r="AV37" s="123"/>
      <c r="AW37" s="395"/>
      <c r="AX37" s="256">
        <f t="shared" si="3"/>
        <v>103.77000000000001</v>
      </c>
      <c r="AY37" s="431">
        <f t="shared" si="4"/>
        <v>10589.4365</v>
      </c>
      <c r="AZ37" s="117"/>
      <c r="BA37" s="269"/>
      <c r="BB37" s="269"/>
      <c r="BC37" s="269"/>
      <c r="BD37" s="269"/>
      <c r="BE37" s="269"/>
      <c r="BF37" s="269"/>
      <c r="BG37" s="269"/>
      <c r="BH37" s="269"/>
      <c r="BI37" s="269"/>
      <c r="BJ37" s="269"/>
      <c r="BK37" s="269"/>
      <c r="BL37" s="269"/>
      <c r="BM37" s="269"/>
      <c r="BN37" s="269"/>
      <c r="BO37" s="269"/>
      <c r="BP37" s="269"/>
      <c r="BQ37" s="269"/>
      <c r="BR37" s="269"/>
      <c r="BS37" s="269"/>
      <c r="BT37" s="269"/>
      <c r="BU37" s="269"/>
      <c r="BV37" s="269"/>
      <c r="BW37" s="269"/>
      <c r="BX37" s="269"/>
      <c r="BY37" s="269"/>
      <c r="BZ37" s="269"/>
      <c r="CA37" s="269"/>
      <c r="CB37" s="269"/>
      <c r="CC37" s="269"/>
      <c r="CD37" s="269"/>
      <c r="CE37" s="269"/>
      <c r="CF37" s="269"/>
      <c r="CG37" s="269"/>
      <c r="CH37" s="269"/>
      <c r="CI37" s="269"/>
      <c r="CJ37" s="269"/>
      <c r="CK37" s="269"/>
      <c r="CL37" s="269"/>
      <c r="CM37" s="269"/>
      <c r="CN37" s="269"/>
      <c r="CO37" s="269"/>
      <c r="CP37" s="269"/>
      <c r="CQ37" s="269"/>
      <c r="CR37" s="269"/>
      <c r="CS37" s="269"/>
      <c r="CT37" s="269"/>
      <c r="CU37" s="269"/>
      <c r="CV37" s="269"/>
      <c r="CW37" s="269"/>
      <c r="CX37" s="269"/>
      <c r="CY37" s="269"/>
      <c r="CZ37" s="269"/>
      <c r="DA37" s="269"/>
      <c r="DB37" s="269"/>
      <c r="DC37" s="269"/>
      <c r="DD37" s="269"/>
      <c r="DE37" s="269"/>
      <c r="DF37" s="269"/>
      <c r="DG37" s="269"/>
      <c r="DH37" s="269"/>
      <c r="DI37" s="269"/>
      <c r="DJ37" s="269"/>
      <c r="DK37" s="269"/>
      <c r="DL37" s="269"/>
      <c r="DM37" s="269"/>
      <c r="DN37" s="269"/>
      <c r="DO37" s="269"/>
      <c r="DP37" s="269"/>
      <c r="DQ37" s="269"/>
      <c r="DR37" s="269"/>
      <c r="DS37" s="269"/>
      <c r="DT37" s="269"/>
      <c r="DU37" s="269"/>
      <c r="DV37" s="269"/>
      <c r="DW37" s="269"/>
      <c r="DX37" s="269"/>
      <c r="DY37" s="269"/>
      <c r="DZ37" s="269"/>
      <c r="EA37" s="269"/>
      <c r="EB37" s="269"/>
    </row>
    <row r="38" spans="1:132" ht="15">
      <c r="A38" s="82"/>
      <c r="B38" s="82"/>
      <c r="C38" s="394">
        <v>37995.208333332856</v>
      </c>
      <c r="D38" s="254">
        <v>37995.24999999952</v>
      </c>
      <c r="E38" s="255">
        <v>6.9749999999999996</v>
      </c>
      <c r="F38" s="123">
        <v>9.8450000000000006</v>
      </c>
      <c r="G38" s="123">
        <v>0</v>
      </c>
      <c r="H38" s="313">
        <v>5.69</v>
      </c>
      <c r="I38" s="123">
        <v>0</v>
      </c>
      <c r="J38" s="123">
        <v>0</v>
      </c>
      <c r="K38" s="123">
        <v>0</v>
      </c>
      <c r="L38" s="123">
        <v>0</v>
      </c>
      <c r="M38" s="313">
        <v>0</v>
      </c>
      <c r="N38" s="123">
        <v>0</v>
      </c>
      <c r="O38" s="123">
        <v>0</v>
      </c>
      <c r="P38" s="313">
        <v>0</v>
      </c>
      <c r="Q38" s="123">
        <v>5.05</v>
      </c>
      <c r="R38" s="123">
        <v>5.18</v>
      </c>
      <c r="S38" s="123">
        <v>5.18</v>
      </c>
      <c r="T38" s="123">
        <v>5</v>
      </c>
      <c r="U38" s="123">
        <v>5</v>
      </c>
      <c r="V38" s="123">
        <v>0</v>
      </c>
      <c r="W38" s="123">
        <v>7.45</v>
      </c>
      <c r="X38" s="123">
        <v>0.70499999999999996</v>
      </c>
      <c r="Y38" s="123">
        <v>1.31</v>
      </c>
      <c r="Z38" s="123">
        <v>1.31</v>
      </c>
      <c r="AA38" s="123">
        <v>0</v>
      </c>
      <c r="AB38" s="123">
        <v>0</v>
      </c>
      <c r="AC38" s="123">
        <v>0</v>
      </c>
      <c r="AD38" s="123">
        <v>1.39</v>
      </c>
      <c r="AE38" s="123">
        <v>1.39</v>
      </c>
      <c r="AF38" s="123">
        <v>1.375</v>
      </c>
      <c r="AG38" s="123">
        <v>1.375</v>
      </c>
      <c r="AH38" s="123">
        <v>5.49</v>
      </c>
      <c r="AI38" s="313">
        <v>5.49</v>
      </c>
      <c r="AJ38" s="123">
        <v>0</v>
      </c>
      <c r="AK38" s="271">
        <v>0</v>
      </c>
      <c r="AL38" s="271">
        <v>9.5</v>
      </c>
      <c r="AM38" s="271">
        <v>2.54</v>
      </c>
      <c r="AN38" s="271">
        <v>7.5250000000000004</v>
      </c>
      <c r="AO38" s="271">
        <v>11</v>
      </c>
      <c r="AP38" s="271">
        <v>1</v>
      </c>
      <c r="AQ38" s="271">
        <v>7.92</v>
      </c>
      <c r="AR38" s="271"/>
      <c r="AS38" s="271"/>
      <c r="AT38" s="271"/>
      <c r="AU38" s="271"/>
      <c r="AV38" s="123"/>
      <c r="AW38" s="395"/>
      <c r="AX38" s="256">
        <f t="shared" si="3"/>
        <v>114.69000000000001</v>
      </c>
      <c r="AY38" s="431">
        <f t="shared" si="4"/>
        <v>11824.554999999998</v>
      </c>
      <c r="AZ38" s="117"/>
      <c r="BA38" s="269"/>
      <c r="BB38" s="269"/>
      <c r="BC38" s="269"/>
      <c r="BD38" s="269"/>
      <c r="BE38" s="269"/>
      <c r="BF38" s="269"/>
      <c r="BG38" s="269"/>
      <c r="BH38" s="269"/>
      <c r="BI38" s="269"/>
      <c r="BJ38" s="269"/>
      <c r="BK38" s="269"/>
      <c r="BL38" s="269"/>
      <c r="BM38" s="269"/>
      <c r="BN38" s="269"/>
      <c r="BO38" s="269"/>
      <c r="BP38" s="269"/>
      <c r="BQ38" s="269"/>
      <c r="BR38" s="269"/>
      <c r="BS38" s="269"/>
      <c r="BT38" s="269"/>
      <c r="BU38" s="269"/>
      <c r="BV38" s="269"/>
      <c r="BW38" s="269"/>
      <c r="BX38" s="269"/>
      <c r="BY38" s="269"/>
      <c r="BZ38" s="269"/>
      <c r="CA38" s="269"/>
      <c r="CB38" s="269"/>
      <c r="CC38" s="269"/>
      <c r="CD38" s="269"/>
      <c r="CE38" s="269"/>
      <c r="CF38" s="269"/>
      <c r="CG38" s="269"/>
      <c r="CH38" s="269"/>
      <c r="CI38" s="269"/>
      <c r="CJ38" s="269"/>
      <c r="CK38" s="269"/>
      <c r="CL38" s="269"/>
      <c r="CM38" s="269"/>
      <c r="CN38" s="269"/>
      <c r="CO38" s="269"/>
      <c r="CP38" s="269"/>
      <c r="CQ38" s="269"/>
      <c r="CR38" s="269"/>
      <c r="CS38" s="269"/>
      <c r="CT38" s="269"/>
      <c r="CU38" s="269"/>
      <c r="CV38" s="269"/>
      <c r="CW38" s="269"/>
      <c r="CX38" s="269"/>
      <c r="CY38" s="269"/>
      <c r="CZ38" s="269"/>
      <c r="DA38" s="269"/>
      <c r="DB38" s="269"/>
      <c r="DC38" s="269"/>
      <c r="DD38" s="269"/>
      <c r="DE38" s="269"/>
      <c r="DF38" s="269"/>
      <c r="DG38" s="269"/>
      <c r="DH38" s="269"/>
      <c r="DI38" s="269"/>
      <c r="DJ38" s="269"/>
      <c r="DK38" s="269"/>
      <c r="DL38" s="269"/>
      <c r="DM38" s="269"/>
      <c r="DN38" s="269"/>
      <c r="DO38" s="269"/>
      <c r="DP38" s="269"/>
      <c r="DQ38" s="269"/>
      <c r="DR38" s="269"/>
      <c r="DS38" s="269"/>
      <c r="DT38" s="269"/>
      <c r="DU38" s="269"/>
      <c r="DV38" s="269"/>
      <c r="DW38" s="269"/>
      <c r="DX38" s="269"/>
      <c r="DY38" s="269"/>
      <c r="DZ38" s="269"/>
      <c r="EA38" s="269"/>
      <c r="EB38" s="269"/>
    </row>
    <row r="39" spans="1:132" ht="15">
      <c r="A39" s="82"/>
      <c r="B39" s="82"/>
      <c r="C39" s="396">
        <v>37995.24999999952</v>
      </c>
      <c r="D39" s="257">
        <v>37995.291666666184</v>
      </c>
      <c r="E39" s="258">
        <v>6.0350000000000001</v>
      </c>
      <c r="F39" s="124">
        <v>9.8450000000000006</v>
      </c>
      <c r="G39" s="124">
        <v>0</v>
      </c>
      <c r="H39" s="314">
        <v>5.69</v>
      </c>
      <c r="I39" s="124">
        <v>0</v>
      </c>
      <c r="J39" s="124">
        <v>0</v>
      </c>
      <c r="K39" s="124">
        <v>0</v>
      </c>
      <c r="L39" s="124">
        <v>0</v>
      </c>
      <c r="M39" s="314">
        <v>0</v>
      </c>
      <c r="N39" s="124">
        <v>0</v>
      </c>
      <c r="O39" s="124">
        <v>0</v>
      </c>
      <c r="P39" s="314">
        <v>0</v>
      </c>
      <c r="Q39" s="124">
        <v>5.05</v>
      </c>
      <c r="R39" s="124">
        <v>5.18</v>
      </c>
      <c r="S39" s="124">
        <v>5.18</v>
      </c>
      <c r="T39" s="124">
        <v>5</v>
      </c>
      <c r="U39" s="124">
        <v>5</v>
      </c>
      <c r="V39" s="124">
        <v>8.57</v>
      </c>
      <c r="W39" s="124">
        <v>8.6449999999999996</v>
      </c>
      <c r="X39" s="124">
        <v>0.745</v>
      </c>
      <c r="Y39" s="124">
        <v>1.31</v>
      </c>
      <c r="Z39" s="124">
        <v>1.31</v>
      </c>
      <c r="AA39" s="124">
        <v>0</v>
      </c>
      <c r="AB39" s="124">
        <v>0</v>
      </c>
      <c r="AC39" s="124">
        <v>0</v>
      </c>
      <c r="AD39" s="124">
        <v>1.39</v>
      </c>
      <c r="AE39" s="124">
        <v>1.39</v>
      </c>
      <c r="AF39" s="124">
        <v>1.375</v>
      </c>
      <c r="AG39" s="124">
        <v>1.375</v>
      </c>
      <c r="AH39" s="124">
        <v>5.49</v>
      </c>
      <c r="AI39" s="314">
        <v>5.49</v>
      </c>
      <c r="AJ39" s="124">
        <v>0</v>
      </c>
      <c r="AK39" s="272">
        <v>0</v>
      </c>
      <c r="AL39" s="272">
        <v>9.5</v>
      </c>
      <c r="AM39" s="272">
        <v>2.54</v>
      </c>
      <c r="AN39" s="272">
        <v>7.5250000000000004</v>
      </c>
      <c r="AO39" s="272">
        <v>11</v>
      </c>
      <c r="AP39" s="272">
        <v>7.92</v>
      </c>
      <c r="AQ39" s="272">
        <v>7.92</v>
      </c>
      <c r="AR39" s="272"/>
      <c r="AS39" s="272"/>
      <c r="AT39" s="272"/>
      <c r="AU39" s="272"/>
      <c r="AV39" s="124"/>
      <c r="AW39" s="397"/>
      <c r="AX39" s="259">
        <f t="shared" si="3"/>
        <v>130.47500000000002</v>
      </c>
      <c r="AY39" s="432">
        <f t="shared" si="4"/>
        <v>13407.618999999999</v>
      </c>
      <c r="AZ39" s="117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9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9"/>
      <c r="CA39" s="269"/>
      <c r="CB39" s="269"/>
      <c r="CC39" s="269"/>
      <c r="CD39" s="269"/>
      <c r="CE39" s="269"/>
      <c r="CF39" s="269"/>
      <c r="CG39" s="269"/>
      <c r="CH39" s="269"/>
      <c r="CI39" s="269"/>
      <c r="CJ39" s="269"/>
      <c r="CK39" s="269"/>
      <c r="CL39" s="269"/>
      <c r="CM39" s="269"/>
      <c r="CN39" s="269"/>
      <c r="CO39" s="269"/>
      <c r="CP39" s="269"/>
      <c r="CQ39" s="269"/>
      <c r="CR39" s="269"/>
      <c r="CS39" s="269"/>
      <c r="CT39" s="269"/>
      <c r="CU39" s="269"/>
      <c r="CV39" s="269"/>
      <c r="CW39" s="269"/>
      <c r="CX39" s="269"/>
      <c r="CY39" s="269"/>
      <c r="CZ39" s="269"/>
      <c r="DA39" s="269"/>
      <c r="DB39" s="269"/>
      <c r="DC39" s="269"/>
      <c r="DD39" s="269"/>
      <c r="DE39" s="269"/>
      <c r="DF39" s="269"/>
      <c r="DG39" s="269"/>
      <c r="DH39" s="269"/>
      <c r="DI39" s="269"/>
      <c r="DJ39" s="269"/>
      <c r="DK39" s="269"/>
      <c r="DL39" s="269"/>
      <c r="DM39" s="269"/>
      <c r="DN39" s="269"/>
      <c r="DO39" s="269"/>
      <c r="DP39" s="269"/>
      <c r="DQ39" s="269"/>
      <c r="DR39" s="269"/>
      <c r="DS39" s="269"/>
      <c r="DT39" s="269"/>
      <c r="DU39" s="269"/>
      <c r="DV39" s="269"/>
      <c r="DW39" s="269"/>
      <c r="DX39" s="269"/>
      <c r="DY39" s="269"/>
      <c r="DZ39" s="269"/>
      <c r="EA39" s="269"/>
      <c r="EB39" s="269"/>
    </row>
    <row r="40" spans="1:132" ht="15">
      <c r="A40" s="82"/>
      <c r="B40" s="82"/>
      <c r="C40" s="396">
        <v>37995.291666666184</v>
      </c>
      <c r="D40" s="257">
        <v>37995.333333332848</v>
      </c>
      <c r="E40" s="258">
        <v>2.09</v>
      </c>
      <c r="F40" s="124">
        <v>9.8450000000000006</v>
      </c>
      <c r="G40" s="124">
        <v>0</v>
      </c>
      <c r="H40" s="314">
        <v>5.69</v>
      </c>
      <c r="I40" s="124">
        <v>0</v>
      </c>
      <c r="J40" s="124">
        <v>0</v>
      </c>
      <c r="K40" s="124">
        <v>0</v>
      </c>
      <c r="L40" s="124">
        <v>0</v>
      </c>
      <c r="M40" s="314">
        <v>0</v>
      </c>
      <c r="N40" s="124">
        <v>0</v>
      </c>
      <c r="O40" s="124">
        <v>0</v>
      </c>
      <c r="P40" s="314">
        <v>0</v>
      </c>
      <c r="Q40" s="124">
        <v>0</v>
      </c>
      <c r="R40" s="124">
        <v>5.18</v>
      </c>
      <c r="S40" s="124">
        <v>5.18</v>
      </c>
      <c r="T40" s="124">
        <v>5</v>
      </c>
      <c r="U40" s="124">
        <v>5</v>
      </c>
      <c r="V40" s="124">
        <v>8.6449999999999996</v>
      </c>
      <c r="W40" s="124">
        <v>8.6449999999999996</v>
      </c>
      <c r="X40" s="124">
        <v>0.745</v>
      </c>
      <c r="Y40" s="124">
        <v>1.31</v>
      </c>
      <c r="Z40" s="124">
        <v>1.31</v>
      </c>
      <c r="AA40" s="124">
        <v>0</v>
      </c>
      <c r="AB40" s="124">
        <v>0</v>
      </c>
      <c r="AC40" s="124">
        <v>0</v>
      </c>
      <c r="AD40" s="124">
        <v>1.39</v>
      </c>
      <c r="AE40" s="124">
        <v>1.39</v>
      </c>
      <c r="AF40" s="124">
        <v>1.375</v>
      </c>
      <c r="AG40" s="124">
        <v>1.375</v>
      </c>
      <c r="AH40" s="124">
        <v>5.49</v>
      </c>
      <c r="AI40" s="314">
        <v>5.49</v>
      </c>
      <c r="AJ40" s="124">
        <v>0</v>
      </c>
      <c r="AK40" s="272">
        <v>0.82499999999999996</v>
      </c>
      <c r="AL40" s="272">
        <v>9.5</v>
      </c>
      <c r="AM40" s="272">
        <v>2.54</v>
      </c>
      <c r="AN40" s="272">
        <v>11</v>
      </c>
      <c r="AO40" s="272">
        <v>11</v>
      </c>
      <c r="AP40" s="272">
        <v>7.92</v>
      </c>
      <c r="AQ40" s="272">
        <v>7.92</v>
      </c>
      <c r="AR40" s="272"/>
      <c r="AS40" s="272"/>
      <c r="AT40" s="272"/>
      <c r="AU40" s="272"/>
      <c r="AV40" s="124"/>
      <c r="AW40" s="397"/>
      <c r="AX40" s="259">
        <f t="shared" si="3"/>
        <v>125.85499999999999</v>
      </c>
      <c r="AY40" s="432">
        <f t="shared" si="4"/>
        <v>12971.319000000001</v>
      </c>
      <c r="AZ40" s="117"/>
      <c r="BA40" s="269"/>
      <c r="BB40" s="269"/>
      <c r="BC40" s="269"/>
      <c r="BD40" s="269"/>
      <c r="BE40" s="269"/>
      <c r="BF40" s="269"/>
      <c r="BG40" s="269"/>
      <c r="BH40" s="269"/>
      <c r="BI40" s="269"/>
      <c r="BJ40" s="269"/>
      <c r="BK40" s="269"/>
      <c r="BL40" s="269"/>
      <c r="BM40" s="269"/>
      <c r="BN40" s="269"/>
      <c r="BO40" s="269"/>
      <c r="BP40" s="269"/>
      <c r="BQ40" s="269"/>
      <c r="BR40" s="269"/>
      <c r="BS40" s="269"/>
      <c r="BT40" s="269"/>
      <c r="BU40" s="269"/>
      <c r="BV40" s="269"/>
      <c r="BW40" s="269"/>
      <c r="BX40" s="269"/>
      <c r="BY40" s="269"/>
      <c r="BZ40" s="269"/>
      <c r="CA40" s="269"/>
      <c r="CB40" s="269"/>
      <c r="CC40" s="269"/>
      <c r="CD40" s="269"/>
      <c r="CE40" s="269"/>
      <c r="CF40" s="269"/>
      <c r="CG40" s="269"/>
      <c r="CH40" s="269"/>
      <c r="CI40" s="269"/>
      <c r="CJ40" s="269"/>
      <c r="CK40" s="269"/>
      <c r="CL40" s="269"/>
      <c r="CM40" s="269"/>
      <c r="CN40" s="269"/>
      <c r="CO40" s="269"/>
      <c r="CP40" s="269"/>
      <c r="CQ40" s="269"/>
      <c r="CR40" s="269"/>
      <c r="CS40" s="269"/>
      <c r="CT40" s="269"/>
      <c r="CU40" s="269"/>
      <c r="CV40" s="269"/>
      <c r="CW40" s="269"/>
      <c r="CX40" s="269"/>
      <c r="CY40" s="269"/>
      <c r="CZ40" s="269"/>
      <c r="DA40" s="269"/>
      <c r="DB40" s="269"/>
      <c r="DC40" s="269"/>
      <c r="DD40" s="269"/>
      <c r="DE40" s="269"/>
      <c r="DF40" s="269"/>
      <c r="DG40" s="269"/>
      <c r="DH40" s="269"/>
      <c r="DI40" s="269"/>
      <c r="DJ40" s="269"/>
      <c r="DK40" s="269"/>
      <c r="DL40" s="269"/>
      <c r="DM40" s="269"/>
      <c r="DN40" s="269"/>
      <c r="DO40" s="269"/>
      <c r="DP40" s="269"/>
      <c r="DQ40" s="269"/>
      <c r="DR40" s="269"/>
      <c r="DS40" s="269"/>
      <c r="DT40" s="269"/>
      <c r="DU40" s="269"/>
      <c r="DV40" s="269"/>
      <c r="DW40" s="269"/>
      <c r="DX40" s="269"/>
      <c r="DY40" s="269"/>
      <c r="DZ40" s="269"/>
      <c r="EA40" s="269"/>
      <c r="EB40" s="269"/>
    </row>
    <row r="41" spans="1:132" ht="15">
      <c r="A41" s="82"/>
      <c r="B41" s="82"/>
      <c r="C41" s="396">
        <v>37995.333333332848</v>
      </c>
      <c r="D41" s="257">
        <v>37995.374999999513</v>
      </c>
      <c r="E41" s="258">
        <v>4.79</v>
      </c>
      <c r="F41" s="124">
        <v>9.8450000000000006</v>
      </c>
      <c r="G41" s="124">
        <v>0</v>
      </c>
      <c r="H41" s="314">
        <v>5.69</v>
      </c>
      <c r="I41" s="124">
        <v>0</v>
      </c>
      <c r="J41" s="124">
        <v>0</v>
      </c>
      <c r="K41" s="124">
        <v>0</v>
      </c>
      <c r="L41" s="124">
        <v>0</v>
      </c>
      <c r="M41" s="314">
        <v>0</v>
      </c>
      <c r="N41" s="124">
        <v>0</v>
      </c>
      <c r="O41" s="124">
        <v>0</v>
      </c>
      <c r="P41" s="314">
        <v>0</v>
      </c>
      <c r="Q41" s="124">
        <v>0</v>
      </c>
      <c r="R41" s="124">
        <v>5.18</v>
      </c>
      <c r="S41" s="124">
        <v>5.18</v>
      </c>
      <c r="T41" s="124">
        <v>5</v>
      </c>
      <c r="U41" s="124">
        <v>5</v>
      </c>
      <c r="V41" s="124">
        <v>8.6449999999999996</v>
      </c>
      <c r="W41" s="124">
        <v>8.6449999999999996</v>
      </c>
      <c r="X41" s="124">
        <v>0.745</v>
      </c>
      <c r="Y41" s="124">
        <v>1.31</v>
      </c>
      <c r="Z41" s="124">
        <v>1.31</v>
      </c>
      <c r="AA41" s="124">
        <v>0</v>
      </c>
      <c r="AB41" s="124">
        <v>0</v>
      </c>
      <c r="AC41" s="124">
        <v>0</v>
      </c>
      <c r="AD41" s="124">
        <v>1.39</v>
      </c>
      <c r="AE41" s="124">
        <v>1.39</v>
      </c>
      <c r="AF41" s="124">
        <v>1.375</v>
      </c>
      <c r="AG41" s="124">
        <v>1.375</v>
      </c>
      <c r="AH41" s="124">
        <v>5.49</v>
      </c>
      <c r="AI41" s="314">
        <v>5.49</v>
      </c>
      <c r="AJ41" s="124">
        <v>0</v>
      </c>
      <c r="AK41" s="272">
        <v>5.6449999999999996</v>
      </c>
      <c r="AL41" s="272">
        <v>9.5</v>
      </c>
      <c r="AM41" s="272">
        <v>2.54</v>
      </c>
      <c r="AN41" s="272">
        <v>11</v>
      </c>
      <c r="AO41" s="272">
        <v>11</v>
      </c>
      <c r="AP41" s="272">
        <v>1</v>
      </c>
      <c r="AQ41" s="272">
        <v>7.92</v>
      </c>
      <c r="AR41" s="272"/>
      <c r="AS41" s="272"/>
      <c r="AT41" s="272"/>
      <c r="AU41" s="272"/>
      <c r="AV41" s="124"/>
      <c r="AW41" s="397"/>
      <c r="AX41" s="259">
        <f t="shared" si="3"/>
        <v>126.45499999999998</v>
      </c>
      <c r="AY41" s="432">
        <f t="shared" si="4"/>
        <v>13033.729000000001</v>
      </c>
      <c r="AZ41" s="117"/>
      <c r="BA41" s="269"/>
      <c r="BB41" s="269"/>
      <c r="BC41" s="269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69"/>
      <c r="BO41" s="269"/>
      <c r="BP41" s="269"/>
      <c r="BQ41" s="269"/>
      <c r="BR41" s="269"/>
      <c r="BS41" s="269"/>
      <c r="BT41" s="269"/>
      <c r="BU41" s="269"/>
      <c r="BV41" s="269"/>
      <c r="BW41" s="269"/>
      <c r="BX41" s="269"/>
      <c r="BY41" s="269"/>
      <c r="BZ41" s="269"/>
      <c r="CA41" s="269"/>
      <c r="CB41" s="269"/>
      <c r="CC41" s="269"/>
      <c r="CD41" s="269"/>
      <c r="CE41" s="269"/>
      <c r="CF41" s="269"/>
      <c r="CG41" s="269"/>
      <c r="CH41" s="269"/>
      <c r="CI41" s="269"/>
      <c r="CJ41" s="269"/>
      <c r="CK41" s="269"/>
      <c r="CL41" s="269"/>
      <c r="CM41" s="269"/>
      <c r="CN41" s="269"/>
      <c r="CO41" s="269"/>
      <c r="CP41" s="269"/>
      <c r="CQ41" s="269"/>
      <c r="CR41" s="269"/>
      <c r="CS41" s="269"/>
      <c r="CT41" s="269"/>
      <c r="CU41" s="269"/>
      <c r="CV41" s="269"/>
      <c r="CW41" s="269"/>
      <c r="CX41" s="269"/>
      <c r="CY41" s="269"/>
      <c r="CZ41" s="269"/>
      <c r="DA41" s="269"/>
      <c r="DB41" s="269"/>
      <c r="DC41" s="269"/>
      <c r="DD41" s="269"/>
      <c r="DE41" s="269"/>
      <c r="DF41" s="269"/>
      <c r="DG41" s="269"/>
      <c r="DH41" s="269"/>
      <c r="DI41" s="269"/>
      <c r="DJ41" s="269"/>
      <c r="DK41" s="269"/>
      <c r="DL41" s="269"/>
      <c r="DM41" s="269"/>
      <c r="DN41" s="269"/>
      <c r="DO41" s="269"/>
      <c r="DP41" s="269"/>
      <c r="DQ41" s="269"/>
      <c r="DR41" s="269"/>
      <c r="DS41" s="269"/>
      <c r="DT41" s="269"/>
      <c r="DU41" s="269"/>
      <c r="DV41" s="269"/>
      <c r="DW41" s="269"/>
      <c r="DX41" s="269"/>
      <c r="DY41" s="269"/>
      <c r="DZ41" s="269"/>
      <c r="EA41" s="269"/>
      <c r="EB41" s="269"/>
    </row>
    <row r="42" spans="1:132" ht="15">
      <c r="A42" s="82"/>
      <c r="B42" s="82"/>
      <c r="C42" s="396">
        <v>37995.374999999513</v>
      </c>
      <c r="D42" s="257">
        <v>37995.416666666177</v>
      </c>
      <c r="E42" s="258">
        <v>0.5</v>
      </c>
      <c r="F42" s="124">
        <v>9.8450000000000006</v>
      </c>
      <c r="G42" s="124">
        <v>0</v>
      </c>
      <c r="H42" s="314">
        <v>5.69</v>
      </c>
      <c r="I42" s="124">
        <v>0</v>
      </c>
      <c r="J42" s="124">
        <v>0</v>
      </c>
      <c r="K42" s="124">
        <v>0</v>
      </c>
      <c r="L42" s="124">
        <v>0</v>
      </c>
      <c r="M42" s="314">
        <v>5.15</v>
      </c>
      <c r="N42" s="124">
        <v>0</v>
      </c>
      <c r="O42" s="124">
        <v>0</v>
      </c>
      <c r="P42" s="314">
        <v>5.15</v>
      </c>
      <c r="Q42" s="124">
        <v>5.05</v>
      </c>
      <c r="R42" s="124">
        <v>5.18</v>
      </c>
      <c r="S42" s="124">
        <v>5.18</v>
      </c>
      <c r="T42" s="124">
        <v>5</v>
      </c>
      <c r="U42" s="124">
        <v>3.01</v>
      </c>
      <c r="V42" s="124">
        <v>8.6449999999999996</v>
      </c>
      <c r="W42" s="124">
        <v>8.6449999999999996</v>
      </c>
      <c r="X42" s="124">
        <v>1.72</v>
      </c>
      <c r="Y42" s="124">
        <v>1.31</v>
      </c>
      <c r="Z42" s="124">
        <v>1.31</v>
      </c>
      <c r="AA42" s="124">
        <v>0</v>
      </c>
      <c r="AB42" s="124">
        <v>0</v>
      </c>
      <c r="AC42" s="124">
        <v>0</v>
      </c>
      <c r="AD42" s="124">
        <v>1.39</v>
      </c>
      <c r="AE42" s="124">
        <v>1.39</v>
      </c>
      <c r="AF42" s="124">
        <v>1.375</v>
      </c>
      <c r="AG42" s="124">
        <v>1.375</v>
      </c>
      <c r="AH42" s="124">
        <v>5.49</v>
      </c>
      <c r="AI42" s="314">
        <v>5.49</v>
      </c>
      <c r="AJ42" s="124">
        <v>3.75</v>
      </c>
      <c r="AK42" s="272">
        <v>0</v>
      </c>
      <c r="AL42" s="272">
        <v>9.5</v>
      </c>
      <c r="AM42" s="272">
        <v>2.54</v>
      </c>
      <c r="AN42" s="272">
        <v>11</v>
      </c>
      <c r="AO42" s="272">
        <v>5.6349999999999998</v>
      </c>
      <c r="AP42" s="272">
        <v>0.5</v>
      </c>
      <c r="AQ42" s="272">
        <v>7.92</v>
      </c>
      <c r="AR42" s="272"/>
      <c r="AS42" s="272"/>
      <c r="AT42" s="272"/>
      <c r="AU42" s="272"/>
      <c r="AV42" s="124"/>
      <c r="AW42" s="397"/>
      <c r="AX42" s="259">
        <f t="shared" si="3"/>
        <v>128.73999999999998</v>
      </c>
      <c r="AY42" s="432">
        <f t="shared" si="4"/>
        <v>13044.4565</v>
      </c>
      <c r="AZ42" s="117"/>
      <c r="BA42" s="269"/>
      <c r="BB42" s="269"/>
      <c r="BC42" s="269"/>
      <c r="BD42" s="269"/>
      <c r="BE42" s="269"/>
      <c r="BF42" s="269"/>
      <c r="BG42" s="269"/>
      <c r="BH42" s="269"/>
      <c r="BI42" s="269"/>
      <c r="BJ42" s="269"/>
      <c r="BK42" s="269"/>
      <c r="BL42" s="269"/>
      <c r="BM42" s="269"/>
      <c r="BN42" s="269"/>
      <c r="BO42" s="269"/>
      <c r="BP42" s="269"/>
      <c r="BQ42" s="269"/>
      <c r="BR42" s="269"/>
      <c r="BS42" s="269"/>
      <c r="BT42" s="269"/>
      <c r="BU42" s="269"/>
      <c r="BV42" s="269"/>
      <c r="BW42" s="269"/>
      <c r="BX42" s="269"/>
      <c r="BY42" s="269"/>
      <c r="BZ42" s="269"/>
      <c r="CA42" s="269"/>
      <c r="CB42" s="269"/>
      <c r="CC42" s="269"/>
      <c r="CD42" s="269"/>
      <c r="CE42" s="269"/>
      <c r="CF42" s="269"/>
      <c r="CG42" s="269"/>
      <c r="CH42" s="269"/>
      <c r="CI42" s="269"/>
      <c r="CJ42" s="269"/>
      <c r="CK42" s="269"/>
      <c r="CL42" s="269"/>
      <c r="CM42" s="269"/>
      <c r="CN42" s="269"/>
      <c r="CO42" s="269"/>
      <c r="CP42" s="269"/>
      <c r="CQ42" s="269"/>
      <c r="CR42" s="269"/>
      <c r="CS42" s="269"/>
      <c r="CT42" s="269"/>
      <c r="CU42" s="269"/>
      <c r="CV42" s="269"/>
      <c r="CW42" s="269"/>
      <c r="CX42" s="269"/>
      <c r="CY42" s="269"/>
      <c r="CZ42" s="269"/>
      <c r="DA42" s="269"/>
      <c r="DB42" s="269"/>
      <c r="DC42" s="269"/>
      <c r="DD42" s="269"/>
      <c r="DE42" s="269"/>
      <c r="DF42" s="269"/>
      <c r="DG42" s="269"/>
      <c r="DH42" s="269"/>
      <c r="DI42" s="269"/>
      <c r="DJ42" s="269"/>
      <c r="DK42" s="269"/>
      <c r="DL42" s="269"/>
      <c r="DM42" s="269"/>
      <c r="DN42" s="269"/>
      <c r="DO42" s="269"/>
      <c r="DP42" s="269"/>
      <c r="DQ42" s="269"/>
      <c r="DR42" s="269"/>
      <c r="DS42" s="269"/>
      <c r="DT42" s="269"/>
      <c r="DU42" s="269"/>
      <c r="DV42" s="269"/>
      <c r="DW42" s="269"/>
      <c r="DX42" s="269"/>
      <c r="DY42" s="269"/>
      <c r="DZ42" s="269"/>
      <c r="EA42" s="269"/>
      <c r="EB42" s="269"/>
    </row>
    <row r="43" spans="1:132" ht="15">
      <c r="A43" s="82"/>
      <c r="B43" s="82"/>
      <c r="C43" s="398">
        <v>37995.416666666177</v>
      </c>
      <c r="D43" s="260">
        <v>37995.458333332841</v>
      </c>
      <c r="E43" s="261">
        <v>5.9</v>
      </c>
      <c r="F43" s="125">
        <v>9.8450000000000006</v>
      </c>
      <c r="G43" s="125">
        <v>0</v>
      </c>
      <c r="H43" s="315">
        <v>5.69</v>
      </c>
      <c r="I43" s="125">
        <v>0</v>
      </c>
      <c r="J43" s="125">
        <v>0</v>
      </c>
      <c r="K43" s="125">
        <v>0</v>
      </c>
      <c r="L43" s="125">
        <v>0</v>
      </c>
      <c r="M43" s="315">
        <v>5.15</v>
      </c>
      <c r="N43" s="125">
        <v>0</v>
      </c>
      <c r="O43" s="125">
        <v>0</v>
      </c>
      <c r="P43" s="315">
        <v>0</v>
      </c>
      <c r="Q43" s="125">
        <v>5.05</v>
      </c>
      <c r="R43" s="125">
        <v>5.18</v>
      </c>
      <c r="S43" s="125">
        <v>5.18</v>
      </c>
      <c r="T43" s="125">
        <v>5</v>
      </c>
      <c r="U43" s="125">
        <v>5</v>
      </c>
      <c r="V43" s="125">
        <v>8.6449999999999996</v>
      </c>
      <c r="W43" s="125">
        <v>8.6449999999999996</v>
      </c>
      <c r="X43" s="125">
        <v>4.1550000000000002</v>
      </c>
      <c r="Y43" s="125">
        <v>1.31</v>
      </c>
      <c r="Z43" s="125">
        <v>1.31</v>
      </c>
      <c r="AA43" s="125">
        <v>0</v>
      </c>
      <c r="AB43" s="125">
        <v>0</v>
      </c>
      <c r="AC43" s="125">
        <v>0</v>
      </c>
      <c r="AD43" s="125">
        <v>1.39</v>
      </c>
      <c r="AE43" s="125">
        <v>1.39</v>
      </c>
      <c r="AF43" s="125">
        <v>1.375</v>
      </c>
      <c r="AG43" s="125">
        <v>1.375</v>
      </c>
      <c r="AH43" s="125">
        <v>5.49</v>
      </c>
      <c r="AI43" s="315">
        <v>5.49</v>
      </c>
      <c r="AJ43" s="125">
        <v>3.75</v>
      </c>
      <c r="AK43" s="273">
        <v>0</v>
      </c>
      <c r="AL43" s="273">
        <v>9.5</v>
      </c>
      <c r="AM43" s="273">
        <v>2.54</v>
      </c>
      <c r="AN43" s="273">
        <v>11</v>
      </c>
      <c r="AO43" s="273">
        <v>0.5</v>
      </c>
      <c r="AP43" s="273">
        <v>0.5</v>
      </c>
      <c r="AQ43" s="273">
        <v>7.92</v>
      </c>
      <c r="AR43" s="273"/>
      <c r="AS43" s="273"/>
      <c r="AT43" s="273"/>
      <c r="AU43" s="273"/>
      <c r="AV43" s="125"/>
      <c r="AW43" s="399"/>
      <c r="AX43" s="262">
        <f t="shared" si="3"/>
        <v>128.28</v>
      </c>
      <c r="AY43" s="433">
        <f t="shared" si="4"/>
        <v>13141.941500000001</v>
      </c>
      <c r="AZ43" s="117"/>
      <c r="BA43" s="269"/>
      <c r="BB43" s="269"/>
      <c r="BC43" s="269"/>
      <c r="BD43" s="269"/>
      <c r="BE43" s="269"/>
      <c r="BF43" s="269"/>
      <c r="BG43" s="269"/>
      <c r="BH43" s="269"/>
      <c r="BI43" s="269"/>
      <c r="BJ43" s="269"/>
      <c r="BK43" s="269"/>
      <c r="BL43" s="269"/>
      <c r="BM43" s="269"/>
      <c r="BN43" s="269"/>
      <c r="BO43" s="269"/>
      <c r="BP43" s="269"/>
      <c r="BQ43" s="269"/>
      <c r="BR43" s="269"/>
      <c r="BS43" s="269"/>
      <c r="BT43" s="269"/>
      <c r="BU43" s="269"/>
      <c r="BV43" s="269"/>
      <c r="BW43" s="269"/>
      <c r="BX43" s="269"/>
      <c r="BY43" s="269"/>
      <c r="BZ43" s="269"/>
      <c r="CA43" s="269"/>
      <c r="CB43" s="269"/>
      <c r="CC43" s="269"/>
      <c r="CD43" s="269"/>
      <c r="CE43" s="269"/>
      <c r="CF43" s="269"/>
      <c r="CG43" s="269"/>
      <c r="CH43" s="269"/>
      <c r="CI43" s="269"/>
      <c r="CJ43" s="269"/>
      <c r="CK43" s="269"/>
      <c r="CL43" s="269"/>
      <c r="CM43" s="269"/>
      <c r="CN43" s="269"/>
      <c r="CO43" s="269"/>
      <c r="CP43" s="269"/>
      <c r="CQ43" s="269"/>
      <c r="CR43" s="269"/>
      <c r="CS43" s="269"/>
      <c r="CT43" s="269"/>
      <c r="CU43" s="269"/>
      <c r="CV43" s="269"/>
      <c r="CW43" s="269"/>
      <c r="CX43" s="269"/>
      <c r="CY43" s="269"/>
      <c r="CZ43" s="269"/>
      <c r="DA43" s="269"/>
      <c r="DB43" s="269"/>
      <c r="DC43" s="269"/>
      <c r="DD43" s="269"/>
      <c r="DE43" s="269"/>
      <c r="DF43" s="269"/>
      <c r="DG43" s="269"/>
      <c r="DH43" s="269"/>
      <c r="DI43" s="269"/>
      <c r="DJ43" s="269"/>
      <c r="DK43" s="269"/>
      <c r="DL43" s="269"/>
      <c r="DM43" s="269"/>
      <c r="DN43" s="269"/>
      <c r="DO43" s="269"/>
      <c r="DP43" s="269"/>
      <c r="DQ43" s="269"/>
      <c r="DR43" s="269"/>
      <c r="DS43" s="269"/>
      <c r="DT43" s="269"/>
      <c r="DU43" s="269"/>
      <c r="DV43" s="269"/>
      <c r="DW43" s="269"/>
      <c r="DX43" s="269"/>
      <c r="DY43" s="269"/>
      <c r="DZ43" s="269"/>
      <c r="EA43" s="269"/>
      <c r="EB43" s="269"/>
    </row>
    <row r="44" spans="1:132" ht="15">
      <c r="A44" s="82"/>
      <c r="B44" s="82"/>
      <c r="C44" s="398">
        <v>37995.458333332841</v>
      </c>
      <c r="D44" s="260">
        <v>37995.499999999505</v>
      </c>
      <c r="E44" s="261">
        <v>0</v>
      </c>
      <c r="F44" s="125">
        <v>2.6850000000000001</v>
      </c>
      <c r="G44" s="125">
        <v>0</v>
      </c>
      <c r="H44" s="315">
        <v>5.69</v>
      </c>
      <c r="I44" s="125">
        <v>5.15</v>
      </c>
      <c r="J44" s="125">
        <v>0</v>
      </c>
      <c r="K44" s="125">
        <v>0</v>
      </c>
      <c r="L44" s="125">
        <v>0</v>
      </c>
      <c r="M44" s="315">
        <v>5.15</v>
      </c>
      <c r="N44" s="125">
        <v>0</v>
      </c>
      <c r="O44" s="125">
        <v>0</v>
      </c>
      <c r="P44" s="315">
        <v>5.15</v>
      </c>
      <c r="Q44" s="125">
        <v>5.05</v>
      </c>
      <c r="R44" s="125">
        <v>5.18</v>
      </c>
      <c r="S44" s="125">
        <v>5.18</v>
      </c>
      <c r="T44" s="125">
        <v>5</v>
      </c>
      <c r="U44" s="125">
        <v>5</v>
      </c>
      <c r="V44" s="125">
        <v>8.6449999999999996</v>
      </c>
      <c r="W44" s="125">
        <v>8.6449999999999996</v>
      </c>
      <c r="X44" s="125">
        <v>0.9</v>
      </c>
      <c r="Y44" s="125">
        <v>1.31</v>
      </c>
      <c r="Z44" s="125">
        <v>1.31</v>
      </c>
      <c r="AA44" s="125">
        <v>0</v>
      </c>
      <c r="AB44" s="125">
        <v>0</v>
      </c>
      <c r="AC44" s="125">
        <v>0</v>
      </c>
      <c r="AD44" s="125">
        <v>1.39</v>
      </c>
      <c r="AE44" s="125">
        <v>1.39</v>
      </c>
      <c r="AF44" s="125">
        <v>1.375</v>
      </c>
      <c r="AG44" s="125">
        <v>1.375</v>
      </c>
      <c r="AH44" s="125">
        <v>5.49</v>
      </c>
      <c r="AI44" s="315">
        <v>5.49</v>
      </c>
      <c r="AJ44" s="125">
        <v>0</v>
      </c>
      <c r="AK44" s="273">
        <v>0</v>
      </c>
      <c r="AL44" s="273">
        <v>9.5</v>
      </c>
      <c r="AM44" s="273">
        <v>2.54</v>
      </c>
      <c r="AN44" s="273">
        <v>11</v>
      </c>
      <c r="AO44" s="273">
        <v>11</v>
      </c>
      <c r="AP44" s="273">
        <v>7.92</v>
      </c>
      <c r="AQ44" s="273">
        <v>0.5</v>
      </c>
      <c r="AR44" s="273"/>
      <c r="AS44" s="273"/>
      <c r="AT44" s="273"/>
      <c r="AU44" s="273"/>
      <c r="AV44" s="125"/>
      <c r="AW44" s="399"/>
      <c r="AX44" s="262">
        <f t="shared" si="3"/>
        <v>129.01500000000001</v>
      </c>
      <c r="AY44" s="433">
        <f t="shared" si="4"/>
        <v>13107.3115</v>
      </c>
      <c r="AZ44" s="117"/>
      <c r="BA44" s="269"/>
      <c r="BB44" s="269"/>
      <c r="BC44" s="269"/>
      <c r="BD44" s="269"/>
      <c r="BE44" s="269"/>
      <c r="BF44" s="269"/>
      <c r="BG44" s="269"/>
      <c r="BH44" s="269"/>
      <c r="BI44" s="269"/>
      <c r="BJ44" s="269"/>
      <c r="BK44" s="269"/>
      <c r="BL44" s="269"/>
      <c r="BM44" s="269"/>
      <c r="BN44" s="269"/>
      <c r="BO44" s="269"/>
      <c r="BP44" s="269"/>
      <c r="BQ44" s="269"/>
      <c r="BR44" s="269"/>
      <c r="BS44" s="269"/>
      <c r="BT44" s="269"/>
      <c r="BU44" s="269"/>
      <c r="BV44" s="269"/>
      <c r="BW44" s="269"/>
      <c r="BX44" s="269"/>
      <c r="BY44" s="269"/>
      <c r="BZ44" s="269"/>
      <c r="CA44" s="269"/>
      <c r="CB44" s="269"/>
      <c r="CC44" s="269"/>
      <c r="CD44" s="269"/>
      <c r="CE44" s="269"/>
      <c r="CF44" s="269"/>
      <c r="CG44" s="269"/>
      <c r="CH44" s="269"/>
      <c r="CI44" s="269"/>
      <c r="CJ44" s="269"/>
      <c r="CK44" s="269"/>
      <c r="CL44" s="269"/>
      <c r="CM44" s="269"/>
      <c r="CN44" s="269"/>
      <c r="CO44" s="269"/>
      <c r="CP44" s="269"/>
      <c r="CQ44" s="269"/>
      <c r="CR44" s="269"/>
      <c r="CS44" s="269"/>
      <c r="CT44" s="269"/>
      <c r="CU44" s="269"/>
      <c r="CV44" s="269"/>
      <c r="CW44" s="269"/>
      <c r="CX44" s="269"/>
      <c r="CY44" s="269"/>
      <c r="CZ44" s="269"/>
      <c r="DA44" s="269"/>
      <c r="DB44" s="269"/>
      <c r="DC44" s="269"/>
      <c r="DD44" s="269"/>
      <c r="DE44" s="269"/>
      <c r="DF44" s="269"/>
      <c r="DG44" s="269"/>
      <c r="DH44" s="269"/>
      <c r="DI44" s="269"/>
      <c r="DJ44" s="269"/>
      <c r="DK44" s="269"/>
      <c r="DL44" s="269"/>
      <c r="DM44" s="269"/>
      <c r="DN44" s="269"/>
      <c r="DO44" s="269"/>
      <c r="DP44" s="269"/>
      <c r="DQ44" s="269"/>
      <c r="DR44" s="269"/>
      <c r="DS44" s="269"/>
      <c r="DT44" s="269"/>
      <c r="DU44" s="269"/>
      <c r="DV44" s="269"/>
      <c r="DW44" s="269"/>
      <c r="DX44" s="269"/>
      <c r="DY44" s="269"/>
      <c r="DZ44" s="269"/>
      <c r="EA44" s="269"/>
      <c r="EB44" s="269"/>
    </row>
    <row r="45" spans="1:132" ht="15">
      <c r="A45" s="82"/>
      <c r="B45" s="82"/>
      <c r="C45" s="398">
        <v>37995.499999999505</v>
      </c>
      <c r="D45" s="260">
        <v>37995.541666666169</v>
      </c>
      <c r="E45" s="261">
        <v>0.5</v>
      </c>
      <c r="F45" s="125">
        <v>9.8450000000000006</v>
      </c>
      <c r="G45" s="125">
        <v>0</v>
      </c>
      <c r="H45" s="315">
        <v>5.69</v>
      </c>
      <c r="I45" s="125">
        <v>5.15</v>
      </c>
      <c r="J45" s="125">
        <v>0</v>
      </c>
      <c r="K45" s="125">
        <v>5.15</v>
      </c>
      <c r="L45" s="125">
        <v>0</v>
      </c>
      <c r="M45" s="315">
        <v>5.15</v>
      </c>
      <c r="N45" s="125">
        <v>0</v>
      </c>
      <c r="O45" s="125">
        <v>0</v>
      </c>
      <c r="P45" s="315">
        <v>5.15</v>
      </c>
      <c r="Q45" s="125">
        <v>5.05</v>
      </c>
      <c r="R45" s="125">
        <v>5.18</v>
      </c>
      <c r="S45" s="125">
        <v>5.18</v>
      </c>
      <c r="T45" s="125">
        <v>5</v>
      </c>
      <c r="U45" s="125">
        <v>0.81</v>
      </c>
      <c r="V45" s="125">
        <v>8.6449999999999996</v>
      </c>
      <c r="W45" s="125">
        <v>8.6449999999999996</v>
      </c>
      <c r="X45" s="125">
        <v>0.72499999999999998</v>
      </c>
      <c r="Y45" s="125">
        <v>1.31</v>
      </c>
      <c r="Z45" s="125">
        <v>1.31</v>
      </c>
      <c r="AA45" s="125">
        <v>0</v>
      </c>
      <c r="AB45" s="125">
        <v>0</v>
      </c>
      <c r="AC45" s="125">
        <v>0</v>
      </c>
      <c r="AD45" s="125">
        <v>1.39</v>
      </c>
      <c r="AE45" s="125">
        <v>1.39</v>
      </c>
      <c r="AF45" s="125">
        <v>1.375</v>
      </c>
      <c r="AG45" s="125">
        <v>1.375</v>
      </c>
      <c r="AH45" s="125">
        <v>5.49</v>
      </c>
      <c r="AI45" s="315">
        <v>5.49</v>
      </c>
      <c r="AJ45" s="125">
        <v>0</v>
      </c>
      <c r="AK45" s="273">
        <v>0</v>
      </c>
      <c r="AL45" s="273">
        <v>9.5</v>
      </c>
      <c r="AM45" s="273">
        <v>2.54</v>
      </c>
      <c r="AN45" s="273">
        <v>3.81</v>
      </c>
      <c r="AO45" s="273">
        <v>11</v>
      </c>
      <c r="AP45" s="273">
        <v>7.92</v>
      </c>
      <c r="AQ45" s="273">
        <v>0</v>
      </c>
      <c r="AR45" s="273"/>
      <c r="AS45" s="273"/>
      <c r="AT45" s="273"/>
      <c r="AU45" s="273"/>
      <c r="AV45" s="125"/>
      <c r="AW45" s="399"/>
      <c r="AX45" s="262">
        <f t="shared" si="3"/>
        <v>129.76999999999998</v>
      </c>
      <c r="AY45" s="433">
        <f t="shared" si="4"/>
        <v>12942.586500000001</v>
      </c>
      <c r="AZ45" s="117"/>
      <c r="BA45" s="269"/>
      <c r="BB45" s="269"/>
      <c r="BC45" s="269"/>
      <c r="BD45" s="269"/>
      <c r="BE45" s="269"/>
      <c r="BF45" s="269"/>
      <c r="BG45" s="269"/>
      <c r="BH45" s="269"/>
      <c r="BI45" s="269"/>
      <c r="BJ45" s="269"/>
      <c r="BK45" s="269"/>
      <c r="BL45" s="269"/>
      <c r="BM45" s="269"/>
      <c r="BN45" s="269"/>
      <c r="BO45" s="269"/>
      <c r="BP45" s="269"/>
      <c r="BQ45" s="269"/>
      <c r="BR45" s="269"/>
      <c r="BS45" s="269"/>
      <c r="BT45" s="269"/>
      <c r="BU45" s="269"/>
      <c r="BV45" s="269"/>
      <c r="BW45" s="269"/>
      <c r="BX45" s="269"/>
      <c r="BY45" s="269"/>
      <c r="BZ45" s="269"/>
      <c r="CA45" s="269"/>
      <c r="CB45" s="269"/>
      <c r="CC45" s="269"/>
      <c r="CD45" s="269"/>
      <c r="CE45" s="269"/>
      <c r="CF45" s="269"/>
      <c r="CG45" s="269"/>
      <c r="CH45" s="269"/>
      <c r="CI45" s="269"/>
      <c r="CJ45" s="269"/>
      <c r="CK45" s="269"/>
      <c r="CL45" s="269"/>
      <c r="CM45" s="269"/>
      <c r="CN45" s="269"/>
      <c r="CO45" s="269"/>
      <c r="CP45" s="269"/>
      <c r="CQ45" s="269"/>
      <c r="CR45" s="269"/>
      <c r="CS45" s="269"/>
      <c r="CT45" s="269"/>
      <c r="CU45" s="269"/>
      <c r="CV45" s="269"/>
      <c r="CW45" s="269"/>
      <c r="CX45" s="269"/>
      <c r="CY45" s="269"/>
      <c r="CZ45" s="269"/>
      <c r="DA45" s="269"/>
      <c r="DB45" s="269"/>
      <c r="DC45" s="269"/>
      <c r="DD45" s="269"/>
      <c r="DE45" s="269"/>
      <c r="DF45" s="269"/>
      <c r="DG45" s="269"/>
      <c r="DH45" s="269"/>
      <c r="DI45" s="269"/>
      <c r="DJ45" s="269"/>
      <c r="DK45" s="269"/>
      <c r="DL45" s="269"/>
      <c r="DM45" s="269"/>
      <c r="DN45" s="269"/>
      <c r="DO45" s="269"/>
      <c r="DP45" s="269"/>
      <c r="DQ45" s="269"/>
      <c r="DR45" s="269"/>
      <c r="DS45" s="269"/>
      <c r="DT45" s="269"/>
      <c r="DU45" s="269"/>
      <c r="DV45" s="269"/>
      <c r="DW45" s="269"/>
      <c r="DX45" s="269"/>
      <c r="DY45" s="269"/>
      <c r="DZ45" s="269"/>
      <c r="EA45" s="269"/>
      <c r="EB45" s="269"/>
    </row>
    <row r="46" spans="1:132" ht="15">
      <c r="A46" s="82"/>
      <c r="B46" s="82"/>
      <c r="C46" s="396">
        <v>37995.541666666169</v>
      </c>
      <c r="D46" s="257">
        <v>37995.583333332834</v>
      </c>
      <c r="E46" s="258">
        <v>0</v>
      </c>
      <c r="F46" s="124">
        <v>4.53</v>
      </c>
      <c r="G46" s="124">
        <v>0</v>
      </c>
      <c r="H46" s="314">
        <v>5.69</v>
      </c>
      <c r="I46" s="124">
        <v>5.15</v>
      </c>
      <c r="J46" s="124">
        <v>5.15</v>
      </c>
      <c r="K46" s="124">
        <v>5.15</v>
      </c>
      <c r="L46" s="124">
        <v>5.15</v>
      </c>
      <c r="M46" s="314">
        <v>5.15</v>
      </c>
      <c r="N46" s="124">
        <v>0</v>
      </c>
      <c r="O46" s="124">
        <v>5.15</v>
      </c>
      <c r="P46" s="314">
        <v>5.15</v>
      </c>
      <c r="Q46" s="124">
        <v>5.05</v>
      </c>
      <c r="R46" s="124">
        <v>5.18</v>
      </c>
      <c r="S46" s="124">
        <v>5.18</v>
      </c>
      <c r="T46" s="124">
        <v>0</v>
      </c>
      <c r="U46" s="124">
        <v>0</v>
      </c>
      <c r="V46" s="124">
        <v>8.6449999999999996</v>
      </c>
      <c r="W46" s="124">
        <v>8.6449999999999996</v>
      </c>
      <c r="X46" s="124">
        <v>0.76</v>
      </c>
      <c r="Y46" s="124">
        <v>1.31</v>
      </c>
      <c r="Z46" s="124">
        <v>1.31</v>
      </c>
      <c r="AA46" s="124">
        <v>0</v>
      </c>
      <c r="AB46" s="124">
        <v>0</v>
      </c>
      <c r="AC46" s="124">
        <v>0</v>
      </c>
      <c r="AD46" s="124">
        <v>1.39</v>
      </c>
      <c r="AE46" s="124">
        <v>1.39</v>
      </c>
      <c r="AF46" s="124">
        <v>1.375</v>
      </c>
      <c r="AG46" s="124">
        <v>1.375</v>
      </c>
      <c r="AH46" s="124">
        <v>5.49</v>
      </c>
      <c r="AI46" s="314">
        <v>5.49</v>
      </c>
      <c r="AJ46" s="124">
        <v>0</v>
      </c>
      <c r="AK46" s="272">
        <v>0</v>
      </c>
      <c r="AL46" s="272">
        <v>9.5</v>
      </c>
      <c r="AM46" s="272">
        <v>2.54</v>
      </c>
      <c r="AN46" s="272">
        <v>11</v>
      </c>
      <c r="AO46" s="272">
        <v>0.5</v>
      </c>
      <c r="AP46" s="272">
        <v>7.92</v>
      </c>
      <c r="AQ46" s="272">
        <v>7.92</v>
      </c>
      <c r="AR46" s="272"/>
      <c r="AS46" s="272"/>
      <c r="AT46" s="272"/>
      <c r="AU46" s="272"/>
      <c r="AV46" s="124"/>
      <c r="AW46" s="397"/>
      <c r="AX46" s="259">
        <f t="shared" si="3"/>
        <v>138.23999999999998</v>
      </c>
      <c r="AY46" s="432">
        <f t="shared" si="4"/>
        <v>13424.421500000002</v>
      </c>
      <c r="AZ46" s="117"/>
      <c r="BA46" s="269"/>
      <c r="BB46" s="269"/>
      <c r="BC46" s="269"/>
      <c r="BD46" s="269"/>
      <c r="BE46" s="269"/>
      <c r="BF46" s="269"/>
      <c r="BG46" s="269"/>
      <c r="BH46" s="269"/>
      <c r="BI46" s="269"/>
      <c r="BJ46" s="269"/>
      <c r="BK46" s="269"/>
      <c r="BL46" s="269"/>
      <c r="BM46" s="269"/>
      <c r="BN46" s="269"/>
      <c r="BO46" s="269"/>
      <c r="BP46" s="269"/>
      <c r="BQ46" s="269"/>
      <c r="BR46" s="269"/>
      <c r="BS46" s="269"/>
      <c r="BT46" s="269"/>
      <c r="BU46" s="269"/>
      <c r="BV46" s="269"/>
      <c r="BW46" s="269"/>
      <c r="BX46" s="269"/>
      <c r="BY46" s="269"/>
      <c r="BZ46" s="269"/>
      <c r="CA46" s="269"/>
      <c r="CB46" s="269"/>
      <c r="CC46" s="269"/>
      <c r="CD46" s="269"/>
      <c r="CE46" s="269"/>
      <c r="CF46" s="269"/>
      <c r="CG46" s="269"/>
      <c r="CH46" s="269"/>
      <c r="CI46" s="269"/>
      <c r="CJ46" s="269"/>
      <c r="CK46" s="269"/>
      <c r="CL46" s="269"/>
      <c r="CM46" s="269"/>
      <c r="CN46" s="269"/>
      <c r="CO46" s="269"/>
      <c r="CP46" s="269"/>
      <c r="CQ46" s="269"/>
      <c r="CR46" s="269"/>
      <c r="CS46" s="269"/>
      <c r="CT46" s="269"/>
      <c r="CU46" s="269"/>
      <c r="CV46" s="269"/>
      <c r="CW46" s="269"/>
      <c r="CX46" s="269"/>
      <c r="CY46" s="269"/>
      <c r="CZ46" s="269"/>
      <c r="DA46" s="269"/>
      <c r="DB46" s="269"/>
      <c r="DC46" s="269"/>
      <c r="DD46" s="269"/>
      <c r="DE46" s="269"/>
      <c r="DF46" s="269"/>
      <c r="DG46" s="269"/>
      <c r="DH46" s="269"/>
      <c r="DI46" s="269"/>
      <c r="DJ46" s="269"/>
      <c r="DK46" s="269"/>
      <c r="DL46" s="269"/>
      <c r="DM46" s="269"/>
      <c r="DN46" s="269"/>
      <c r="DO46" s="269"/>
      <c r="DP46" s="269"/>
      <c r="DQ46" s="269"/>
      <c r="DR46" s="269"/>
      <c r="DS46" s="269"/>
      <c r="DT46" s="269"/>
      <c r="DU46" s="269"/>
      <c r="DV46" s="269"/>
      <c r="DW46" s="269"/>
      <c r="DX46" s="269"/>
      <c r="DY46" s="269"/>
      <c r="DZ46" s="269"/>
      <c r="EA46" s="269"/>
      <c r="EB46" s="269"/>
    </row>
    <row r="47" spans="1:132" ht="15">
      <c r="A47" s="82"/>
      <c r="B47" s="82"/>
      <c r="C47" s="396">
        <v>37995.583333332834</v>
      </c>
      <c r="D47" s="257">
        <v>37995.624999999498</v>
      </c>
      <c r="E47" s="258">
        <v>0</v>
      </c>
      <c r="F47" s="124">
        <v>2.16</v>
      </c>
      <c r="G47" s="124">
        <v>0</v>
      </c>
      <c r="H47" s="314">
        <v>5.69</v>
      </c>
      <c r="I47" s="124">
        <v>5.15</v>
      </c>
      <c r="J47" s="124">
        <v>0</v>
      </c>
      <c r="K47" s="124">
        <v>5.15</v>
      </c>
      <c r="L47" s="124">
        <v>5.15</v>
      </c>
      <c r="M47" s="314">
        <v>0</v>
      </c>
      <c r="N47" s="124">
        <v>4.05</v>
      </c>
      <c r="O47" s="124">
        <v>5.15</v>
      </c>
      <c r="P47" s="314">
        <v>5.15</v>
      </c>
      <c r="Q47" s="124">
        <v>5.05</v>
      </c>
      <c r="R47" s="124">
        <v>5.18</v>
      </c>
      <c r="S47" s="124">
        <v>5.18</v>
      </c>
      <c r="T47" s="124">
        <v>5</v>
      </c>
      <c r="U47" s="124">
        <v>4.87</v>
      </c>
      <c r="V47" s="124">
        <v>6.9649999999999999</v>
      </c>
      <c r="W47" s="124">
        <v>8.6449999999999996</v>
      </c>
      <c r="X47" s="124">
        <v>0</v>
      </c>
      <c r="Y47" s="124">
        <v>1.31</v>
      </c>
      <c r="Z47" s="124">
        <v>1.31</v>
      </c>
      <c r="AA47" s="124">
        <v>0</v>
      </c>
      <c r="AB47" s="124">
        <v>0</v>
      </c>
      <c r="AC47" s="124">
        <v>0</v>
      </c>
      <c r="AD47" s="124">
        <v>1.39</v>
      </c>
      <c r="AE47" s="124">
        <v>1.39</v>
      </c>
      <c r="AF47" s="124">
        <v>1.375</v>
      </c>
      <c r="AG47" s="124">
        <v>1.375</v>
      </c>
      <c r="AH47" s="124">
        <v>5.49</v>
      </c>
      <c r="AI47" s="314">
        <v>5.49</v>
      </c>
      <c r="AJ47" s="124">
        <v>0</v>
      </c>
      <c r="AK47" s="272">
        <v>0</v>
      </c>
      <c r="AL47" s="272">
        <v>9.5</v>
      </c>
      <c r="AM47" s="272">
        <v>2.54</v>
      </c>
      <c r="AN47" s="272">
        <v>11</v>
      </c>
      <c r="AO47" s="272">
        <v>11</v>
      </c>
      <c r="AP47" s="272">
        <v>0.5</v>
      </c>
      <c r="AQ47" s="272">
        <v>7.92</v>
      </c>
      <c r="AR47" s="272"/>
      <c r="AS47" s="272"/>
      <c r="AT47" s="272"/>
      <c r="AU47" s="272"/>
      <c r="AV47" s="124"/>
      <c r="AW47" s="397"/>
      <c r="AX47" s="259">
        <f t="shared" si="3"/>
        <v>140.12999999999997</v>
      </c>
      <c r="AY47" s="432">
        <f t="shared" si="4"/>
        <v>14093.4715</v>
      </c>
      <c r="AZ47" s="117"/>
      <c r="BA47" s="269"/>
      <c r="BB47" s="269"/>
      <c r="BC47" s="269"/>
      <c r="BD47" s="269"/>
      <c r="BE47" s="269"/>
      <c r="BF47" s="269"/>
      <c r="BG47" s="269"/>
      <c r="BH47" s="269"/>
      <c r="BI47" s="269"/>
      <c r="BJ47" s="269"/>
      <c r="BK47" s="269"/>
      <c r="BL47" s="269"/>
      <c r="BM47" s="269"/>
      <c r="BN47" s="269"/>
      <c r="BO47" s="269"/>
      <c r="BP47" s="269"/>
      <c r="BQ47" s="269"/>
      <c r="BR47" s="269"/>
      <c r="BS47" s="269"/>
      <c r="BT47" s="269"/>
      <c r="BU47" s="269"/>
      <c r="BV47" s="269"/>
      <c r="BW47" s="269"/>
      <c r="BX47" s="269"/>
      <c r="BY47" s="269"/>
      <c r="BZ47" s="269"/>
      <c r="CA47" s="269"/>
      <c r="CB47" s="269"/>
      <c r="CC47" s="269"/>
      <c r="CD47" s="269"/>
      <c r="CE47" s="269"/>
      <c r="CF47" s="269"/>
      <c r="CG47" s="269"/>
      <c r="CH47" s="269"/>
      <c r="CI47" s="269"/>
      <c r="CJ47" s="269"/>
      <c r="CK47" s="269"/>
      <c r="CL47" s="269"/>
      <c r="CM47" s="269"/>
      <c r="CN47" s="269"/>
      <c r="CO47" s="269"/>
      <c r="CP47" s="269"/>
      <c r="CQ47" s="269"/>
      <c r="CR47" s="269"/>
      <c r="CS47" s="269"/>
      <c r="CT47" s="269"/>
      <c r="CU47" s="269"/>
      <c r="CV47" s="269"/>
      <c r="CW47" s="269"/>
      <c r="CX47" s="269"/>
      <c r="CY47" s="269"/>
      <c r="CZ47" s="269"/>
      <c r="DA47" s="269"/>
      <c r="DB47" s="269"/>
      <c r="DC47" s="269"/>
      <c r="DD47" s="269"/>
      <c r="DE47" s="269"/>
      <c r="DF47" s="269"/>
      <c r="DG47" s="269"/>
      <c r="DH47" s="269"/>
      <c r="DI47" s="269"/>
      <c r="DJ47" s="269"/>
      <c r="DK47" s="269"/>
      <c r="DL47" s="269"/>
      <c r="DM47" s="269"/>
      <c r="DN47" s="269"/>
      <c r="DO47" s="269"/>
      <c r="DP47" s="269"/>
      <c r="DQ47" s="269"/>
      <c r="DR47" s="269"/>
      <c r="DS47" s="269"/>
      <c r="DT47" s="269"/>
      <c r="DU47" s="269"/>
      <c r="DV47" s="269"/>
      <c r="DW47" s="269"/>
      <c r="DX47" s="269"/>
      <c r="DY47" s="269"/>
      <c r="DZ47" s="269"/>
      <c r="EA47" s="269"/>
      <c r="EB47" s="269"/>
    </row>
    <row r="48" spans="1:132" ht="15">
      <c r="A48" s="82"/>
      <c r="B48" s="82"/>
      <c r="C48" s="396">
        <v>37995.624999999498</v>
      </c>
      <c r="D48" s="257">
        <v>37995.666666666162</v>
      </c>
      <c r="E48" s="258">
        <v>2.355</v>
      </c>
      <c r="F48" s="124">
        <v>9.8450000000000006</v>
      </c>
      <c r="G48" s="124">
        <v>0</v>
      </c>
      <c r="H48" s="314">
        <v>5.69</v>
      </c>
      <c r="I48" s="124">
        <v>5.15</v>
      </c>
      <c r="J48" s="124">
        <v>5.15</v>
      </c>
      <c r="K48" s="124">
        <v>5.15</v>
      </c>
      <c r="L48" s="124">
        <v>4.05</v>
      </c>
      <c r="M48" s="314">
        <v>5.15</v>
      </c>
      <c r="N48" s="124">
        <v>0</v>
      </c>
      <c r="O48" s="124">
        <v>5.15</v>
      </c>
      <c r="P48" s="314">
        <v>5.15</v>
      </c>
      <c r="Q48" s="124">
        <v>5.05</v>
      </c>
      <c r="R48" s="124">
        <v>5.18</v>
      </c>
      <c r="S48" s="124">
        <v>5.18</v>
      </c>
      <c r="T48" s="124">
        <v>5</v>
      </c>
      <c r="U48" s="124">
        <v>4.87</v>
      </c>
      <c r="V48" s="124">
        <v>0</v>
      </c>
      <c r="W48" s="124">
        <v>4.0750000000000002</v>
      </c>
      <c r="X48" s="124">
        <v>0</v>
      </c>
      <c r="Y48" s="124">
        <v>1.31</v>
      </c>
      <c r="Z48" s="124">
        <v>1.31</v>
      </c>
      <c r="AA48" s="124">
        <v>1.835</v>
      </c>
      <c r="AB48" s="124">
        <v>1.835</v>
      </c>
      <c r="AC48" s="124">
        <v>1.835</v>
      </c>
      <c r="AD48" s="124">
        <v>1.39</v>
      </c>
      <c r="AE48" s="124">
        <v>1.39</v>
      </c>
      <c r="AF48" s="124">
        <v>1.375</v>
      </c>
      <c r="AG48" s="124">
        <v>1.375</v>
      </c>
      <c r="AH48" s="124">
        <v>5.49</v>
      </c>
      <c r="AI48" s="314">
        <v>5.49</v>
      </c>
      <c r="AJ48" s="124">
        <v>0</v>
      </c>
      <c r="AK48" s="272">
        <v>0</v>
      </c>
      <c r="AL48" s="272">
        <v>9.5</v>
      </c>
      <c r="AM48" s="272">
        <v>2.54</v>
      </c>
      <c r="AN48" s="272">
        <v>11</v>
      </c>
      <c r="AO48" s="272">
        <v>11</v>
      </c>
      <c r="AP48" s="272">
        <v>0.5</v>
      </c>
      <c r="AQ48" s="272">
        <v>0</v>
      </c>
      <c r="AR48" s="272"/>
      <c r="AS48" s="272"/>
      <c r="AT48" s="272"/>
      <c r="AU48" s="272"/>
      <c r="AV48" s="124"/>
      <c r="AW48" s="397"/>
      <c r="AX48" s="259">
        <f t="shared" si="3"/>
        <v>141.36999999999998</v>
      </c>
      <c r="AY48" s="432">
        <f t="shared" si="4"/>
        <v>14354.254999999999</v>
      </c>
      <c r="AZ48" s="117"/>
      <c r="BA48" s="269"/>
      <c r="BB48" s="269"/>
      <c r="BC48" s="269"/>
      <c r="BD48" s="269"/>
      <c r="BE48" s="269"/>
      <c r="BF48" s="269"/>
      <c r="BG48" s="269"/>
      <c r="BH48" s="269"/>
      <c r="BI48" s="269"/>
      <c r="BJ48" s="269"/>
      <c r="BK48" s="269"/>
      <c r="BL48" s="269"/>
      <c r="BM48" s="269"/>
      <c r="BN48" s="269"/>
      <c r="BO48" s="269"/>
      <c r="BP48" s="269"/>
      <c r="BQ48" s="269"/>
      <c r="BR48" s="269"/>
      <c r="BS48" s="269"/>
      <c r="BT48" s="269"/>
      <c r="BU48" s="269"/>
      <c r="BV48" s="269"/>
      <c r="BW48" s="269"/>
      <c r="BX48" s="269"/>
      <c r="BY48" s="269"/>
      <c r="BZ48" s="269"/>
      <c r="CA48" s="269"/>
      <c r="CB48" s="269"/>
      <c r="CC48" s="269"/>
      <c r="CD48" s="269"/>
      <c r="CE48" s="269"/>
      <c r="CF48" s="269"/>
      <c r="CG48" s="269"/>
      <c r="CH48" s="269"/>
      <c r="CI48" s="269"/>
      <c r="CJ48" s="269"/>
      <c r="CK48" s="269"/>
      <c r="CL48" s="269"/>
      <c r="CM48" s="269"/>
      <c r="CN48" s="269"/>
      <c r="CO48" s="269"/>
      <c r="CP48" s="269"/>
      <c r="CQ48" s="269"/>
      <c r="CR48" s="269"/>
      <c r="CS48" s="269"/>
      <c r="CT48" s="269"/>
      <c r="CU48" s="269"/>
      <c r="CV48" s="269"/>
      <c r="CW48" s="269"/>
      <c r="CX48" s="269"/>
      <c r="CY48" s="269"/>
      <c r="CZ48" s="269"/>
      <c r="DA48" s="269"/>
      <c r="DB48" s="269"/>
      <c r="DC48" s="269"/>
      <c r="DD48" s="269"/>
      <c r="DE48" s="269"/>
      <c r="DF48" s="269"/>
      <c r="DG48" s="269"/>
      <c r="DH48" s="269"/>
      <c r="DI48" s="269"/>
      <c r="DJ48" s="269"/>
      <c r="DK48" s="269"/>
      <c r="DL48" s="269"/>
      <c r="DM48" s="269"/>
      <c r="DN48" s="269"/>
      <c r="DO48" s="269"/>
      <c r="DP48" s="269"/>
      <c r="DQ48" s="269"/>
      <c r="DR48" s="269"/>
      <c r="DS48" s="269"/>
      <c r="DT48" s="269"/>
      <c r="DU48" s="269"/>
      <c r="DV48" s="269"/>
      <c r="DW48" s="269"/>
      <c r="DX48" s="269"/>
      <c r="DY48" s="269"/>
      <c r="DZ48" s="269"/>
      <c r="EA48" s="269"/>
      <c r="EB48" s="269"/>
    </row>
    <row r="49" spans="1:132" ht="15">
      <c r="A49" s="82"/>
      <c r="B49" s="82"/>
      <c r="C49" s="396">
        <v>37995.666666666162</v>
      </c>
      <c r="D49" s="257">
        <v>37995.708333332826</v>
      </c>
      <c r="E49" s="258">
        <v>0</v>
      </c>
      <c r="F49" s="124">
        <v>2.54</v>
      </c>
      <c r="G49" s="124">
        <v>0</v>
      </c>
      <c r="H49" s="314">
        <v>5.69</v>
      </c>
      <c r="I49" s="124">
        <v>5.15</v>
      </c>
      <c r="J49" s="124">
        <v>5.15</v>
      </c>
      <c r="K49" s="124">
        <v>5.15</v>
      </c>
      <c r="L49" s="124">
        <v>5.15</v>
      </c>
      <c r="M49" s="314">
        <v>5.15</v>
      </c>
      <c r="N49" s="124">
        <v>4.05</v>
      </c>
      <c r="O49" s="124">
        <v>5.15</v>
      </c>
      <c r="P49" s="314">
        <v>5.15</v>
      </c>
      <c r="Q49" s="124">
        <v>5.05</v>
      </c>
      <c r="R49" s="124">
        <v>5.18</v>
      </c>
      <c r="S49" s="124">
        <v>5.18</v>
      </c>
      <c r="T49" s="124">
        <v>5</v>
      </c>
      <c r="U49" s="124">
        <v>5</v>
      </c>
      <c r="V49" s="124">
        <v>0</v>
      </c>
      <c r="W49" s="124">
        <v>0</v>
      </c>
      <c r="X49" s="124">
        <v>0</v>
      </c>
      <c r="Y49" s="124">
        <v>1.31</v>
      </c>
      <c r="Z49" s="124">
        <v>1.31</v>
      </c>
      <c r="AA49" s="124">
        <v>1.835</v>
      </c>
      <c r="AB49" s="124">
        <v>1.835</v>
      </c>
      <c r="AC49" s="124">
        <v>1.835</v>
      </c>
      <c r="AD49" s="124">
        <v>1.39</v>
      </c>
      <c r="AE49" s="124">
        <v>1.39</v>
      </c>
      <c r="AF49" s="124">
        <v>1.375</v>
      </c>
      <c r="AG49" s="124">
        <v>1.375</v>
      </c>
      <c r="AH49" s="124">
        <v>5.49</v>
      </c>
      <c r="AI49" s="314">
        <v>5.49</v>
      </c>
      <c r="AJ49" s="124">
        <v>0</v>
      </c>
      <c r="AK49" s="272">
        <v>0</v>
      </c>
      <c r="AL49" s="272">
        <v>9.5</v>
      </c>
      <c r="AM49" s="272">
        <v>0</v>
      </c>
      <c r="AN49" s="272">
        <v>2.42</v>
      </c>
      <c r="AO49" s="272">
        <v>11</v>
      </c>
      <c r="AP49" s="272">
        <v>0</v>
      </c>
      <c r="AQ49" s="272">
        <v>7.92</v>
      </c>
      <c r="AR49" s="272"/>
      <c r="AS49" s="272"/>
      <c r="AT49" s="272"/>
      <c r="AU49" s="272"/>
      <c r="AV49" s="124"/>
      <c r="AW49" s="397"/>
      <c r="AX49" s="259">
        <f t="shared" si="3"/>
        <v>129.21499999999995</v>
      </c>
      <c r="AY49" s="432">
        <f t="shared" si="4"/>
        <v>13105.410000000003</v>
      </c>
      <c r="AZ49" s="117"/>
      <c r="BA49" s="269"/>
      <c r="BB49" s="269"/>
      <c r="BC49" s="269"/>
      <c r="BD49" s="269"/>
      <c r="BE49" s="269"/>
      <c r="BF49" s="269"/>
      <c r="BG49" s="269"/>
      <c r="BH49" s="269"/>
      <c r="BI49" s="269"/>
      <c r="BJ49" s="269"/>
      <c r="BK49" s="269"/>
      <c r="BL49" s="269"/>
      <c r="BM49" s="269"/>
      <c r="BN49" s="269"/>
      <c r="BO49" s="269"/>
      <c r="BP49" s="269"/>
      <c r="BQ49" s="269"/>
      <c r="BR49" s="269"/>
      <c r="BS49" s="269"/>
      <c r="BT49" s="269"/>
      <c r="BU49" s="269"/>
      <c r="BV49" s="269"/>
      <c r="BW49" s="269"/>
      <c r="BX49" s="269"/>
      <c r="BY49" s="269"/>
      <c r="BZ49" s="269"/>
      <c r="CA49" s="269"/>
      <c r="CB49" s="269"/>
      <c r="CC49" s="269"/>
      <c r="CD49" s="269"/>
      <c r="CE49" s="269"/>
      <c r="CF49" s="269"/>
      <c r="CG49" s="269"/>
      <c r="CH49" s="269"/>
      <c r="CI49" s="269"/>
      <c r="CJ49" s="269"/>
      <c r="CK49" s="269"/>
      <c r="CL49" s="269"/>
      <c r="CM49" s="269"/>
      <c r="CN49" s="269"/>
      <c r="CO49" s="269"/>
      <c r="CP49" s="269"/>
      <c r="CQ49" s="269"/>
      <c r="CR49" s="269"/>
      <c r="CS49" s="269"/>
      <c r="CT49" s="269"/>
      <c r="CU49" s="269"/>
      <c r="CV49" s="269"/>
      <c r="CW49" s="269"/>
      <c r="CX49" s="269"/>
      <c r="CY49" s="269"/>
      <c r="CZ49" s="269"/>
      <c r="DA49" s="269"/>
      <c r="DB49" s="269"/>
      <c r="DC49" s="269"/>
      <c r="DD49" s="269"/>
      <c r="DE49" s="269"/>
      <c r="DF49" s="269"/>
      <c r="DG49" s="269"/>
      <c r="DH49" s="269"/>
      <c r="DI49" s="269"/>
      <c r="DJ49" s="269"/>
      <c r="DK49" s="269"/>
      <c r="DL49" s="269"/>
      <c r="DM49" s="269"/>
      <c r="DN49" s="269"/>
      <c r="DO49" s="269"/>
      <c r="DP49" s="269"/>
      <c r="DQ49" s="269"/>
      <c r="DR49" s="269"/>
      <c r="DS49" s="269"/>
      <c r="DT49" s="269"/>
      <c r="DU49" s="269"/>
      <c r="DV49" s="269"/>
      <c r="DW49" s="269"/>
      <c r="DX49" s="269"/>
      <c r="DY49" s="269"/>
      <c r="DZ49" s="269"/>
      <c r="EA49" s="269"/>
      <c r="EB49" s="269"/>
    </row>
    <row r="50" spans="1:132" ht="15">
      <c r="A50" s="82"/>
      <c r="B50" s="82"/>
      <c r="C50" s="396">
        <v>37995.708333332826</v>
      </c>
      <c r="D50" s="257">
        <v>37995.749999999491</v>
      </c>
      <c r="E50" s="258">
        <v>0</v>
      </c>
      <c r="F50" s="124">
        <v>0.5</v>
      </c>
      <c r="G50" s="124">
        <v>0</v>
      </c>
      <c r="H50" s="314">
        <v>5.69</v>
      </c>
      <c r="I50" s="124">
        <v>5.15</v>
      </c>
      <c r="J50" s="124">
        <v>5.15</v>
      </c>
      <c r="K50" s="124">
        <v>5.15</v>
      </c>
      <c r="L50" s="124">
        <v>5.15</v>
      </c>
      <c r="M50" s="314">
        <v>5.15</v>
      </c>
      <c r="N50" s="124">
        <v>4.05</v>
      </c>
      <c r="O50" s="124">
        <v>5.15</v>
      </c>
      <c r="P50" s="314">
        <v>5.15</v>
      </c>
      <c r="Q50" s="124">
        <v>5.05</v>
      </c>
      <c r="R50" s="124">
        <v>5.18</v>
      </c>
      <c r="S50" s="124">
        <v>5.18</v>
      </c>
      <c r="T50" s="124">
        <v>5</v>
      </c>
      <c r="U50" s="124">
        <v>5</v>
      </c>
      <c r="V50" s="124">
        <v>0</v>
      </c>
      <c r="W50" s="124">
        <v>0</v>
      </c>
      <c r="X50" s="124">
        <v>0</v>
      </c>
      <c r="Y50" s="124">
        <v>1.31</v>
      </c>
      <c r="Z50" s="124">
        <v>1.31</v>
      </c>
      <c r="AA50" s="124">
        <v>1.835</v>
      </c>
      <c r="AB50" s="124">
        <v>1.835</v>
      </c>
      <c r="AC50" s="124">
        <v>1.835</v>
      </c>
      <c r="AD50" s="124">
        <v>1.39</v>
      </c>
      <c r="AE50" s="124">
        <v>1.39</v>
      </c>
      <c r="AF50" s="124">
        <v>1.375</v>
      </c>
      <c r="AG50" s="124">
        <v>1.375</v>
      </c>
      <c r="AH50" s="124">
        <v>5.49</v>
      </c>
      <c r="AI50" s="314">
        <v>5.49</v>
      </c>
      <c r="AJ50" s="124">
        <v>0</v>
      </c>
      <c r="AK50" s="272">
        <v>0</v>
      </c>
      <c r="AL50" s="272">
        <v>9.5</v>
      </c>
      <c r="AM50" s="272">
        <v>2.54</v>
      </c>
      <c r="AN50" s="272">
        <v>10.645</v>
      </c>
      <c r="AO50" s="272">
        <v>11</v>
      </c>
      <c r="AP50" s="272">
        <v>0</v>
      </c>
      <c r="AQ50" s="272">
        <v>0</v>
      </c>
      <c r="AR50" s="272"/>
      <c r="AS50" s="272"/>
      <c r="AT50" s="272"/>
      <c r="AU50" s="272"/>
      <c r="AV50" s="124"/>
      <c r="AW50" s="397"/>
      <c r="AX50" s="259">
        <f t="shared" si="3"/>
        <v>130.01999999999998</v>
      </c>
      <c r="AY50" s="432">
        <f t="shared" si="4"/>
        <v>13178.290000000003</v>
      </c>
      <c r="AZ50" s="117"/>
      <c r="BA50" s="269"/>
      <c r="BB50" s="269"/>
      <c r="BC50" s="269"/>
      <c r="BD50" s="269"/>
      <c r="BE50" s="269"/>
      <c r="BF50" s="269"/>
      <c r="BG50" s="269"/>
      <c r="BH50" s="269"/>
      <c r="BI50" s="269"/>
      <c r="BJ50" s="269"/>
      <c r="BK50" s="269"/>
      <c r="BL50" s="269"/>
      <c r="BM50" s="269"/>
      <c r="BN50" s="269"/>
      <c r="BO50" s="269"/>
      <c r="BP50" s="269"/>
      <c r="BQ50" s="269"/>
      <c r="BR50" s="269"/>
      <c r="BS50" s="269"/>
      <c r="BT50" s="269"/>
      <c r="BU50" s="269"/>
      <c r="BV50" s="269"/>
      <c r="BW50" s="269"/>
      <c r="BX50" s="269"/>
      <c r="BY50" s="269"/>
      <c r="BZ50" s="269"/>
      <c r="CA50" s="269"/>
      <c r="CB50" s="269"/>
      <c r="CC50" s="269"/>
      <c r="CD50" s="269"/>
      <c r="CE50" s="269"/>
      <c r="CF50" s="269"/>
      <c r="CG50" s="269"/>
      <c r="CH50" s="269"/>
      <c r="CI50" s="269"/>
      <c r="CJ50" s="269"/>
      <c r="CK50" s="269"/>
      <c r="CL50" s="269"/>
      <c r="CM50" s="269"/>
      <c r="CN50" s="269"/>
      <c r="CO50" s="269"/>
      <c r="CP50" s="269"/>
      <c r="CQ50" s="269"/>
      <c r="CR50" s="269"/>
      <c r="CS50" s="269"/>
      <c r="CT50" s="269"/>
      <c r="CU50" s="269"/>
      <c r="CV50" s="269"/>
      <c r="CW50" s="269"/>
      <c r="CX50" s="269"/>
      <c r="CY50" s="269"/>
      <c r="CZ50" s="269"/>
      <c r="DA50" s="269"/>
      <c r="DB50" s="269"/>
      <c r="DC50" s="269"/>
      <c r="DD50" s="269"/>
      <c r="DE50" s="269"/>
      <c r="DF50" s="269"/>
      <c r="DG50" s="269"/>
      <c r="DH50" s="269"/>
      <c r="DI50" s="269"/>
      <c r="DJ50" s="269"/>
      <c r="DK50" s="269"/>
      <c r="DL50" s="269"/>
      <c r="DM50" s="269"/>
      <c r="DN50" s="269"/>
      <c r="DO50" s="269"/>
      <c r="DP50" s="269"/>
      <c r="DQ50" s="269"/>
      <c r="DR50" s="269"/>
      <c r="DS50" s="269"/>
      <c r="DT50" s="269"/>
      <c r="DU50" s="269"/>
      <c r="DV50" s="269"/>
      <c r="DW50" s="269"/>
      <c r="DX50" s="269"/>
      <c r="DY50" s="269"/>
      <c r="DZ50" s="269"/>
      <c r="EA50" s="269"/>
      <c r="EB50" s="269"/>
    </row>
    <row r="51" spans="1:132" ht="15">
      <c r="A51" s="82"/>
      <c r="B51" s="82"/>
      <c r="C51" s="398">
        <v>37995.749999999491</v>
      </c>
      <c r="D51" s="260">
        <v>37995.791666666155</v>
      </c>
      <c r="E51" s="261">
        <v>8.6750000000000007</v>
      </c>
      <c r="F51" s="125">
        <v>9.8450000000000006</v>
      </c>
      <c r="G51" s="125">
        <v>5</v>
      </c>
      <c r="H51" s="315">
        <v>5.69</v>
      </c>
      <c r="I51" s="125">
        <v>5.15</v>
      </c>
      <c r="J51" s="125">
        <v>5.15</v>
      </c>
      <c r="K51" s="125">
        <v>5.15</v>
      </c>
      <c r="L51" s="125">
        <v>5.15</v>
      </c>
      <c r="M51" s="315">
        <v>5.15</v>
      </c>
      <c r="N51" s="125">
        <v>4.05</v>
      </c>
      <c r="O51" s="125">
        <v>5.15</v>
      </c>
      <c r="P51" s="315">
        <v>5.15</v>
      </c>
      <c r="Q51" s="125">
        <v>5.05</v>
      </c>
      <c r="R51" s="125">
        <v>5.18</v>
      </c>
      <c r="S51" s="125">
        <v>5.18</v>
      </c>
      <c r="T51" s="125">
        <v>0</v>
      </c>
      <c r="U51" s="125">
        <v>0</v>
      </c>
      <c r="V51" s="125">
        <v>0</v>
      </c>
      <c r="W51" s="125">
        <v>0</v>
      </c>
      <c r="X51" s="125">
        <v>0</v>
      </c>
      <c r="Y51" s="125">
        <v>1.31</v>
      </c>
      <c r="Z51" s="125">
        <v>1.31</v>
      </c>
      <c r="AA51" s="125">
        <v>1.835</v>
      </c>
      <c r="AB51" s="125">
        <v>1.835</v>
      </c>
      <c r="AC51" s="125">
        <v>1.835</v>
      </c>
      <c r="AD51" s="125">
        <v>1.39</v>
      </c>
      <c r="AE51" s="125">
        <v>1.39</v>
      </c>
      <c r="AF51" s="125">
        <v>1.375</v>
      </c>
      <c r="AG51" s="125">
        <v>1.375</v>
      </c>
      <c r="AH51" s="125">
        <v>5.49</v>
      </c>
      <c r="AI51" s="315">
        <v>5.49</v>
      </c>
      <c r="AJ51" s="125">
        <v>0</v>
      </c>
      <c r="AK51" s="273">
        <v>0</v>
      </c>
      <c r="AL51" s="273">
        <v>9.5</v>
      </c>
      <c r="AM51" s="273">
        <v>2.54</v>
      </c>
      <c r="AN51" s="273">
        <v>0.5</v>
      </c>
      <c r="AO51" s="273">
        <v>11</v>
      </c>
      <c r="AP51" s="273">
        <v>0.5</v>
      </c>
      <c r="AQ51" s="273">
        <v>7.92</v>
      </c>
      <c r="AR51" s="273"/>
      <c r="AS51" s="273"/>
      <c r="AT51" s="273"/>
      <c r="AU51" s="273"/>
      <c r="AV51" s="125"/>
      <c r="AW51" s="399"/>
      <c r="AX51" s="262">
        <f t="shared" si="3"/>
        <v>141.31499999999997</v>
      </c>
      <c r="AY51" s="433">
        <f t="shared" si="4"/>
        <v>13982.789999999999</v>
      </c>
      <c r="AZ51" s="117"/>
      <c r="BA51" s="269"/>
      <c r="BB51" s="269"/>
      <c r="BC51" s="269"/>
      <c r="BD51" s="269"/>
      <c r="BE51" s="269"/>
      <c r="BF51" s="269"/>
      <c r="BG51" s="269"/>
      <c r="BH51" s="269"/>
      <c r="BI51" s="269"/>
      <c r="BJ51" s="269"/>
      <c r="BK51" s="269"/>
      <c r="BL51" s="269"/>
      <c r="BM51" s="269"/>
      <c r="BN51" s="269"/>
      <c r="BO51" s="269"/>
      <c r="BP51" s="269"/>
      <c r="BQ51" s="269"/>
      <c r="BR51" s="269"/>
      <c r="BS51" s="269"/>
      <c r="BT51" s="269"/>
      <c r="BU51" s="269"/>
      <c r="BV51" s="269"/>
      <c r="BW51" s="269"/>
      <c r="BX51" s="269"/>
      <c r="BY51" s="269"/>
      <c r="BZ51" s="269"/>
      <c r="CA51" s="269"/>
      <c r="CB51" s="269"/>
      <c r="CC51" s="269"/>
      <c r="CD51" s="269"/>
      <c r="CE51" s="269"/>
      <c r="CF51" s="269"/>
      <c r="CG51" s="269"/>
      <c r="CH51" s="269"/>
      <c r="CI51" s="269"/>
      <c r="CJ51" s="269"/>
      <c r="CK51" s="269"/>
      <c r="CL51" s="269"/>
      <c r="CM51" s="269"/>
      <c r="CN51" s="269"/>
      <c r="CO51" s="269"/>
      <c r="CP51" s="269"/>
      <c r="CQ51" s="269"/>
      <c r="CR51" s="269"/>
      <c r="CS51" s="269"/>
      <c r="CT51" s="269"/>
      <c r="CU51" s="269"/>
      <c r="CV51" s="269"/>
      <c r="CW51" s="269"/>
      <c r="CX51" s="269"/>
      <c r="CY51" s="269"/>
      <c r="CZ51" s="269"/>
      <c r="DA51" s="269"/>
      <c r="DB51" s="269"/>
      <c r="DC51" s="269"/>
      <c r="DD51" s="269"/>
      <c r="DE51" s="269"/>
      <c r="DF51" s="269"/>
      <c r="DG51" s="269"/>
      <c r="DH51" s="269"/>
      <c r="DI51" s="269"/>
      <c r="DJ51" s="269"/>
      <c r="DK51" s="269"/>
      <c r="DL51" s="269"/>
      <c r="DM51" s="269"/>
      <c r="DN51" s="269"/>
      <c r="DO51" s="269"/>
      <c r="DP51" s="269"/>
      <c r="DQ51" s="269"/>
      <c r="DR51" s="269"/>
      <c r="DS51" s="269"/>
      <c r="DT51" s="269"/>
      <c r="DU51" s="269"/>
      <c r="DV51" s="269"/>
      <c r="DW51" s="269"/>
      <c r="DX51" s="269"/>
      <c r="DY51" s="269"/>
      <c r="DZ51" s="269"/>
      <c r="EA51" s="269"/>
      <c r="EB51" s="269"/>
    </row>
    <row r="52" spans="1:132" ht="15">
      <c r="A52" s="82"/>
      <c r="B52" s="82"/>
      <c r="C52" s="398">
        <v>37995.791666666155</v>
      </c>
      <c r="D52" s="260">
        <v>37995.833333332819</v>
      </c>
      <c r="E52" s="261">
        <v>5</v>
      </c>
      <c r="F52" s="125">
        <v>0.5</v>
      </c>
      <c r="G52" s="125">
        <v>0</v>
      </c>
      <c r="H52" s="315">
        <v>5.69</v>
      </c>
      <c r="I52" s="125">
        <v>5.15</v>
      </c>
      <c r="J52" s="125">
        <v>5.15</v>
      </c>
      <c r="K52" s="125">
        <v>5.15</v>
      </c>
      <c r="L52" s="125">
        <v>5.15</v>
      </c>
      <c r="M52" s="315">
        <v>5.15</v>
      </c>
      <c r="N52" s="125">
        <v>4.05</v>
      </c>
      <c r="O52" s="125">
        <v>5.15</v>
      </c>
      <c r="P52" s="315">
        <v>5.15</v>
      </c>
      <c r="Q52" s="125">
        <v>5.05</v>
      </c>
      <c r="R52" s="125">
        <v>5.18</v>
      </c>
      <c r="S52" s="125">
        <v>5.18</v>
      </c>
      <c r="T52" s="125">
        <v>0</v>
      </c>
      <c r="U52" s="125">
        <v>0</v>
      </c>
      <c r="V52" s="125">
        <v>0</v>
      </c>
      <c r="W52" s="125">
        <v>0</v>
      </c>
      <c r="X52" s="125">
        <v>0</v>
      </c>
      <c r="Y52" s="125">
        <v>1.31</v>
      </c>
      <c r="Z52" s="125">
        <v>1.31</v>
      </c>
      <c r="AA52" s="125">
        <v>1.835</v>
      </c>
      <c r="AB52" s="125">
        <v>1.835</v>
      </c>
      <c r="AC52" s="125">
        <v>1.835</v>
      </c>
      <c r="AD52" s="125">
        <v>1.39</v>
      </c>
      <c r="AE52" s="125">
        <v>1.39</v>
      </c>
      <c r="AF52" s="125">
        <v>1.375</v>
      </c>
      <c r="AG52" s="125">
        <v>1.375</v>
      </c>
      <c r="AH52" s="125">
        <v>5.0149999999999997</v>
      </c>
      <c r="AI52" s="315">
        <v>5.49</v>
      </c>
      <c r="AJ52" s="125">
        <v>0</v>
      </c>
      <c r="AK52" s="273">
        <v>0</v>
      </c>
      <c r="AL52" s="273">
        <v>9.5</v>
      </c>
      <c r="AM52" s="273">
        <v>2.54</v>
      </c>
      <c r="AN52" s="273">
        <v>0</v>
      </c>
      <c r="AO52" s="273">
        <v>0</v>
      </c>
      <c r="AP52" s="273">
        <v>0</v>
      </c>
      <c r="AQ52" s="273">
        <v>0</v>
      </c>
      <c r="AR52" s="273"/>
      <c r="AS52" s="273"/>
      <c r="AT52" s="273"/>
      <c r="AU52" s="273"/>
      <c r="AV52" s="125"/>
      <c r="AW52" s="399"/>
      <c r="AX52" s="262">
        <f t="shared" si="3"/>
        <v>102.89999999999998</v>
      </c>
      <c r="AY52" s="433">
        <f t="shared" si="4"/>
        <v>10042.240000000002</v>
      </c>
      <c r="AZ52" s="117"/>
      <c r="BA52" s="269"/>
      <c r="BB52" s="269"/>
      <c r="BC52" s="269"/>
      <c r="BD52" s="269"/>
      <c r="BE52" s="269"/>
      <c r="BF52" s="269"/>
      <c r="BG52" s="269"/>
      <c r="BH52" s="269"/>
      <c r="BI52" s="269"/>
      <c r="BJ52" s="269"/>
      <c r="BK52" s="269"/>
      <c r="BL52" s="269"/>
      <c r="BM52" s="269"/>
      <c r="BN52" s="269"/>
      <c r="BO52" s="269"/>
      <c r="BP52" s="269"/>
      <c r="BQ52" s="269"/>
      <c r="BR52" s="269"/>
      <c r="BS52" s="269"/>
      <c r="BT52" s="269"/>
      <c r="BU52" s="269"/>
      <c r="BV52" s="269"/>
      <c r="BW52" s="269"/>
      <c r="BX52" s="269"/>
      <c r="BY52" s="269"/>
      <c r="BZ52" s="269"/>
      <c r="CA52" s="269"/>
      <c r="CB52" s="269"/>
      <c r="CC52" s="269"/>
      <c r="CD52" s="269"/>
      <c r="CE52" s="269"/>
      <c r="CF52" s="269"/>
      <c r="CG52" s="269"/>
      <c r="CH52" s="269"/>
      <c r="CI52" s="269"/>
      <c r="CJ52" s="269"/>
      <c r="CK52" s="269"/>
      <c r="CL52" s="269"/>
      <c r="CM52" s="269"/>
      <c r="CN52" s="269"/>
      <c r="CO52" s="269"/>
      <c r="CP52" s="269"/>
      <c r="CQ52" s="269"/>
      <c r="CR52" s="269"/>
      <c r="CS52" s="269"/>
      <c r="CT52" s="269"/>
      <c r="CU52" s="269"/>
      <c r="CV52" s="269"/>
      <c r="CW52" s="269"/>
      <c r="CX52" s="269"/>
      <c r="CY52" s="269"/>
      <c r="CZ52" s="269"/>
      <c r="DA52" s="269"/>
      <c r="DB52" s="269"/>
      <c r="DC52" s="269"/>
      <c r="DD52" s="269"/>
      <c r="DE52" s="269"/>
      <c r="DF52" s="269"/>
      <c r="DG52" s="269"/>
      <c r="DH52" s="269"/>
      <c r="DI52" s="269"/>
      <c r="DJ52" s="269"/>
      <c r="DK52" s="269"/>
      <c r="DL52" s="269"/>
      <c r="DM52" s="269"/>
      <c r="DN52" s="269"/>
      <c r="DO52" s="269"/>
      <c r="DP52" s="269"/>
      <c r="DQ52" s="269"/>
      <c r="DR52" s="269"/>
      <c r="DS52" s="269"/>
      <c r="DT52" s="269"/>
      <c r="DU52" s="269"/>
      <c r="DV52" s="269"/>
      <c r="DW52" s="269"/>
      <c r="DX52" s="269"/>
      <c r="DY52" s="269"/>
      <c r="DZ52" s="269"/>
      <c r="EA52" s="269"/>
      <c r="EB52" s="269"/>
    </row>
    <row r="53" spans="1:132" ht="15">
      <c r="A53" s="82"/>
      <c r="B53" s="82"/>
      <c r="C53" s="398">
        <v>37995.833333332819</v>
      </c>
      <c r="D53" s="260">
        <v>37995.874999999483</v>
      </c>
      <c r="E53" s="261">
        <v>8.11</v>
      </c>
      <c r="F53" s="125">
        <v>9.8450000000000006</v>
      </c>
      <c r="G53" s="125">
        <v>0</v>
      </c>
      <c r="H53" s="315">
        <v>5.69</v>
      </c>
      <c r="I53" s="125">
        <v>5.15</v>
      </c>
      <c r="J53" s="125">
        <v>5.15</v>
      </c>
      <c r="K53" s="125">
        <v>5.15</v>
      </c>
      <c r="L53" s="125">
        <v>5.15</v>
      </c>
      <c r="M53" s="315">
        <v>5.15</v>
      </c>
      <c r="N53" s="125">
        <v>4.05</v>
      </c>
      <c r="O53" s="125">
        <v>5.15</v>
      </c>
      <c r="P53" s="315">
        <v>5.15</v>
      </c>
      <c r="Q53" s="125">
        <v>5.05</v>
      </c>
      <c r="R53" s="125">
        <v>5.18</v>
      </c>
      <c r="S53" s="125">
        <v>5.18</v>
      </c>
      <c r="T53" s="125">
        <v>0</v>
      </c>
      <c r="U53" s="125">
        <v>0</v>
      </c>
      <c r="V53" s="125">
        <v>0</v>
      </c>
      <c r="W53" s="125">
        <v>0</v>
      </c>
      <c r="X53" s="125">
        <v>0</v>
      </c>
      <c r="Y53" s="125">
        <v>1.31</v>
      </c>
      <c r="Z53" s="125">
        <v>1.31</v>
      </c>
      <c r="AA53" s="125">
        <v>1.835</v>
      </c>
      <c r="AB53" s="125">
        <v>1.835</v>
      </c>
      <c r="AC53" s="125">
        <v>1.835</v>
      </c>
      <c r="AD53" s="125">
        <v>1.39</v>
      </c>
      <c r="AE53" s="125">
        <v>1.39</v>
      </c>
      <c r="AF53" s="125">
        <v>1.375</v>
      </c>
      <c r="AG53" s="125">
        <v>1.375</v>
      </c>
      <c r="AH53" s="125">
        <v>5.49</v>
      </c>
      <c r="AI53" s="315">
        <v>5.49</v>
      </c>
      <c r="AJ53" s="125">
        <v>0</v>
      </c>
      <c r="AK53" s="273">
        <v>0</v>
      </c>
      <c r="AL53" s="273">
        <v>9.5</v>
      </c>
      <c r="AM53" s="273">
        <v>2.54</v>
      </c>
      <c r="AN53" s="273">
        <v>0</v>
      </c>
      <c r="AO53" s="273">
        <v>0</v>
      </c>
      <c r="AP53" s="273">
        <v>0</v>
      </c>
      <c r="AQ53" s="273">
        <v>0</v>
      </c>
      <c r="AR53" s="273"/>
      <c r="AS53" s="273"/>
      <c r="AT53" s="273"/>
      <c r="AU53" s="273"/>
      <c r="AV53" s="125"/>
      <c r="AW53" s="399"/>
      <c r="AX53" s="262">
        <f t="shared" si="3"/>
        <v>115.82999999999998</v>
      </c>
      <c r="AY53" s="433">
        <f t="shared" si="4"/>
        <v>11334.29</v>
      </c>
      <c r="AZ53" s="117"/>
      <c r="BA53" s="269"/>
      <c r="BB53" s="269"/>
      <c r="BC53" s="269"/>
      <c r="BD53" s="269"/>
      <c r="BE53" s="269"/>
      <c r="BF53" s="269"/>
      <c r="BG53" s="269"/>
      <c r="BH53" s="269"/>
      <c r="BI53" s="269"/>
      <c r="BJ53" s="269"/>
      <c r="BK53" s="269"/>
      <c r="BL53" s="269"/>
      <c r="BM53" s="269"/>
      <c r="BN53" s="269"/>
      <c r="BO53" s="269"/>
      <c r="BP53" s="269"/>
      <c r="BQ53" s="269"/>
      <c r="BR53" s="269"/>
      <c r="BS53" s="269"/>
      <c r="BT53" s="269"/>
      <c r="BU53" s="269"/>
      <c r="BV53" s="269"/>
      <c r="BW53" s="269"/>
      <c r="BX53" s="269"/>
      <c r="BY53" s="269"/>
      <c r="BZ53" s="269"/>
      <c r="CA53" s="269"/>
      <c r="CB53" s="269"/>
      <c r="CC53" s="269"/>
      <c r="CD53" s="269"/>
      <c r="CE53" s="269"/>
      <c r="CF53" s="269"/>
      <c r="CG53" s="269"/>
      <c r="CH53" s="269"/>
      <c r="CI53" s="269"/>
      <c r="CJ53" s="269"/>
      <c r="CK53" s="269"/>
      <c r="CL53" s="269"/>
      <c r="CM53" s="269"/>
      <c r="CN53" s="269"/>
      <c r="CO53" s="269"/>
      <c r="CP53" s="269"/>
      <c r="CQ53" s="269"/>
      <c r="CR53" s="269"/>
      <c r="CS53" s="269"/>
      <c r="CT53" s="269"/>
      <c r="CU53" s="269"/>
      <c r="CV53" s="269"/>
      <c r="CW53" s="269"/>
      <c r="CX53" s="269"/>
      <c r="CY53" s="269"/>
      <c r="CZ53" s="269"/>
      <c r="DA53" s="269"/>
      <c r="DB53" s="269"/>
      <c r="DC53" s="269"/>
      <c r="DD53" s="269"/>
      <c r="DE53" s="269"/>
      <c r="DF53" s="269"/>
      <c r="DG53" s="269"/>
      <c r="DH53" s="269"/>
      <c r="DI53" s="269"/>
      <c r="DJ53" s="269"/>
      <c r="DK53" s="269"/>
      <c r="DL53" s="269"/>
      <c r="DM53" s="269"/>
      <c r="DN53" s="269"/>
      <c r="DO53" s="269"/>
      <c r="DP53" s="269"/>
      <c r="DQ53" s="269"/>
      <c r="DR53" s="269"/>
      <c r="DS53" s="269"/>
      <c r="DT53" s="269"/>
      <c r="DU53" s="269"/>
      <c r="DV53" s="269"/>
      <c r="DW53" s="269"/>
      <c r="DX53" s="269"/>
      <c r="DY53" s="269"/>
      <c r="DZ53" s="269"/>
      <c r="EA53" s="269"/>
      <c r="EB53" s="269"/>
    </row>
    <row r="54" spans="1:132" ht="15">
      <c r="A54" s="82"/>
      <c r="B54" s="82"/>
      <c r="C54" s="396">
        <v>37995.874999999483</v>
      </c>
      <c r="D54" s="257">
        <v>37995.916666666148</v>
      </c>
      <c r="E54" s="258">
        <v>0</v>
      </c>
      <c r="F54" s="124">
        <v>5.4249999999999998</v>
      </c>
      <c r="G54" s="124">
        <v>0</v>
      </c>
      <c r="H54" s="314">
        <v>5.69</v>
      </c>
      <c r="I54" s="124">
        <v>5.15</v>
      </c>
      <c r="J54" s="124">
        <v>5.15</v>
      </c>
      <c r="K54" s="124">
        <v>5.15</v>
      </c>
      <c r="L54" s="124">
        <v>5.15</v>
      </c>
      <c r="M54" s="314">
        <v>5.15</v>
      </c>
      <c r="N54" s="124">
        <v>4.05</v>
      </c>
      <c r="O54" s="124">
        <v>5.15</v>
      </c>
      <c r="P54" s="314">
        <v>5.15</v>
      </c>
      <c r="Q54" s="124">
        <v>5.05</v>
      </c>
      <c r="R54" s="124">
        <v>5.18</v>
      </c>
      <c r="S54" s="124">
        <v>5.18</v>
      </c>
      <c r="T54" s="124">
        <v>0</v>
      </c>
      <c r="U54" s="124">
        <v>0</v>
      </c>
      <c r="V54" s="124">
        <v>8.6449999999999996</v>
      </c>
      <c r="W54" s="124">
        <v>8.6449999999999996</v>
      </c>
      <c r="X54" s="124">
        <v>0</v>
      </c>
      <c r="Y54" s="124">
        <v>1.31</v>
      </c>
      <c r="Z54" s="124">
        <v>1.31</v>
      </c>
      <c r="AA54" s="124">
        <v>1.835</v>
      </c>
      <c r="AB54" s="124">
        <v>1.835</v>
      </c>
      <c r="AC54" s="124">
        <v>1.835</v>
      </c>
      <c r="AD54" s="124">
        <v>1.39</v>
      </c>
      <c r="AE54" s="124">
        <v>1.39</v>
      </c>
      <c r="AF54" s="124">
        <v>1.375</v>
      </c>
      <c r="AG54" s="124">
        <v>1.375</v>
      </c>
      <c r="AH54" s="124">
        <v>5.49</v>
      </c>
      <c r="AI54" s="314">
        <v>5.49</v>
      </c>
      <c r="AJ54" s="124">
        <v>0</v>
      </c>
      <c r="AK54" s="272">
        <v>0</v>
      </c>
      <c r="AL54" s="272">
        <v>9.5</v>
      </c>
      <c r="AM54" s="272">
        <v>2.54</v>
      </c>
      <c r="AN54" s="272">
        <v>0.5</v>
      </c>
      <c r="AO54" s="272">
        <v>0.5</v>
      </c>
      <c r="AP54" s="272">
        <v>0</v>
      </c>
      <c r="AQ54" s="272">
        <v>0</v>
      </c>
      <c r="AR54" s="272"/>
      <c r="AS54" s="272"/>
      <c r="AT54" s="272"/>
      <c r="AU54" s="272"/>
      <c r="AV54" s="124"/>
      <c r="AW54" s="397"/>
      <c r="AX54" s="259">
        <f t="shared" si="3"/>
        <v>121.58999999999996</v>
      </c>
      <c r="AY54" s="432">
        <f t="shared" si="4"/>
        <v>11916.3415</v>
      </c>
      <c r="AZ54" s="117"/>
      <c r="BA54" s="269"/>
      <c r="BB54" s="269"/>
      <c r="BC54" s="269"/>
      <c r="BD54" s="269"/>
      <c r="BE54" s="269"/>
      <c r="BF54" s="269"/>
      <c r="BG54" s="269"/>
      <c r="BH54" s="269"/>
      <c r="BI54" s="269"/>
      <c r="BJ54" s="269"/>
      <c r="BK54" s="269"/>
      <c r="BL54" s="269"/>
      <c r="BM54" s="269"/>
      <c r="BN54" s="269"/>
      <c r="BO54" s="269"/>
      <c r="BP54" s="269"/>
      <c r="BQ54" s="269"/>
      <c r="BR54" s="269"/>
      <c r="BS54" s="269"/>
      <c r="BT54" s="269"/>
      <c r="BU54" s="269"/>
      <c r="BV54" s="269"/>
      <c r="BW54" s="269"/>
      <c r="BX54" s="269"/>
      <c r="BY54" s="269"/>
      <c r="BZ54" s="269"/>
      <c r="CA54" s="269"/>
      <c r="CB54" s="269"/>
      <c r="CC54" s="269"/>
      <c r="CD54" s="269"/>
      <c r="CE54" s="269"/>
      <c r="CF54" s="269"/>
      <c r="CG54" s="269"/>
      <c r="CH54" s="269"/>
      <c r="CI54" s="269"/>
      <c r="CJ54" s="269"/>
      <c r="CK54" s="269"/>
      <c r="CL54" s="269"/>
      <c r="CM54" s="269"/>
      <c r="CN54" s="269"/>
      <c r="CO54" s="269"/>
      <c r="CP54" s="269"/>
      <c r="CQ54" s="269"/>
      <c r="CR54" s="269"/>
      <c r="CS54" s="269"/>
      <c r="CT54" s="269"/>
      <c r="CU54" s="269"/>
      <c r="CV54" s="269"/>
      <c r="CW54" s="269"/>
      <c r="CX54" s="269"/>
      <c r="CY54" s="269"/>
      <c r="CZ54" s="269"/>
      <c r="DA54" s="269"/>
      <c r="DB54" s="269"/>
      <c r="DC54" s="269"/>
      <c r="DD54" s="269"/>
      <c r="DE54" s="269"/>
      <c r="DF54" s="269"/>
      <c r="DG54" s="269"/>
      <c r="DH54" s="269"/>
      <c r="DI54" s="269"/>
      <c r="DJ54" s="269"/>
      <c r="DK54" s="269"/>
      <c r="DL54" s="269"/>
      <c r="DM54" s="269"/>
      <c r="DN54" s="269"/>
      <c r="DO54" s="269"/>
      <c r="DP54" s="269"/>
      <c r="DQ54" s="269"/>
      <c r="DR54" s="269"/>
      <c r="DS54" s="269"/>
      <c r="DT54" s="269"/>
      <c r="DU54" s="269"/>
      <c r="DV54" s="269"/>
      <c r="DW54" s="269"/>
      <c r="DX54" s="269"/>
      <c r="DY54" s="269"/>
      <c r="DZ54" s="269"/>
      <c r="EA54" s="269"/>
      <c r="EB54" s="269"/>
    </row>
    <row r="55" spans="1:132" ht="15">
      <c r="A55" s="82"/>
      <c r="B55" s="82"/>
      <c r="C55" s="396">
        <v>37995.916666666148</v>
      </c>
      <c r="D55" s="257">
        <v>37995.958333332812</v>
      </c>
      <c r="E55" s="258">
        <v>9.4250000000000007</v>
      </c>
      <c r="F55" s="124">
        <v>9.8450000000000006</v>
      </c>
      <c r="G55" s="124">
        <v>0</v>
      </c>
      <c r="H55" s="314">
        <v>5.69</v>
      </c>
      <c r="I55" s="124">
        <v>5.15</v>
      </c>
      <c r="J55" s="124">
        <v>5.15</v>
      </c>
      <c r="K55" s="124">
        <v>5.15</v>
      </c>
      <c r="L55" s="124">
        <v>0.5</v>
      </c>
      <c r="M55" s="314">
        <v>5.15</v>
      </c>
      <c r="N55" s="124">
        <v>4.05</v>
      </c>
      <c r="O55" s="124">
        <v>5.07</v>
      </c>
      <c r="P55" s="314">
        <v>5.15</v>
      </c>
      <c r="Q55" s="124">
        <v>5.05</v>
      </c>
      <c r="R55" s="124">
        <v>5.18</v>
      </c>
      <c r="S55" s="124">
        <v>5.18</v>
      </c>
      <c r="T55" s="124">
        <v>0</v>
      </c>
      <c r="U55" s="124">
        <v>0</v>
      </c>
      <c r="V55" s="124">
        <v>8.1549999999999994</v>
      </c>
      <c r="W55" s="124">
        <v>0</v>
      </c>
      <c r="X55" s="124">
        <v>0</v>
      </c>
      <c r="Y55" s="124">
        <v>1.31</v>
      </c>
      <c r="Z55" s="124">
        <v>1.31</v>
      </c>
      <c r="AA55" s="124">
        <v>1.835</v>
      </c>
      <c r="AB55" s="124">
        <v>1.835</v>
      </c>
      <c r="AC55" s="124">
        <v>1.835</v>
      </c>
      <c r="AD55" s="124">
        <v>0.32500000000000001</v>
      </c>
      <c r="AE55" s="124">
        <v>0.32500000000000001</v>
      </c>
      <c r="AF55" s="124">
        <v>1.375</v>
      </c>
      <c r="AG55" s="124">
        <v>1.375</v>
      </c>
      <c r="AH55" s="124">
        <v>5.49</v>
      </c>
      <c r="AI55" s="314">
        <v>5.49</v>
      </c>
      <c r="AJ55" s="124">
        <v>0</v>
      </c>
      <c r="AK55" s="272">
        <v>0</v>
      </c>
      <c r="AL55" s="272">
        <v>9.5</v>
      </c>
      <c r="AM55" s="272">
        <v>2.54</v>
      </c>
      <c r="AN55" s="272">
        <v>11</v>
      </c>
      <c r="AO55" s="272">
        <v>0.5</v>
      </c>
      <c r="AP55" s="272">
        <v>7.92</v>
      </c>
      <c r="AQ55" s="272">
        <v>0.5</v>
      </c>
      <c r="AR55" s="272"/>
      <c r="AS55" s="272"/>
      <c r="AT55" s="272"/>
      <c r="AU55" s="272"/>
      <c r="AV55" s="124"/>
      <c r="AW55" s="397"/>
      <c r="AX55" s="259">
        <f t="shared" si="3"/>
        <v>138.35999999999999</v>
      </c>
      <c r="AY55" s="432">
        <f t="shared" si="4"/>
        <v>13594.1175</v>
      </c>
      <c r="AZ55" s="117"/>
      <c r="BA55" s="269"/>
      <c r="BB55" s="269"/>
      <c r="BC55" s="269"/>
      <c r="BD55" s="269"/>
      <c r="BE55" s="269"/>
      <c r="BF55" s="269"/>
      <c r="BG55" s="269"/>
      <c r="BH55" s="269"/>
      <c r="BI55" s="269"/>
      <c r="BJ55" s="269"/>
      <c r="BK55" s="269"/>
      <c r="BL55" s="269"/>
      <c r="BM55" s="269"/>
      <c r="BN55" s="269"/>
      <c r="BO55" s="269"/>
      <c r="BP55" s="269"/>
      <c r="BQ55" s="269"/>
      <c r="BR55" s="269"/>
      <c r="BS55" s="269"/>
      <c r="BT55" s="269"/>
      <c r="BU55" s="269"/>
      <c r="BV55" s="269"/>
      <c r="BW55" s="269"/>
      <c r="BX55" s="269"/>
      <c r="BY55" s="269"/>
      <c r="BZ55" s="269"/>
      <c r="CA55" s="269"/>
      <c r="CB55" s="269"/>
      <c r="CC55" s="269"/>
      <c r="CD55" s="269"/>
      <c r="CE55" s="269"/>
      <c r="CF55" s="269"/>
      <c r="CG55" s="269"/>
      <c r="CH55" s="269"/>
      <c r="CI55" s="269"/>
      <c r="CJ55" s="269"/>
      <c r="CK55" s="269"/>
      <c r="CL55" s="269"/>
      <c r="CM55" s="269"/>
      <c r="CN55" s="269"/>
      <c r="CO55" s="269"/>
      <c r="CP55" s="269"/>
      <c r="CQ55" s="269"/>
      <c r="CR55" s="269"/>
      <c r="CS55" s="269"/>
      <c r="CT55" s="269"/>
      <c r="CU55" s="269"/>
      <c r="CV55" s="269"/>
      <c r="CW55" s="269"/>
      <c r="CX55" s="269"/>
      <c r="CY55" s="269"/>
      <c r="CZ55" s="269"/>
      <c r="DA55" s="269"/>
      <c r="DB55" s="269"/>
      <c r="DC55" s="269"/>
      <c r="DD55" s="269"/>
      <c r="DE55" s="269"/>
      <c r="DF55" s="269"/>
      <c r="DG55" s="269"/>
      <c r="DH55" s="269"/>
      <c r="DI55" s="269"/>
      <c r="DJ55" s="269"/>
      <c r="DK55" s="269"/>
      <c r="DL55" s="269"/>
      <c r="DM55" s="269"/>
      <c r="DN55" s="269"/>
      <c r="DO55" s="269"/>
      <c r="DP55" s="269"/>
      <c r="DQ55" s="269"/>
      <c r="DR55" s="269"/>
      <c r="DS55" s="269"/>
      <c r="DT55" s="269"/>
      <c r="DU55" s="269"/>
      <c r="DV55" s="269"/>
      <c r="DW55" s="269"/>
      <c r="DX55" s="269"/>
      <c r="DY55" s="269"/>
      <c r="DZ55" s="269"/>
      <c r="EA55" s="269"/>
      <c r="EB55" s="269"/>
    </row>
    <row r="56" spans="1:132" ht="15.75" thickBot="1">
      <c r="A56" s="82"/>
      <c r="B56" s="82"/>
      <c r="C56" s="404">
        <v>37995.958333332812</v>
      </c>
      <c r="D56" s="406">
        <v>37995.999999999476</v>
      </c>
      <c r="E56" s="263">
        <v>0.5</v>
      </c>
      <c r="F56" s="264">
        <v>9.8450000000000006</v>
      </c>
      <c r="G56" s="264">
        <v>0</v>
      </c>
      <c r="H56" s="317">
        <v>5.69</v>
      </c>
      <c r="I56" s="264">
        <v>5.15</v>
      </c>
      <c r="J56" s="264">
        <v>5.15</v>
      </c>
      <c r="K56" s="264">
        <v>5.15</v>
      </c>
      <c r="L56" s="264">
        <v>0</v>
      </c>
      <c r="M56" s="317">
        <v>0</v>
      </c>
      <c r="N56" s="264">
        <v>0</v>
      </c>
      <c r="O56" s="264">
        <v>5.15</v>
      </c>
      <c r="P56" s="317">
        <v>5.15</v>
      </c>
      <c r="Q56" s="264">
        <v>0</v>
      </c>
      <c r="R56" s="264">
        <v>5.18</v>
      </c>
      <c r="S56" s="264">
        <v>5.18</v>
      </c>
      <c r="T56" s="264">
        <v>0</v>
      </c>
      <c r="U56" s="264">
        <v>0</v>
      </c>
      <c r="V56" s="264">
        <v>2.86</v>
      </c>
      <c r="W56" s="264">
        <v>8.6449999999999996</v>
      </c>
      <c r="X56" s="264">
        <v>0.54</v>
      </c>
      <c r="Y56" s="264">
        <v>1.31</v>
      </c>
      <c r="Z56" s="264">
        <v>1.31</v>
      </c>
      <c r="AA56" s="264">
        <v>1.835</v>
      </c>
      <c r="AB56" s="264">
        <v>1.835</v>
      </c>
      <c r="AC56" s="264">
        <v>1.835</v>
      </c>
      <c r="AD56" s="264">
        <v>1.39</v>
      </c>
      <c r="AE56" s="264">
        <v>1.39</v>
      </c>
      <c r="AF56" s="264">
        <v>1.375</v>
      </c>
      <c r="AG56" s="264">
        <v>1.375</v>
      </c>
      <c r="AH56" s="264">
        <v>5.49</v>
      </c>
      <c r="AI56" s="317">
        <v>5.49</v>
      </c>
      <c r="AJ56" s="264">
        <v>0</v>
      </c>
      <c r="AK56" s="353">
        <v>0</v>
      </c>
      <c r="AL56" s="353">
        <v>9.5</v>
      </c>
      <c r="AM56" s="353">
        <v>2.54</v>
      </c>
      <c r="AN56" s="353">
        <v>11</v>
      </c>
      <c r="AO56" s="353">
        <v>5.98</v>
      </c>
      <c r="AP56" s="353">
        <v>7.92</v>
      </c>
      <c r="AQ56" s="353">
        <v>0.5</v>
      </c>
      <c r="AR56" s="353"/>
      <c r="AS56" s="353"/>
      <c r="AT56" s="353"/>
      <c r="AU56" s="353"/>
      <c r="AV56" s="264"/>
      <c r="AW56" s="400"/>
      <c r="AX56" s="434">
        <f t="shared" si="3"/>
        <v>126.26499999999999</v>
      </c>
      <c r="AY56" s="435">
        <f t="shared" si="4"/>
        <v>12524.489000000001</v>
      </c>
      <c r="AZ56" s="82"/>
      <c r="BA56" s="269"/>
      <c r="BB56" s="269"/>
      <c r="BC56" s="269"/>
      <c r="BD56" s="269"/>
      <c r="BE56" s="269"/>
      <c r="BF56" s="269"/>
      <c r="BG56" s="269"/>
      <c r="BH56" s="269"/>
      <c r="BI56" s="269"/>
      <c r="BJ56" s="269"/>
      <c r="BK56" s="269"/>
      <c r="BL56" s="269"/>
      <c r="BM56" s="269"/>
      <c r="BN56" s="269"/>
      <c r="BO56" s="269"/>
      <c r="BP56" s="269"/>
      <c r="BQ56" s="269"/>
      <c r="BR56" s="269"/>
      <c r="BS56" s="269"/>
      <c r="BT56" s="269"/>
      <c r="BU56" s="269"/>
      <c r="BV56" s="269"/>
      <c r="BW56" s="269"/>
      <c r="BX56" s="269"/>
      <c r="BY56" s="269"/>
      <c r="BZ56" s="269"/>
      <c r="CA56" s="269"/>
      <c r="CB56" s="269"/>
      <c r="CC56" s="269"/>
      <c r="CD56" s="269"/>
      <c r="CE56" s="269"/>
      <c r="CF56" s="269"/>
      <c r="CG56" s="269"/>
      <c r="CH56" s="269"/>
      <c r="CI56" s="269"/>
      <c r="CJ56" s="269"/>
      <c r="CK56" s="269"/>
      <c r="CL56" s="269"/>
      <c r="CM56" s="269"/>
      <c r="CN56" s="269"/>
      <c r="CO56" s="269"/>
      <c r="CP56" s="269"/>
      <c r="CQ56" s="269"/>
      <c r="CR56" s="269"/>
      <c r="CS56" s="269"/>
      <c r="CT56" s="269"/>
      <c r="CU56" s="269"/>
      <c r="CV56" s="269"/>
      <c r="CW56" s="269"/>
      <c r="CX56" s="269"/>
      <c r="CY56" s="269"/>
      <c r="CZ56" s="269"/>
      <c r="DA56" s="269"/>
      <c r="DB56" s="269"/>
      <c r="DC56" s="269"/>
      <c r="DD56" s="269"/>
      <c r="DE56" s="269"/>
      <c r="DF56" s="269"/>
      <c r="DG56" s="269"/>
      <c r="DH56" s="269"/>
      <c r="DI56" s="269"/>
      <c r="DJ56" s="269"/>
      <c r="DK56" s="269"/>
      <c r="DL56" s="269"/>
      <c r="DM56" s="269"/>
      <c r="DN56" s="269"/>
      <c r="DO56" s="269"/>
      <c r="DP56" s="269"/>
      <c r="DQ56" s="269"/>
      <c r="DR56" s="269"/>
      <c r="DS56" s="269"/>
      <c r="DT56" s="269"/>
      <c r="DU56" s="269"/>
      <c r="DV56" s="269"/>
      <c r="DW56" s="269"/>
      <c r="DX56" s="269"/>
      <c r="DY56" s="269"/>
      <c r="DZ56" s="269"/>
      <c r="EA56" s="269"/>
      <c r="EB56" s="269"/>
    </row>
    <row r="57" spans="1:132" ht="15.75">
      <c r="A57" s="82"/>
      <c r="B57" s="82"/>
      <c r="C57" s="581" t="s">
        <v>13</v>
      </c>
      <c r="D57" s="582"/>
      <c r="E57" s="582"/>
      <c r="F57" s="582"/>
      <c r="G57" s="582"/>
      <c r="H57" s="582"/>
      <c r="I57" s="582"/>
      <c r="J57" s="582"/>
      <c r="K57" s="582"/>
      <c r="L57" s="582"/>
      <c r="M57" s="582"/>
      <c r="N57" s="582"/>
      <c r="O57" s="582"/>
      <c r="P57" s="582"/>
      <c r="Q57" s="582"/>
      <c r="R57" s="582"/>
      <c r="S57" s="582"/>
      <c r="T57" s="582"/>
      <c r="U57" s="582"/>
      <c r="V57" s="582"/>
      <c r="W57" s="582"/>
      <c r="X57" s="582"/>
      <c r="Y57" s="582"/>
      <c r="Z57" s="582"/>
      <c r="AA57" s="582"/>
      <c r="AB57" s="582"/>
      <c r="AC57" s="582"/>
      <c r="AD57" s="582"/>
      <c r="AE57" s="582"/>
      <c r="AF57" s="582"/>
      <c r="AG57" s="582"/>
      <c r="AH57" s="582"/>
      <c r="AI57" s="582"/>
      <c r="AJ57" s="582"/>
      <c r="AK57" s="582"/>
      <c r="AL57" s="582"/>
      <c r="AM57" s="582"/>
      <c r="AN57" s="582"/>
      <c r="AO57" s="582"/>
      <c r="AP57" s="582"/>
      <c r="AQ57" s="582"/>
      <c r="AR57" s="582"/>
      <c r="AS57" s="582"/>
      <c r="AT57" s="582"/>
      <c r="AU57" s="582"/>
      <c r="AV57" s="582"/>
      <c r="AW57" s="582"/>
      <c r="AX57" s="429">
        <f>SUM(AX33:AX56)</f>
        <v>2968.2450000000003</v>
      </c>
      <c r="AY57" s="430">
        <f>+SUM(AY33:AY56)</f>
        <v>299508.22900000005</v>
      </c>
      <c r="AZ57" s="274"/>
      <c r="BA57" s="269"/>
      <c r="BB57" s="269"/>
      <c r="BC57" s="269"/>
      <c r="BD57" s="269"/>
      <c r="BE57" s="269"/>
      <c r="BF57" s="269"/>
      <c r="BG57" s="269"/>
      <c r="BH57" s="269"/>
      <c r="BI57" s="269"/>
      <c r="BJ57" s="269"/>
      <c r="BK57" s="269"/>
      <c r="BL57" s="269"/>
      <c r="BM57" s="269"/>
      <c r="BN57" s="269"/>
      <c r="BO57" s="269"/>
      <c r="BP57" s="269"/>
      <c r="BQ57" s="269"/>
      <c r="BR57" s="269"/>
      <c r="BS57" s="269"/>
      <c r="BT57" s="269"/>
      <c r="BU57" s="269"/>
      <c r="BV57" s="269"/>
      <c r="BW57" s="269"/>
      <c r="BX57" s="269"/>
      <c r="BY57" s="269"/>
      <c r="BZ57" s="269"/>
      <c r="CA57" s="269"/>
      <c r="CB57" s="269"/>
      <c r="CC57" s="269"/>
      <c r="CD57" s="269"/>
      <c r="CE57" s="269"/>
      <c r="CF57" s="269"/>
      <c r="CG57" s="269"/>
      <c r="CH57" s="269"/>
      <c r="CI57" s="269"/>
      <c r="CJ57" s="269"/>
      <c r="CK57" s="269"/>
      <c r="CL57" s="269"/>
      <c r="CM57" s="269"/>
      <c r="CN57" s="269"/>
      <c r="CO57" s="269"/>
      <c r="CP57" s="269"/>
      <c r="CQ57" s="269"/>
      <c r="CR57" s="269"/>
      <c r="CS57" s="269"/>
      <c r="CT57" s="269"/>
      <c r="CU57" s="269"/>
      <c r="CV57" s="269"/>
      <c r="CW57" s="269"/>
      <c r="CX57" s="269"/>
      <c r="CY57" s="269"/>
      <c r="CZ57" s="269"/>
      <c r="DA57" s="269"/>
      <c r="DB57" s="269"/>
      <c r="DC57" s="269"/>
      <c r="DD57" s="269"/>
      <c r="DE57" s="269"/>
      <c r="DF57" s="269"/>
      <c r="DG57" s="269"/>
      <c r="DH57" s="269"/>
      <c r="DI57" s="269"/>
      <c r="DJ57" s="269"/>
      <c r="DK57" s="269"/>
      <c r="DL57" s="269"/>
      <c r="DM57" s="269"/>
      <c r="DN57" s="269"/>
      <c r="DO57" s="269"/>
      <c r="DP57" s="269"/>
      <c r="DQ57" s="269"/>
      <c r="DR57" s="269"/>
      <c r="DS57" s="269"/>
      <c r="DT57" s="269"/>
      <c r="DU57" s="269"/>
      <c r="DV57" s="269"/>
      <c r="DW57" s="269"/>
      <c r="DX57" s="274"/>
      <c r="DY57" s="274"/>
      <c r="DZ57" s="274"/>
      <c r="EA57" s="269"/>
      <c r="EB57" s="269"/>
    </row>
    <row r="58" spans="1:132" ht="24" customHeight="1">
      <c r="A58" s="82"/>
      <c r="B58" s="82"/>
      <c r="C58" s="265"/>
      <c r="D58" s="266"/>
      <c r="E58" s="266"/>
      <c r="F58" s="266"/>
      <c r="G58" s="266"/>
      <c r="H58" s="266"/>
      <c r="I58" s="266"/>
      <c r="J58" s="266"/>
      <c r="K58" s="266"/>
      <c r="L58" s="266"/>
      <c r="M58" s="266"/>
      <c r="N58" s="266"/>
      <c r="O58" s="266"/>
      <c r="P58" s="266"/>
      <c r="Q58" s="266"/>
      <c r="R58" s="266"/>
      <c r="S58" s="266"/>
      <c r="T58" s="266"/>
      <c r="U58" s="266"/>
      <c r="V58" s="266"/>
      <c r="W58" s="266"/>
      <c r="X58" s="266"/>
      <c r="Y58" s="266"/>
      <c r="Z58" s="266"/>
      <c r="AA58" s="266"/>
      <c r="AB58" s="266"/>
      <c r="AC58" s="266"/>
      <c r="AD58" s="266"/>
      <c r="AE58" s="266"/>
      <c r="AF58" s="266"/>
      <c r="AG58" s="266"/>
      <c r="AH58" s="266"/>
      <c r="AI58" s="266"/>
      <c r="AJ58" s="266"/>
      <c r="AK58" s="266"/>
      <c r="AL58" s="266"/>
      <c r="AM58" s="266"/>
      <c r="AN58" s="266"/>
      <c r="AO58" s="266"/>
      <c r="AP58" s="266"/>
      <c r="AQ58" s="266"/>
      <c r="AR58" s="266"/>
      <c r="AS58" s="266"/>
      <c r="AT58" s="266"/>
      <c r="AU58" s="266"/>
      <c r="AV58" s="266"/>
      <c r="AW58" s="266"/>
      <c r="AX58" s="266"/>
      <c r="AY58" s="82"/>
      <c r="AZ58" s="269"/>
      <c r="BA58" s="269"/>
      <c r="BB58" s="269"/>
      <c r="BC58" s="269"/>
      <c r="BD58" s="269"/>
      <c r="BE58" s="269"/>
      <c r="BF58" s="269"/>
      <c r="BG58" s="269"/>
      <c r="BH58" s="269"/>
      <c r="BI58" s="269"/>
      <c r="BJ58" s="269"/>
      <c r="BK58" s="269"/>
      <c r="BL58" s="269"/>
      <c r="BM58" s="269"/>
      <c r="BN58" s="269"/>
      <c r="BO58" s="269"/>
      <c r="BP58" s="269"/>
      <c r="BQ58" s="269"/>
      <c r="BR58" s="269"/>
      <c r="BS58" s="269"/>
      <c r="BT58" s="269"/>
      <c r="BU58" s="269"/>
      <c r="BV58" s="269"/>
      <c r="BW58" s="269"/>
      <c r="BX58" s="269"/>
      <c r="BY58" s="269"/>
      <c r="BZ58" s="269"/>
      <c r="CA58" s="269"/>
      <c r="CB58" s="269"/>
      <c r="CC58" s="269"/>
      <c r="CD58" s="269"/>
      <c r="CE58" s="269"/>
      <c r="CF58" s="269"/>
      <c r="CG58" s="269"/>
      <c r="CH58" s="269"/>
      <c r="CI58" s="269"/>
      <c r="CJ58" s="269"/>
      <c r="CK58" s="269"/>
      <c r="CL58" s="269"/>
      <c r="CM58" s="269"/>
      <c r="CN58" s="269"/>
      <c r="CO58" s="269"/>
      <c r="CP58" s="269"/>
      <c r="CQ58" s="269"/>
      <c r="CR58" s="269"/>
      <c r="CS58" s="269"/>
      <c r="CT58" s="269"/>
      <c r="CU58" s="269"/>
      <c r="CV58" s="269"/>
      <c r="CW58" s="269"/>
      <c r="CX58" s="269"/>
      <c r="CY58" s="269"/>
      <c r="CZ58" s="269"/>
      <c r="DA58" s="269"/>
      <c r="DB58" s="269"/>
      <c r="DC58" s="269"/>
      <c r="DD58" s="269"/>
      <c r="DE58" s="269"/>
      <c r="DF58" s="269"/>
      <c r="DG58" s="269"/>
      <c r="DH58" s="269"/>
      <c r="DI58" s="269"/>
      <c r="DJ58" s="269"/>
      <c r="DK58" s="269"/>
      <c r="DL58" s="269"/>
      <c r="DM58" s="269"/>
      <c r="DN58" s="269"/>
      <c r="DO58" s="269"/>
      <c r="DP58" s="269"/>
      <c r="DQ58" s="269"/>
      <c r="DR58" s="269"/>
      <c r="DS58" s="269"/>
      <c r="DT58" s="269"/>
      <c r="DU58" s="269"/>
      <c r="DV58" s="269"/>
      <c r="DW58" s="269"/>
      <c r="DX58" s="269"/>
      <c r="DY58" s="269"/>
      <c r="DZ58" s="269"/>
      <c r="EA58" s="269"/>
      <c r="EB58" s="269"/>
    </row>
    <row r="59" spans="1:132" ht="24" customHeight="1">
      <c r="A59" s="82"/>
      <c r="B59" s="82"/>
      <c r="C59" s="250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82"/>
      <c r="AZ59" s="269"/>
      <c r="BA59" s="269"/>
      <c r="BB59" s="269"/>
      <c r="BC59" s="269"/>
      <c r="BD59" s="269"/>
      <c r="BE59" s="269"/>
      <c r="BF59" s="269"/>
      <c r="BG59" s="269"/>
      <c r="BH59" s="269"/>
      <c r="BI59" s="269"/>
      <c r="BJ59" s="269"/>
      <c r="BK59" s="269"/>
      <c r="BL59" s="269"/>
      <c r="BM59" s="269"/>
      <c r="BN59" s="269"/>
      <c r="BO59" s="269"/>
      <c r="BP59" s="269"/>
      <c r="BQ59" s="269"/>
      <c r="BR59" s="269"/>
      <c r="BS59" s="269"/>
      <c r="BT59" s="269"/>
      <c r="BU59" s="269"/>
      <c r="BV59" s="269"/>
      <c r="BW59" s="269"/>
      <c r="BX59" s="269"/>
      <c r="BY59" s="269"/>
      <c r="BZ59" s="269"/>
      <c r="CA59" s="269"/>
      <c r="CB59" s="269"/>
      <c r="CC59" s="269"/>
      <c r="CD59" s="269"/>
      <c r="CE59" s="269"/>
      <c r="CF59" s="269"/>
      <c r="CG59" s="269"/>
      <c r="CH59" s="269"/>
      <c r="CI59" s="269"/>
      <c r="CJ59" s="269"/>
      <c r="CK59" s="269"/>
      <c r="CL59" s="269"/>
      <c r="CM59" s="269"/>
      <c r="CN59" s="269"/>
      <c r="CO59" s="269"/>
      <c r="CP59" s="269"/>
      <c r="CQ59" s="269"/>
      <c r="CR59" s="269"/>
      <c r="CS59" s="269"/>
      <c r="CT59" s="269"/>
      <c r="CU59" s="269"/>
      <c r="CV59" s="269"/>
      <c r="CW59" s="269"/>
      <c r="CX59" s="269"/>
      <c r="CY59" s="269"/>
      <c r="CZ59" s="269"/>
      <c r="DA59" s="269"/>
      <c r="DB59" s="269"/>
      <c r="DC59" s="269"/>
      <c r="DD59" s="269"/>
      <c r="DE59" s="269"/>
      <c r="DF59" s="269"/>
      <c r="DG59" s="269"/>
      <c r="DH59" s="269"/>
      <c r="DI59" s="269"/>
      <c r="DJ59" s="269"/>
      <c r="DK59" s="269"/>
      <c r="DL59" s="269"/>
      <c r="DM59" s="269"/>
      <c r="DN59" s="269"/>
      <c r="DO59" s="269"/>
      <c r="DP59" s="269"/>
      <c r="DQ59" s="269"/>
      <c r="DR59" s="269"/>
      <c r="DS59" s="269"/>
      <c r="DT59" s="269"/>
      <c r="DU59" s="269"/>
      <c r="DV59" s="269"/>
      <c r="DW59" s="269"/>
      <c r="DX59" s="269"/>
      <c r="DY59" s="269"/>
      <c r="DZ59" s="269"/>
      <c r="EA59" s="269"/>
      <c r="EB59" s="269"/>
    </row>
    <row r="60" spans="1:132" ht="18.75" customHeight="1" thickBo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269"/>
      <c r="BA60" s="269"/>
      <c r="BB60" s="269"/>
      <c r="BC60" s="269"/>
      <c r="BD60" s="269"/>
      <c r="BE60" s="269"/>
      <c r="BF60" s="269"/>
      <c r="BG60" s="269"/>
      <c r="BH60" s="269"/>
      <c r="BI60" s="269"/>
      <c r="BJ60" s="269"/>
      <c r="BK60" s="269"/>
      <c r="BL60" s="269"/>
      <c r="BM60" s="269"/>
      <c r="BN60" s="269"/>
      <c r="BO60" s="269"/>
      <c r="BP60" s="269"/>
      <c r="BQ60" s="269"/>
      <c r="BR60" s="269"/>
      <c r="BS60" s="269"/>
      <c r="BT60" s="269"/>
      <c r="BU60" s="269"/>
      <c r="BV60" s="269"/>
      <c r="BW60" s="269"/>
      <c r="BX60" s="269"/>
      <c r="BY60" s="269"/>
      <c r="BZ60" s="269"/>
      <c r="CA60" s="269"/>
      <c r="CB60" s="269"/>
      <c r="CC60" s="269"/>
      <c r="CD60" s="269"/>
      <c r="CE60" s="269"/>
      <c r="CF60" s="269"/>
      <c r="CG60" s="269"/>
      <c r="CH60" s="269"/>
      <c r="CI60" s="269"/>
      <c r="CJ60" s="269"/>
      <c r="CK60" s="269"/>
      <c r="CL60" s="269"/>
      <c r="CM60" s="269"/>
      <c r="CN60" s="269"/>
      <c r="CO60" s="269"/>
      <c r="CP60" s="269"/>
      <c r="CQ60" s="269"/>
      <c r="CR60" s="269"/>
      <c r="CS60" s="269"/>
      <c r="CT60" s="269"/>
      <c r="CU60" s="269"/>
      <c r="CV60" s="269"/>
      <c r="CW60" s="269"/>
      <c r="CX60" s="269"/>
      <c r="CY60" s="269"/>
      <c r="CZ60" s="269"/>
      <c r="DA60" s="269"/>
      <c r="DB60" s="269"/>
      <c r="DC60" s="269"/>
      <c r="DD60" s="269"/>
      <c r="DE60" s="269"/>
      <c r="DF60" s="269"/>
      <c r="DG60" s="269"/>
      <c r="DH60" s="269"/>
      <c r="DI60" s="269"/>
      <c r="DJ60" s="269"/>
      <c r="DK60" s="269"/>
      <c r="DL60" s="269"/>
      <c r="DM60" s="269"/>
      <c r="DN60" s="269"/>
      <c r="DO60" s="269"/>
      <c r="DP60" s="269"/>
      <c r="DQ60" s="269"/>
      <c r="DR60" s="269"/>
      <c r="DS60" s="269"/>
      <c r="DT60" s="269"/>
      <c r="DU60" s="269"/>
      <c r="DV60" s="269"/>
      <c r="DW60" s="269"/>
      <c r="DX60" s="269"/>
      <c r="DY60" s="269"/>
      <c r="DZ60" s="269"/>
      <c r="EA60" s="269"/>
      <c r="EB60" s="269"/>
    </row>
    <row r="61" spans="1:132" ht="18.75" customHeight="1" thickBot="1">
      <c r="A61" s="82"/>
      <c r="B61" s="82"/>
      <c r="C61" s="538" t="s">
        <v>74</v>
      </c>
      <c r="D61" s="539"/>
      <c r="E61" s="542" t="s">
        <v>298</v>
      </c>
      <c r="F61" s="543"/>
      <c r="G61" s="543"/>
      <c r="H61" s="543"/>
      <c r="I61" s="543"/>
      <c r="J61" s="543"/>
      <c r="K61" s="543"/>
      <c r="L61" s="543"/>
      <c r="M61" s="543"/>
      <c r="N61" s="543"/>
      <c r="O61" s="543"/>
      <c r="P61" s="543"/>
      <c r="Q61" s="543"/>
      <c r="R61" s="543"/>
      <c r="S61" s="543"/>
      <c r="T61" s="543"/>
      <c r="U61" s="543"/>
      <c r="V61" s="543"/>
      <c r="W61" s="543"/>
      <c r="X61" s="543"/>
      <c r="Y61" s="543"/>
      <c r="Z61" s="543"/>
      <c r="AA61" s="543"/>
      <c r="AB61" s="543"/>
      <c r="AC61" s="543"/>
      <c r="AD61" s="543"/>
      <c r="AE61" s="543"/>
      <c r="AF61" s="543"/>
      <c r="AG61" s="543"/>
      <c r="AH61" s="543"/>
      <c r="AI61" s="543"/>
      <c r="AJ61" s="543"/>
      <c r="AK61" s="543"/>
      <c r="AL61" s="543"/>
      <c r="AM61" s="543"/>
      <c r="AN61" s="543"/>
      <c r="AO61" s="543"/>
      <c r="AP61" s="543"/>
      <c r="AQ61" s="543"/>
      <c r="AR61" s="543"/>
      <c r="AS61" s="543"/>
      <c r="AT61" s="543"/>
      <c r="AU61" s="543"/>
      <c r="AV61" s="543"/>
      <c r="AW61" s="544"/>
      <c r="AX61" s="524" t="s">
        <v>25</v>
      </c>
      <c r="AY61" s="269"/>
      <c r="AZ61" s="538" t="s">
        <v>74</v>
      </c>
      <c r="BA61" s="545"/>
      <c r="BB61" s="546" t="s">
        <v>297</v>
      </c>
      <c r="BC61" s="543"/>
      <c r="BD61" s="543"/>
      <c r="BE61" s="543"/>
      <c r="BF61" s="543"/>
      <c r="BG61" s="543"/>
      <c r="BH61" s="543"/>
      <c r="BI61" s="543"/>
      <c r="BJ61" s="543"/>
      <c r="BK61" s="543"/>
      <c r="BL61" s="543"/>
      <c r="BM61" s="543"/>
      <c r="BN61" s="543"/>
      <c r="BO61" s="543"/>
      <c r="BP61" s="543"/>
      <c r="BQ61" s="543"/>
      <c r="BR61" s="543"/>
      <c r="BS61" s="543"/>
      <c r="BT61" s="543"/>
      <c r="BU61" s="543"/>
      <c r="BV61" s="543"/>
      <c r="BW61" s="543"/>
      <c r="BX61" s="543"/>
      <c r="BY61" s="543"/>
      <c r="BZ61" s="543"/>
      <c r="CA61" s="543"/>
      <c r="CB61" s="543"/>
      <c r="CC61" s="543"/>
      <c r="CD61" s="543"/>
      <c r="CE61" s="543"/>
      <c r="CF61" s="543"/>
      <c r="CG61" s="543"/>
      <c r="CH61" s="543"/>
      <c r="CI61" s="543"/>
      <c r="CJ61" s="543"/>
      <c r="CK61" s="543"/>
      <c r="CL61" s="543"/>
      <c r="CM61" s="543"/>
      <c r="CN61" s="543"/>
      <c r="CO61" s="543"/>
      <c r="CP61" s="543"/>
      <c r="CQ61" s="543"/>
      <c r="CR61" s="543"/>
      <c r="CS61" s="543"/>
      <c r="CT61" s="544"/>
      <c r="CU61" s="524" t="s">
        <v>25</v>
      </c>
      <c r="CV61" s="269"/>
      <c r="CW61" s="269"/>
      <c r="CX61" s="269"/>
      <c r="CY61" s="269"/>
      <c r="CZ61" s="269"/>
      <c r="DA61" s="269"/>
      <c r="DB61" s="269"/>
      <c r="DC61" s="269"/>
      <c r="DD61" s="269"/>
      <c r="DE61" s="269"/>
      <c r="DF61" s="269"/>
      <c r="DG61" s="269"/>
      <c r="DH61" s="269"/>
      <c r="DI61" s="269"/>
      <c r="DJ61" s="269"/>
      <c r="DK61" s="269"/>
      <c r="DL61" s="269"/>
      <c r="DM61" s="269"/>
      <c r="DN61" s="269"/>
      <c r="DO61" s="269"/>
      <c r="DP61" s="269"/>
      <c r="DQ61" s="269"/>
      <c r="DR61" s="269"/>
      <c r="DS61" s="269"/>
      <c r="DT61" s="269"/>
      <c r="DU61" s="269"/>
      <c r="DV61" s="269"/>
      <c r="DW61" s="269"/>
      <c r="DX61" s="269"/>
      <c r="DY61" s="269"/>
      <c r="DZ61" s="269"/>
      <c r="EA61" s="269"/>
      <c r="EB61" s="269"/>
    </row>
    <row r="62" spans="1:132" ht="18.75" customHeight="1">
      <c r="A62" s="82"/>
      <c r="B62" s="82"/>
      <c r="C62" s="540"/>
      <c r="D62" s="541"/>
      <c r="E62" s="252" t="s">
        <v>334</v>
      </c>
      <c r="F62" s="253" t="s">
        <v>335</v>
      </c>
      <c r="G62" s="253" t="s">
        <v>336</v>
      </c>
      <c r="H62" s="316" t="s">
        <v>337</v>
      </c>
      <c r="I62" s="253" t="s">
        <v>338</v>
      </c>
      <c r="J62" s="253" t="s">
        <v>339</v>
      </c>
      <c r="K62" s="253" t="s">
        <v>340</v>
      </c>
      <c r="L62" s="253" t="s">
        <v>341</v>
      </c>
      <c r="M62" s="316" t="s">
        <v>342</v>
      </c>
      <c r="N62" s="253" t="s">
        <v>343</v>
      </c>
      <c r="O62" s="270" t="s">
        <v>344</v>
      </c>
      <c r="P62" s="253" t="s">
        <v>345</v>
      </c>
      <c r="Q62" s="253" t="s">
        <v>225</v>
      </c>
      <c r="R62" s="253" t="s">
        <v>226</v>
      </c>
      <c r="S62" s="253" t="s">
        <v>227</v>
      </c>
      <c r="T62" s="253" t="s">
        <v>346</v>
      </c>
      <c r="U62" s="253" t="s">
        <v>347</v>
      </c>
      <c r="V62" s="253" t="s">
        <v>348</v>
      </c>
      <c r="W62" s="253" t="s">
        <v>349</v>
      </c>
      <c r="X62" s="253" t="s">
        <v>350</v>
      </c>
      <c r="Y62" s="253" t="s">
        <v>351</v>
      </c>
      <c r="Z62" s="253" t="s">
        <v>352</v>
      </c>
      <c r="AA62" s="253" t="s">
        <v>353</v>
      </c>
      <c r="AB62" s="253" t="s">
        <v>354</v>
      </c>
      <c r="AC62" s="253" t="s">
        <v>355</v>
      </c>
      <c r="AD62" s="253" t="s">
        <v>356</v>
      </c>
      <c r="AE62" s="253" t="s">
        <v>357</v>
      </c>
      <c r="AF62" s="253" t="s">
        <v>358</v>
      </c>
      <c r="AG62" s="253" t="s">
        <v>359</v>
      </c>
      <c r="AH62" s="253" t="s">
        <v>360</v>
      </c>
      <c r="AI62" s="316" t="s">
        <v>361</v>
      </c>
      <c r="AJ62" s="253" t="s">
        <v>362</v>
      </c>
      <c r="AK62" s="270" t="s">
        <v>363</v>
      </c>
      <c r="AL62" s="270" t="s">
        <v>364</v>
      </c>
      <c r="AM62" s="270" t="s">
        <v>365</v>
      </c>
      <c r="AN62" s="270" t="s">
        <v>366</v>
      </c>
      <c r="AO62" s="270" t="s">
        <v>367</v>
      </c>
      <c r="AP62" s="270" t="s">
        <v>368</v>
      </c>
      <c r="AQ62" s="270" t="s">
        <v>369</v>
      </c>
      <c r="AR62" s="270"/>
      <c r="AS62" s="270"/>
      <c r="AT62" s="270"/>
      <c r="AU62" s="270"/>
      <c r="AV62" s="253"/>
      <c r="AW62" s="393"/>
      <c r="AX62" s="525"/>
      <c r="AY62" s="269"/>
      <c r="AZ62" s="540"/>
      <c r="BA62" s="541"/>
      <c r="BB62" s="252" t="s">
        <v>334</v>
      </c>
      <c r="BC62" s="253" t="s">
        <v>335</v>
      </c>
      <c r="BD62" s="253" t="s">
        <v>336</v>
      </c>
      <c r="BE62" s="316" t="s">
        <v>337</v>
      </c>
      <c r="BF62" s="253" t="s">
        <v>338</v>
      </c>
      <c r="BG62" s="253" t="s">
        <v>339</v>
      </c>
      <c r="BH62" s="253" t="s">
        <v>340</v>
      </c>
      <c r="BI62" s="253" t="s">
        <v>341</v>
      </c>
      <c r="BJ62" s="316" t="s">
        <v>342</v>
      </c>
      <c r="BK62" s="253" t="s">
        <v>343</v>
      </c>
      <c r="BL62" s="270" t="s">
        <v>344</v>
      </c>
      <c r="BM62" s="253" t="s">
        <v>345</v>
      </c>
      <c r="BN62" s="253" t="s">
        <v>225</v>
      </c>
      <c r="BO62" s="253" t="s">
        <v>226</v>
      </c>
      <c r="BP62" s="253" t="s">
        <v>227</v>
      </c>
      <c r="BQ62" s="253" t="s">
        <v>346</v>
      </c>
      <c r="BR62" s="253" t="s">
        <v>347</v>
      </c>
      <c r="BS62" s="253" t="s">
        <v>348</v>
      </c>
      <c r="BT62" s="253" t="s">
        <v>349</v>
      </c>
      <c r="BU62" s="253" t="s">
        <v>350</v>
      </c>
      <c r="BV62" s="316" t="s">
        <v>351</v>
      </c>
      <c r="BW62" s="316" t="s">
        <v>352</v>
      </c>
      <c r="BX62" s="316" t="s">
        <v>353</v>
      </c>
      <c r="BY62" s="316" t="s">
        <v>354</v>
      </c>
      <c r="BZ62" s="316" t="s">
        <v>355</v>
      </c>
      <c r="CA62" s="316" t="s">
        <v>356</v>
      </c>
      <c r="CB62" s="316" t="s">
        <v>357</v>
      </c>
      <c r="CC62" s="316" t="s">
        <v>358</v>
      </c>
      <c r="CD62" s="316" t="s">
        <v>359</v>
      </c>
      <c r="CE62" s="316" t="s">
        <v>360</v>
      </c>
      <c r="CF62" s="316" t="s">
        <v>361</v>
      </c>
      <c r="CG62" s="316" t="s">
        <v>362</v>
      </c>
      <c r="CH62" s="316" t="s">
        <v>363</v>
      </c>
      <c r="CI62" s="316" t="s">
        <v>364</v>
      </c>
      <c r="CJ62" s="316" t="s">
        <v>365</v>
      </c>
      <c r="CK62" s="316" t="s">
        <v>366</v>
      </c>
      <c r="CL62" s="316" t="s">
        <v>367</v>
      </c>
      <c r="CM62" s="316" t="s">
        <v>368</v>
      </c>
      <c r="CN62" s="316" t="s">
        <v>369</v>
      </c>
      <c r="CO62" s="316"/>
      <c r="CP62" s="316"/>
      <c r="CQ62" s="253"/>
      <c r="CR62" s="270"/>
      <c r="CS62" s="253"/>
      <c r="CT62" s="393"/>
      <c r="CU62" s="525"/>
      <c r="CV62" s="269"/>
      <c r="CW62" s="269"/>
      <c r="CX62" s="269"/>
      <c r="CY62" s="269"/>
      <c r="CZ62" s="269"/>
      <c r="DA62" s="269"/>
      <c r="DB62" s="269"/>
      <c r="DC62" s="269"/>
      <c r="DD62" s="269"/>
      <c r="DE62" s="269"/>
      <c r="DF62" s="269"/>
      <c r="DG62" s="269"/>
      <c r="DH62" s="269"/>
      <c r="DI62" s="269"/>
      <c r="DJ62" s="269"/>
      <c r="DK62" s="269"/>
      <c r="DL62" s="269"/>
      <c r="DM62" s="269"/>
      <c r="DN62" s="269"/>
      <c r="DO62" s="269"/>
      <c r="DP62" s="269"/>
      <c r="DQ62" s="269"/>
      <c r="DR62" s="269"/>
      <c r="DS62" s="269"/>
      <c r="DT62" s="269"/>
      <c r="DU62" s="269"/>
      <c r="DV62" s="269"/>
      <c r="DW62" s="269"/>
      <c r="DX62" s="269"/>
      <c r="DY62" s="269"/>
      <c r="DZ62" s="269"/>
      <c r="EA62" s="269"/>
      <c r="EB62" s="269"/>
    </row>
    <row r="63" spans="1:132" ht="18.75" customHeight="1">
      <c r="A63" s="82"/>
      <c r="B63" s="82"/>
      <c r="C63" s="394">
        <v>0</v>
      </c>
      <c r="D63" s="254">
        <v>37995.041666666199</v>
      </c>
      <c r="E63" s="255">
        <v>0</v>
      </c>
      <c r="F63" s="123">
        <v>0</v>
      </c>
      <c r="G63" s="123">
        <v>0</v>
      </c>
      <c r="H63" s="313">
        <v>11.38</v>
      </c>
      <c r="I63" s="123">
        <v>0</v>
      </c>
      <c r="J63" s="123">
        <v>0</v>
      </c>
      <c r="K63" s="123">
        <v>0</v>
      </c>
      <c r="L63" s="123">
        <v>0</v>
      </c>
      <c r="M63" s="313">
        <v>0</v>
      </c>
      <c r="N63" s="123">
        <v>0</v>
      </c>
      <c r="O63" s="123">
        <v>0</v>
      </c>
      <c r="P63" s="313">
        <v>0</v>
      </c>
      <c r="Q63" s="123">
        <v>0</v>
      </c>
      <c r="R63" s="123">
        <v>0</v>
      </c>
      <c r="S63" s="123">
        <v>0</v>
      </c>
      <c r="T63" s="123">
        <v>10</v>
      </c>
      <c r="U63" s="123">
        <v>10</v>
      </c>
      <c r="V63" s="123">
        <v>8.68</v>
      </c>
      <c r="W63" s="123">
        <v>17.29</v>
      </c>
      <c r="X63" s="123">
        <v>0</v>
      </c>
      <c r="Y63" s="123">
        <v>2.62</v>
      </c>
      <c r="Z63" s="123">
        <v>2.62</v>
      </c>
      <c r="AA63" s="123">
        <v>0</v>
      </c>
      <c r="AB63" s="123">
        <v>0</v>
      </c>
      <c r="AC63" s="123">
        <v>0</v>
      </c>
      <c r="AD63" s="123">
        <v>2.78</v>
      </c>
      <c r="AE63" s="123">
        <v>2.78</v>
      </c>
      <c r="AF63" s="123">
        <v>2.75</v>
      </c>
      <c r="AG63" s="123">
        <v>2.75</v>
      </c>
      <c r="AH63" s="123">
        <v>0</v>
      </c>
      <c r="AI63" s="313">
        <v>0</v>
      </c>
      <c r="AJ63" s="123">
        <v>11.4</v>
      </c>
      <c r="AK63" s="271">
        <v>0</v>
      </c>
      <c r="AL63" s="271">
        <v>0</v>
      </c>
      <c r="AM63" s="271">
        <v>0</v>
      </c>
      <c r="AN63" s="271">
        <v>22</v>
      </c>
      <c r="AO63" s="271">
        <v>0</v>
      </c>
      <c r="AP63" s="271">
        <v>2.42</v>
      </c>
      <c r="AQ63" s="271">
        <v>0</v>
      </c>
      <c r="AR63" s="271"/>
      <c r="AS63" s="271"/>
      <c r="AT63" s="271"/>
      <c r="AU63" s="271"/>
      <c r="AV63" s="123"/>
      <c r="AW63" s="395"/>
      <c r="AX63" s="407">
        <f t="shared" ref="AX63:AX86" si="5">+SUM(E63:AW63)</f>
        <v>109.47</v>
      </c>
      <c r="AY63" s="269"/>
      <c r="AZ63" s="394">
        <v>0</v>
      </c>
      <c r="BA63" s="254">
        <v>37995.041666666199</v>
      </c>
      <c r="BB63" s="255">
        <v>8.06</v>
      </c>
      <c r="BC63" s="123">
        <v>19.690000000000001</v>
      </c>
      <c r="BD63" s="123">
        <v>0</v>
      </c>
      <c r="BE63" s="313">
        <v>0</v>
      </c>
      <c r="BF63" s="123">
        <v>0</v>
      </c>
      <c r="BG63" s="123">
        <v>0</v>
      </c>
      <c r="BH63" s="123">
        <v>0</v>
      </c>
      <c r="BI63" s="123">
        <v>0</v>
      </c>
      <c r="BJ63" s="313">
        <v>0</v>
      </c>
      <c r="BK63" s="123">
        <v>0</v>
      </c>
      <c r="BL63" s="123">
        <v>0</v>
      </c>
      <c r="BM63" s="313">
        <v>0</v>
      </c>
      <c r="BN63" s="123">
        <v>0</v>
      </c>
      <c r="BO63" s="123">
        <v>0</v>
      </c>
      <c r="BP63" s="123">
        <v>0</v>
      </c>
      <c r="BQ63" s="123">
        <v>0</v>
      </c>
      <c r="BR63" s="123">
        <v>0</v>
      </c>
      <c r="BS63" s="123">
        <v>0</v>
      </c>
      <c r="BT63" s="123">
        <v>0</v>
      </c>
      <c r="BU63" s="123">
        <v>0</v>
      </c>
      <c r="BV63" s="123">
        <v>0</v>
      </c>
      <c r="BW63" s="123">
        <v>0</v>
      </c>
      <c r="BX63" s="123">
        <v>0</v>
      </c>
      <c r="BY63" s="123">
        <v>0</v>
      </c>
      <c r="BZ63" s="123">
        <v>0</v>
      </c>
      <c r="CA63" s="123">
        <v>0</v>
      </c>
      <c r="CB63" s="123">
        <v>0</v>
      </c>
      <c r="CC63" s="123">
        <v>0</v>
      </c>
      <c r="CD63" s="123">
        <v>0</v>
      </c>
      <c r="CE63" s="123">
        <v>10.98</v>
      </c>
      <c r="CF63" s="313">
        <v>10.98</v>
      </c>
      <c r="CG63" s="123">
        <v>0</v>
      </c>
      <c r="CH63" s="271">
        <v>0</v>
      </c>
      <c r="CI63" s="271">
        <v>19</v>
      </c>
      <c r="CJ63" s="271">
        <v>5.08</v>
      </c>
      <c r="CK63" s="271">
        <v>0</v>
      </c>
      <c r="CL63" s="271">
        <v>22</v>
      </c>
      <c r="CM63" s="271">
        <v>1</v>
      </c>
      <c r="CN63" s="271">
        <v>15.84</v>
      </c>
      <c r="CO63" s="271"/>
      <c r="CP63" s="271"/>
      <c r="CQ63" s="271"/>
      <c r="CR63" s="271"/>
      <c r="CS63" s="123"/>
      <c r="CT63" s="395"/>
      <c r="CU63" s="407">
        <f>+SUM(BB63:CT63)</f>
        <v>112.63000000000001</v>
      </c>
      <c r="CV63" s="269"/>
      <c r="CW63" s="269"/>
      <c r="CX63" s="269"/>
      <c r="CY63" s="269"/>
      <c r="CZ63" s="269"/>
      <c r="DA63" s="269"/>
      <c r="DB63" s="269"/>
      <c r="DC63" s="269"/>
      <c r="DD63" s="269"/>
      <c r="DE63" s="269"/>
      <c r="DF63" s="269"/>
      <c r="DG63" s="269"/>
      <c r="DH63" s="269"/>
      <c r="DI63" s="269"/>
      <c r="DJ63" s="269"/>
      <c r="DK63" s="269"/>
      <c r="DL63" s="269"/>
      <c r="DM63" s="269"/>
      <c r="DN63" s="269"/>
      <c r="DO63" s="269"/>
      <c r="DP63" s="269"/>
      <c r="DQ63" s="269"/>
      <c r="DR63" s="269"/>
      <c r="DS63" s="269"/>
      <c r="DT63" s="269"/>
      <c r="DU63" s="269"/>
      <c r="DV63" s="269"/>
      <c r="DW63" s="269"/>
      <c r="DX63" s="269"/>
      <c r="DY63" s="269"/>
      <c r="DZ63" s="269"/>
      <c r="EA63" s="269"/>
      <c r="EB63" s="269"/>
    </row>
    <row r="64" spans="1:132" ht="18.75" customHeight="1">
      <c r="A64" s="82"/>
      <c r="B64" s="82"/>
      <c r="C64" s="394">
        <f>+D63</f>
        <v>37995.041666666199</v>
      </c>
      <c r="D64" s="254">
        <v>37995.083333332863</v>
      </c>
      <c r="E64" s="255">
        <v>0</v>
      </c>
      <c r="F64" s="123">
        <v>0</v>
      </c>
      <c r="G64" s="123">
        <v>0</v>
      </c>
      <c r="H64" s="313">
        <v>11.38</v>
      </c>
      <c r="I64" s="123">
        <v>0</v>
      </c>
      <c r="J64" s="123">
        <v>0</v>
      </c>
      <c r="K64" s="123">
        <v>0</v>
      </c>
      <c r="L64" s="123">
        <v>0</v>
      </c>
      <c r="M64" s="313">
        <v>0</v>
      </c>
      <c r="N64" s="123">
        <v>0</v>
      </c>
      <c r="O64" s="123">
        <v>0</v>
      </c>
      <c r="P64" s="313">
        <v>0</v>
      </c>
      <c r="Q64" s="123">
        <v>0</v>
      </c>
      <c r="R64" s="123">
        <v>0</v>
      </c>
      <c r="S64" s="123">
        <v>0</v>
      </c>
      <c r="T64" s="123">
        <v>10</v>
      </c>
      <c r="U64" s="123">
        <v>10</v>
      </c>
      <c r="V64" s="123">
        <v>8.68</v>
      </c>
      <c r="W64" s="123">
        <v>17.29</v>
      </c>
      <c r="X64" s="123">
        <v>0</v>
      </c>
      <c r="Y64" s="123">
        <v>2.62</v>
      </c>
      <c r="Z64" s="123">
        <v>2.62</v>
      </c>
      <c r="AA64" s="123">
        <v>0</v>
      </c>
      <c r="AB64" s="123">
        <v>0</v>
      </c>
      <c r="AC64" s="123">
        <v>0</v>
      </c>
      <c r="AD64" s="123">
        <v>2.78</v>
      </c>
      <c r="AE64" s="123">
        <v>2.78</v>
      </c>
      <c r="AF64" s="123">
        <v>2.75</v>
      </c>
      <c r="AG64" s="123">
        <v>2.75</v>
      </c>
      <c r="AH64" s="123">
        <v>0</v>
      </c>
      <c r="AI64" s="313">
        <v>0</v>
      </c>
      <c r="AJ64" s="123">
        <v>6.74</v>
      </c>
      <c r="AK64" s="271">
        <v>0</v>
      </c>
      <c r="AL64" s="271">
        <v>0</v>
      </c>
      <c r="AM64" s="271">
        <v>0</v>
      </c>
      <c r="AN64" s="271">
        <v>21</v>
      </c>
      <c r="AO64" s="271">
        <v>0</v>
      </c>
      <c r="AP64" s="271">
        <v>1.67</v>
      </c>
      <c r="AQ64" s="271">
        <v>0</v>
      </c>
      <c r="AR64" s="271"/>
      <c r="AS64" s="271"/>
      <c r="AT64" s="271"/>
      <c r="AU64" s="271"/>
      <c r="AV64" s="123"/>
      <c r="AW64" s="395"/>
      <c r="AX64" s="407">
        <f t="shared" si="5"/>
        <v>103.05999999999999</v>
      </c>
      <c r="AY64" s="269"/>
      <c r="AZ64" s="394">
        <f>+BA63</f>
        <v>37995.041666666199</v>
      </c>
      <c r="BA64" s="254">
        <v>37995.083333332863</v>
      </c>
      <c r="BB64" s="255">
        <v>13.88</v>
      </c>
      <c r="BC64" s="123">
        <v>19.690000000000001</v>
      </c>
      <c r="BD64" s="123">
        <v>0</v>
      </c>
      <c r="BE64" s="313">
        <v>0</v>
      </c>
      <c r="BF64" s="123">
        <v>0</v>
      </c>
      <c r="BG64" s="123">
        <v>0</v>
      </c>
      <c r="BH64" s="123">
        <v>0</v>
      </c>
      <c r="BI64" s="123">
        <v>0</v>
      </c>
      <c r="BJ64" s="313">
        <v>0</v>
      </c>
      <c r="BK64" s="123">
        <v>0</v>
      </c>
      <c r="BL64" s="123">
        <v>0</v>
      </c>
      <c r="BM64" s="313">
        <v>0</v>
      </c>
      <c r="BN64" s="123">
        <v>0</v>
      </c>
      <c r="BO64" s="123">
        <v>0</v>
      </c>
      <c r="BP64" s="123">
        <v>0</v>
      </c>
      <c r="BQ64" s="123">
        <v>0</v>
      </c>
      <c r="BR64" s="123">
        <v>0</v>
      </c>
      <c r="BS64" s="123">
        <v>0</v>
      </c>
      <c r="BT64" s="123">
        <v>0</v>
      </c>
      <c r="BU64" s="123">
        <v>0</v>
      </c>
      <c r="BV64" s="123">
        <v>0</v>
      </c>
      <c r="BW64" s="123">
        <v>0</v>
      </c>
      <c r="BX64" s="123">
        <v>0</v>
      </c>
      <c r="BY64" s="123">
        <v>0</v>
      </c>
      <c r="BZ64" s="123">
        <v>0</v>
      </c>
      <c r="CA64" s="123">
        <v>0</v>
      </c>
      <c r="CB64" s="123">
        <v>0</v>
      </c>
      <c r="CC64" s="123">
        <v>0</v>
      </c>
      <c r="CD64" s="123">
        <v>0</v>
      </c>
      <c r="CE64" s="123">
        <v>10.98</v>
      </c>
      <c r="CF64" s="313">
        <v>10.98</v>
      </c>
      <c r="CG64" s="123">
        <v>0</v>
      </c>
      <c r="CH64" s="271">
        <v>0</v>
      </c>
      <c r="CI64" s="271">
        <v>19</v>
      </c>
      <c r="CJ64" s="271">
        <v>5.08</v>
      </c>
      <c r="CK64" s="271">
        <v>1</v>
      </c>
      <c r="CL64" s="271">
        <v>22</v>
      </c>
      <c r="CM64" s="271">
        <v>1</v>
      </c>
      <c r="CN64" s="271">
        <v>1</v>
      </c>
      <c r="CO64" s="271"/>
      <c r="CP64" s="271"/>
      <c r="CQ64" s="271"/>
      <c r="CR64" s="271"/>
      <c r="CS64" s="123"/>
      <c r="CT64" s="395"/>
      <c r="CU64" s="407">
        <f t="shared" ref="CU64:CU86" si="6">+SUM(BB64:CT64)</f>
        <v>104.61</v>
      </c>
      <c r="CV64" s="269"/>
      <c r="CW64" s="269"/>
      <c r="CX64" s="269"/>
      <c r="CY64" s="269"/>
      <c r="CZ64" s="269"/>
      <c r="DA64" s="269"/>
      <c r="DB64" s="269"/>
      <c r="DC64" s="269"/>
      <c r="DD64" s="269"/>
      <c r="DE64" s="269"/>
      <c r="DF64" s="269"/>
      <c r="DG64" s="269"/>
      <c r="DH64" s="269"/>
      <c r="DI64" s="269"/>
      <c r="DJ64" s="269"/>
      <c r="DK64" s="269"/>
      <c r="DL64" s="269"/>
      <c r="DM64" s="269"/>
      <c r="DN64" s="269"/>
      <c r="DO64" s="269"/>
      <c r="DP64" s="269"/>
      <c r="DQ64" s="269"/>
      <c r="DR64" s="269"/>
      <c r="DS64" s="269"/>
      <c r="DT64" s="269"/>
      <c r="DU64" s="269"/>
      <c r="DV64" s="269"/>
      <c r="DW64" s="269"/>
      <c r="DX64" s="269"/>
      <c r="DY64" s="269"/>
      <c r="DZ64" s="269"/>
      <c r="EA64" s="269"/>
      <c r="EB64" s="269"/>
    </row>
    <row r="65" spans="1:132" ht="18.75" customHeight="1">
      <c r="A65" s="82"/>
      <c r="B65" s="82"/>
      <c r="C65" s="394">
        <v>37995.083333332863</v>
      </c>
      <c r="D65" s="254">
        <v>37995.124999999527</v>
      </c>
      <c r="E65" s="255">
        <v>0</v>
      </c>
      <c r="F65" s="123">
        <v>0</v>
      </c>
      <c r="G65" s="123">
        <v>0</v>
      </c>
      <c r="H65" s="313">
        <v>11.38</v>
      </c>
      <c r="I65" s="123">
        <v>0</v>
      </c>
      <c r="J65" s="123">
        <v>0</v>
      </c>
      <c r="K65" s="123">
        <v>0</v>
      </c>
      <c r="L65" s="123">
        <v>0</v>
      </c>
      <c r="M65" s="313">
        <v>0</v>
      </c>
      <c r="N65" s="123">
        <v>0</v>
      </c>
      <c r="O65" s="123">
        <v>0</v>
      </c>
      <c r="P65" s="313">
        <v>0</v>
      </c>
      <c r="Q65" s="123">
        <v>0</v>
      </c>
      <c r="R65" s="123">
        <v>0</v>
      </c>
      <c r="S65" s="123">
        <v>0</v>
      </c>
      <c r="T65" s="123">
        <v>10</v>
      </c>
      <c r="U65" s="123">
        <v>0</v>
      </c>
      <c r="V65" s="123">
        <v>10.77</v>
      </c>
      <c r="W65" s="123">
        <v>17.29</v>
      </c>
      <c r="X65" s="123">
        <v>0</v>
      </c>
      <c r="Y65" s="123">
        <v>2.62</v>
      </c>
      <c r="Z65" s="123">
        <v>2.62</v>
      </c>
      <c r="AA65" s="123">
        <v>0</v>
      </c>
      <c r="AB65" s="123">
        <v>0</v>
      </c>
      <c r="AC65" s="123">
        <v>0</v>
      </c>
      <c r="AD65" s="123">
        <v>2.78</v>
      </c>
      <c r="AE65" s="123">
        <v>2.78</v>
      </c>
      <c r="AF65" s="123">
        <v>2.75</v>
      </c>
      <c r="AG65" s="123">
        <v>2.75</v>
      </c>
      <c r="AH65" s="123">
        <v>0</v>
      </c>
      <c r="AI65" s="313">
        <v>0</v>
      </c>
      <c r="AJ65" s="123">
        <v>14.15</v>
      </c>
      <c r="AK65" s="271">
        <v>0</v>
      </c>
      <c r="AL65" s="271">
        <v>0</v>
      </c>
      <c r="AM65" s="271">
        <v>0</v>
      </c>
      <c r="AN65" s="271">
        <v>22</v>
      </c>
      <c r="AO65" s="271">
        <v>0</v>
      </c>
      <c r="AP65" s="271">
        <v>2.42</v>
      </c>
      <c r="AQ65" s="271">
        <v>0</v>
      </c>
      <c r="AR65" s="271"/>
      <c r="AS65" s="271"/>
      <c r="AT65" s="271"/>
      <c r="AU65" s="271"/>
      <c r="AV65" s="123"/>
      <c r="AW65" s="395"/>
      <c r="AX65" s="407">
        <f t="shared" si="5"/>
        <v>104.31000000000002</v>
      </c>
      <c r="AY65" s="269"/>
      <c r="AZ65" s="394">
        <v>37995.083333332863</v>
      </c>
      <c r="BA65" s="254">
        <v>37995.124999999527</v>
      </c>
      <c r="BB65" s="255">
        <v>4.26</v>
      </c>
      <c r="BC65" s="123">
        <v>19.690000000000001</v>
      </c>
      <c r="BD65" s="123">
        <v>0</v>
      </c>
      <c r="BE65" s="313">
        <v>0</v>
      </c>
      <c r="BF65" s="123">
        <v>0</v>
      </c>
      <c r="BG65" s="123">
        <v>0</v>
      </c>
      <c r="BH65" s="123">
        <v>0</v>
      </c>
      <c r="BI65" s="123">
        <v>0</v>
      </c>
      <c r="BJ65" s="313">
        <v>0</v>
      </c>
      <c r="BK65" s="123">
        <v>0</v>
      </c>
      <c r="BL65" s="123">
        <v>0</v>
      </c>
      <c r="BM65" s="313">
        <v>0</v>
      </c>
      <c r="BN65" s="123">
        <v>0</v>
      </c>
      <c r="BO65" s="123">
        <v>0</v>
      </c>
      <c r="BP65" s="123">
        <v>0</v>
      </c>
      <c r="BQ65" s="123">
        <v>0</v>
      </c>
      <c r="BR65" s="123">
        <v>0</v>
      </c>
      <c r="BS65" s="123">
        <v>0</v>
      </c>
      <c r="BT65" s="123">
        <v>0</v>
      </c>
      <c r="BU65" s="123">
        <v>0</v>
      </c>
      <c r="BV65" s="123">
        <v>0</v>
      </c>
      <c r="BW65" s="123">
        <v>0</v>
      </c>
      <c r="BX65" s="123">
        <v>0</v>
      </c>
      <c r="BY65" s="123">
        <v>0</v>
      </c>
      <c r="BZ65" s="123">
        <v>0</v>
      </c>
      <c r="CA65" s="123">
        <v>0</v>
      </c>
      <c r="CB65" s="123">
        <v>0</v>
      </c>
      <c r="CC65" s="123">
        <v>0</v>
      </c>
      <c r="CD65" s="123">
        <v>0</v>
      </c>
      <c r="CE65" s="123">
        <v>10.98</v>
      </c>
      <c r="CF65" s="313">
        <v>10.98</v>
      </c>
      <c r="CG65" s="123">
        <v>0</v>
      </c>
      <c r="CH65" s="271">
        <v>0</v>
      </c>
      <c r="CI65" s="271">
        <v>19</v>
      </c>
      <c r="CJ65" s="271">
        <v>5.08</v>
      </c>
      <c r="CK65" s="271">
        <v>0</v>
      </c>
      <c r="CL65" s="271">
        <v>22</v>
      </c>
      <c r="CM65" s="271">
        <v>1</v>
      </c>
      <c r="CN65" s="271">
        <v>15.84</v>
      </c>
      <c r="CO65" s="271"/>
      <c r="CP65" s="271"/>
      <c r="CQ65" s="271"/>
      <c r="CR65" s="271"/>
      <c r="CS65" s="123"/>
      <c r="CT65" s="395"/>
      <c r="CU65" s="407">
        <f t="shared" si="6"/>
        <v>108.83000000000001</v>
      </c>
      <c r="CV65" s="269"/>
      <c r="CW65" s="269"/>
      <c r="CX65" s="269"/>
      <c r="CY65" s="269"/>
      <c r="CZ65" s="269"/>
      <c r="DA65" s="269"/>
      <c r="DB65" s="269"/>
      <c r="DC65" s="269"/>
      <c r="DD65" s="269"/>
      <c r="DE65" s="269"/>
      <c r="DF65" s="269"/>
      <c r="DG65" s="269"/>
      <c r="DH65" s="269"/>
      <c r="DI65" s="269"/>
      <c r="DJ65" s="269"/>
      <c r="DK65" s="269"/>
      <c r="DL65" s="269"/>
      <c r="DM65" s="269"/>
      <c r="DN65" s="269"/>
      <c r="DO65" s="269"/>
      <c r="DP65" s="269"/>
      <c r="DQ65" s="269"/>
      <c r="DR65" s="269"/>
      <c r="DS65" s="269"/>
      <c r="DT65" s="269"/>
      <c r="DU65" s="269"/>
      <c r="DV65" s="269"/>
      <c r="DW65" s="269"/>
      <c r="DX65" s="269"/>
      <c r="DY65" s="269"/>
      <c r="DZ65" s="269"/>
      <c r="EA65" s="269"/>
      <c r="EB65" s="269"/>
    </row>
    <row r="66" spans="1:132" ht="18.75" customHeight="1">
      <c r="A66" s="82"/>
      <c r="B66" s="82"/>
      <c r="C66" s="394">
        <v>37995.124999999527</v>
      </c>
      <c r="D66" s="254">
        <v>37995.166666666191</v>
      </c>
      <c r="E66" s="255">
        <v>0</v>
      </c>
      <c r="F66" s="123">
        <v>0</v>
      </c>
      <c r="G66" s="123">
        <v>0</v>
      </c>
      <c r="H66" s="313">
        <v>11.38</v>
      </c>
      <c r="I66" s="123">
        <v>0</v>
      </c>
      <c r="J66" s="123">
        <v>0</v>
      </c>
      <c r="K66" s="123">
        <v>0</v>
      </c>
      <c r="L66" s="123">
        <v>0</v>
      </c>
      <c r="M66" s="313">
        <v>0</v>
      </c>
      <c r="N66" s="123">
        <v>0</v>
      </c>
      <c r="O66" s="123">
        <v>0</v>
      </c>
      <c r="P66" s="313">
        <v>0</v>
      </c>
      <c r="Q66" s="123">
        <v>0</v>
      </c>
      <c r="R66" s="123">
        <v>0</v>
      </c>
      <c r="S66" s="123">
        <v>0</v>
      </c>
      <c r="T66" s="123">
        <v>10</v>
      </c>
      <c r="U66" s="123">
        <v>0</v>
      </c>
      <c r="V66" s="123">
        <v>10.77</v>
      </c>
      <c r="W66" s="123">
        <v>17.29</v>
      </c>
      <c r="X66" s="123">
        <v>0</v>
      </c>
      <c r="Y66" s="123">
        <v>2.62</v>
      </c>
      <c r="Z66" s="123">
        <v>2.62</v>
      </c>
      <c r="AA66" s="123">
        <v>0</v>
      </c>
      <c r="AB66" s="123">
        <v>0</v>
      </c>
      <c r="AC66" s="123">
        <v>0</v>
      </c>
      <c r="AD66" s="123">
        <v>2.78</v>
      </c>
      <c r="AE66" s="123">
        <v>2.78</v>
      </c>
      <c r="AF66" s="123">
        <v>2.75</v>
      </c>
      <c r="AG66" s="123">
        <v>2.75</v>
      </c>
      <c r="AH66" s="123">
        <v>0</v>
      </c>
      <c r="AI66" s="313">
        <v>0</v>
      </c>
      <c r="AJ66" s="123">
        <v>11.22</v>
      </c>
      <c r="AK66" s="271">
        <v>0</v>
      </c>
      <c r="AL66" s="271">
        <v>0</v>
      </c>
      <c r="AM66" s="271">
        <v>0</v>
      </c>
      <c r="AN66" s="271">
        <v>22</v>
      </c>
      <c r="AO66" s="271">
        <v>0</v>
      </c>
      <c r="AP66" s="271">
        <v>2.42</v>
      </c>
      <c r="AQ66" s="271">
        <v>0</v>
      </c>
      <c r="AR66" s="271"/>
      <c r="AS66" s="271"/>
      <c r="AT66" s="271"/>
      <c r="AU66" s="271"/>
      <c r="AV66" s="123"/>
      <c r="AW66" s="395"/>
      <c r="AX66" s="407">
        <f t="shared" si="5"/>
        <v>101.38000000000001</v>
      </c>
      <c r="AY66" s="269"/>
      <c r="AZ66" s="394">
        <v>37995.124999999527</v>
      </c>
      <c r="BA66" s="254">
        <v>37995.166666666191</v>
      </c>
      <c r="BB66" s="255">
        <v>12.64</v>
      </c>
      <c r="BC66" s="123">
        <v>19.690000000000001</v>
      </c>
      <c r="BD66" s="123">
        <v>0</v>
      </c>
      <c r="BE66" s="313">
        <v>0</v>
      </c>
      <c r="BF66" s="123">
        <v>0</v>
      </c>
      <c r="BG66" s="123">
        <v>0</v>
      </c>
      <c r="BH66" s="123">
        <v>0</v>
      </c>
      <c r="BI66" s="123">
        <v>0</v>
      </c>
      <c r="BJ66" s="313">
        <v>0</v>
      </c>
      <c r="BK66" s="123">
        <v>0</v>
      </c>
      <c r="BL66" s="123">
        <v>0</v>
      </c>
      <c r="BM66" s="313">
        <v>0</v>
      </c>
      <c r="BN66" s="123">
        <v>0</v>
      </c>
      <c r="BO66" s="123">
        <v>0</v>
      </c>
      <c r="BP66" s="123">
        <v>0</v>
      </c>
      <c r="BQ66" s="123">
        <v>0</v>
      </c>
      <c r="BR66" s="123">
        <v>0</v>
      </c>
      <c r="BS66" s="123">
        <v>0</v>
      </c>
      <c r="BT66" s="123">
        <v>0</v>
      </c>
      <c r="BU66" s="123">
        <v>0</v>
      </c>
      <c r="BV66" s="123">
        <v>0</v>
      </c>
      <c r="BW66" s="123">
        <v>0</v>
      </c>
      <c r="BX66" s="123">
        <v>0</v>
      </c>
      <c r="BY66" s="123">
        <v>0</v>
      </c>
      <c r="BZ66" s="123">
        <v>0</v>
      </c>
      <c r="CA66" s="123">
        <v>0</v>
      </c>
      <c r="CB66" s="123">
        <v>0</v>
      </c>
      <c r="CC66" s="123">
        <v>0</v>
      </c>
      <c r="CD66" s="123">
        <v>0</v>
      </c>
      <c r="CE66" s="123">
        <v>10.98</v>
      </c>
      <c r="CF66" s="313">
        <v>10.98</v>
      </c>
      <c r="CG66" s="123">
        <v>0</v>
      </c>
      <c r="CH66" s="271">
        <v>0</v>
      </c>
      <c r="CI66" s="271">
        <v>19</v>
      </c>
      <c r="CJ66" s="271">
        <v>5.08</v>
      </c>
      <c r="CK66" s="271">
        <v>0</v>
      </c>
      <c r="CL66" s="271">
        <v>0</v>
      </c>
      <c r="CM66" s="271">
        <v>13.42</v>
      </c>
      <c r="CN66" s="271">
        <v>15.84</v>
      </c>
      <c r="CO66" s="271"/>
      <c r="CP66" s="271"/>
      <c r="CQ66" s="271"/>
      <c r="CR66" s="271"/>
      <c r="CS66" s="123"/>
      <c r="CT66" s="395"/>
      <c r="CU66" s="407">
        <f t="shared" si="6"/>
        <v>107.63000000000001</v>
      </c>
      <c r="CV66" s="269"/>
      <c r="CW66" s="269"/>
      <c r="CX66" s="269"/>
      <c r="CY66" s="269"/>
      <c r="CZ66" s="269"/>
      <c r="DA66" s="269"/>
      <c r="DB66" s="269"/>
      <c r="DC66" s="269"/>
      <c r="DD66" s="269"/>
      <c r="DE66" s="269"/>
      <c r="DF66" s="269"/>
      <c r="DG66" s="269"/>
      <c r="DH66" s="269"/>
      <c r="DI66" s="269"/>
      <c r="DJ66" s="269"/>
      <c r="DK66" s="269"/>
      <c r="DL66" s="269"/>
      <c r="DM66" s="269"/>
      <c r="DN66" s="269"/>
      <c r="DO66" s="269"/>
      <c r="DP66" s="269"/>
      <c r="DQ66" s="269"/>
      <c r="DR66" s="269"/>
      <c r="DS66" s="269"/>
      <c r="DT66" s="269"/>
      <c r="DU66" s="269"/>
      <c r="DV66" s="269"/>
      <c r="DW66" s="269"/>
      <c r="DX66" s="269"/>
      <c r="DY66" s="269"/>
      <c r="DZ66" s="269"/>
      <c r="EA66" s="269"/>
      <c r="EB66" s="269"/>
    </row>
    <row r="67" spans="1:132" ht="18.75" customHeight="1">
      <c r="A67" s="82"/>
      <c r="B67" s="82"/>
      <c r="C67" s="394">
        <v>37995.166666666191</v>
      </c>
      <c r="D67" s="254">
        <v>37995.208333332856</v>
      </c>
      <c r="E67" s="255">
        <v>0</v>
      </c>
      <c r="F67" s="123">
        <v>0</v>
      </c>
      <c r="G67" s="123">
        <v>0</v>
      </c>
      <c r="H67" s="313">
        <v>11.38</v>
      </c>
      <c r="I67" s="123">
        <v>0</v>
      </c>
      <c r="J67" s="123">
        <v>0</v>
      </c>
      <c r="K67" s="123">
        <v>0</v>
      </c>
      <c r="L67" s="123">
        <v>0</v>
      </c>
      <c r="M67" s="313">
        <v>0</v>
      </c>
      <c r="N67" s="123">
        <v>0</v>
      </c>
      <c r="O67" s="123">
        <v>0</v>
      </c>
      <c r="P67" s="313">
        <v>0</v>
      </c>
      <c r="Q67" s="123">
        <v>0</v>
      </c>
      <c r="R67" s="123">
        <v>0</v>
      </c>
      <c r="S67" s="123">
        <v>0</v>
      </c>
      <c r="T67" s="123">
        <v>10</v>
      </c>
      <c r="U67" s="123">
        <v>0</v>
      </c>
      <c r="V67" s="123">
        <v>10.77</v>
      </c>
      <c r="W67" s="123">
        <v>17.29</v>
      </c>
      <c r="X67" s="123">
        <v>0</v>
      </c>
      <c r="Y67" s="123">
        <v>2.62</v>
      </c>
      <c r="Z67" s="123">
        <v>2.62</v>
      </c>
      <c r="AA67" s="123">
        <v>0</v>
      </c>
      <c r="AB67" s="123">
        <v>0</v>
      </c>
      <c r="AC67" s="123">
        <v>0</v>
      </c>
      <c r="AD67" s="123">
        <v>2.78</v>
      </c>
      <c r="AE67" s="123">
        <v>2.78</v>
      </c>
      <c r="AF67" s="123">
        <v>2.75</v>
      </c>
      <c r="AG67" s="123">
        <v>2.75</v>
      </c>
      <c r="AH67" s="123">
        <v>0</v>
      </c>
      <c r="AI67" s="313">
        <v>0</v>
      </c>
      <c r="AJ67" s="123">
        <v>10.42</v>
      </c>
      <c r="AK67" s="271">
        <v>0</v>
      </c>
      <c r="AL67" s="271">
        <v>0</v>
      </c>
      <c r="AM67" s="271">
        <v>0</v>
      </c>
      <c r="AN67" s="271">
        <v>22</v>
      </c>
      <c r="AO67" s="271">
        <v>0</v>
      </c>
      <c r="AP67" s="271">
        <v>2.42</v>
      </c>
      <c r="AQ67" s="271">
        <v>0</v>
      </c>
      <c r="AR67" s="271"/>
      <c r="AS67" s="271"/>
      <c r="AT67" s="271"/>
      <c r="AU67" s="271"/>
      <c r="AV67" s="123"/>
      <c r="AW67" s="395"/>
      <c r="AX67" s="407">
        <f t="shared" si="5"/>
        <v>100.58000000000001</v>
      </c>
      <c r="AY67" s="269"/>
      <c r="AZ67" s="394">
        <v>37995.166666666191</v>
      </c>
      <c r="BA67" s="254">
        <v>37995.208333332856</v>
      </c>
      <c r="BB67" s="255">
        <v>11.97</v>
      </c>
      <c r="BC67" s="123">
        <v>19.690000000000001</v>
      </c>
      <c r="BD67" s="123">
        <v>0</v>
      </c>
      <c r="BE67" s="313">
        <v>0</v>
      </c>
      <c r="BF67" s="123">
        <v>0</v>
      </c>
      <c r="BG67" s="123">
        <v>0</v>
      </c>
      <c r="BH67" s="123">
        <v>0</v>
      </c>
      <c r="BI67" s="123">
        <v>0</v>
      </c>
      <c r="BJ67" s="313">
        <v>0</v>
      </c>
      <c r="BK67" s="123">
        <v>0</v>
      </c>
      <c r="BL67" s="123">
        <v>0</v>
      </c>
      <c r="BM67" s="313">
        <v>0</v>
      </c>
      <c r="BN67" s="123">
        <v>0</v>
      </c>
      <c r="BO67" s="123">
        <v>0</v>
      </c>
      <c r="BP67" s="123">
        <v>0</v>
      </c>
      <c r="BQ67" s="123">
        <v>0</v>
      </c>
      <c r="BR67" s="123">
        <v>0</v>
      </c>
      <c r="BS67" s="123">
        <v>0</v>
      </c>
      <c r="BT67" s="123">
        <v>0</v>
      </c>
      <c r="BU67" s="123">
        <v>0</v>
      </c>
      <c r="BV67" s="123">
        <v>0</v>
      </c>
      <c r="BW67" s="123">
        <v>0</v>
      </c>
      <c r="BX67" s="123">
        <v>0</v>
      </c>
      <c r="BY67" s="123">
        <v>0</v>
      </c>
      <c r="BZ67" s="123">
        <v>0</v>
      </c>
      <c r="CA67" s="123">
        <v>0</v>
      </c>
      <c r="CB67" s="123">
        <v>0</v>
      </c>
      <c r="CC67" s="123">
        <v>0</v>
      </c>
      <c r="CD67" s="123">
        <v>0</v>
      </c>
      <c r="CE67" s="123">
        <v>10.98</v>
      </c>
      <c r="CF67" s="313">
        <v>10.98</v>
      </c>
      <c r="CG67" s="123">
        <v>0</v>
      </c>
      <c r="CH67" s="271">
        <v>0</v>
      </c>
      <c r="CI67" s="271">
        <v>19</v>
      </c>
      <c r="CJ67" s="271">
        <v>5.08</v>
      </c>
      <c r="CK67" s="271">
        <v>0</v>
      </c>
      <c r="CL67" s="271">
        <v>0</v>
      </c>
      <c r="CM67" s="271">
        <v>13.42</v>
      </c>
      <c r="CN67" s="271">
        <v>15.84</v>
      </c>
      <c r="CO67" s="271"/>
      <c r="CP67" s="271"/>
      <c r="CQ67" s="271"/>
      <c r="CR67" s="271"/>
      <c r="CS67" s="123"/>
      <c r="CT67" s="395"/>
      <c r="CU67" s="407">
        <f t="shared" si="6"/>
        <v>106.96000000000001</v>
      </c>
      <c r="CV67" s="269"/>
      <c r="CW67" s="269"/>
      <c r="CX67" s="269"/>
      <c r="CY67" s="269"/>
      <c r="CZ67" s="269"/>
      <c r="DA67" s="269"/>
      <c r="DB67" s="269"/>
      <c r="DC67" s="269"/>
      <c r="DD67" s="269"/>
      <c r="DE67" s="269"/>
      <c r="DF67" s="269"/>
      <c r="DG67" s="269"/>
      <c r="DH67" s="269"/>
      <c r="DI67" s="269"/>
      <c r="DJ67" s="269"/>
      <c r="DK67" s="269"/>
      <c r="DL67" s="269"/>
      <c r="DM67" s="269"/>
      <c r="DN67" s="269"/>
      <c r="DO67" s="269"/>
      <c r="DP67" s="269"/>
      <c r="DQ67" s="269"/>
      <c r="DR67" s="269"/>
      <c r="DS67" s="269"/>
      <c r="DT67" s="269"/>
      <c r="DU67" s="269"/>
      <c r="DV67" s="269"/>
      <c r="DW67" s="269"/>
      <c r="DX67" s="269"/>
      <c r="DY67" s="269"/>
      <c r="DZ67" s="269"/>
      <c r="EA67" s="269"/>
      <c r="EB67" s="269"/>
    </row>
    <row r="68" spans="1:132" ht="18.75" customHeight="1">
      <c r="A68" s="82"/>
      <c r="B68" s="82"/>
      <c r="C68" s="394">
        <v>37995.208333332856</v>
      </c>
      <c r="D68" s="254">
        <v>37995.24999999952</v>
      </c>
      <c r="E68" s="255">
        <v>0</v>
      </c>
      <c r="F68" s="123">
        <v>0</v>
      </c>
      <c r="G68" s="123">
        <v>0</v>
      </c>
      <c r="H68" s="313">
        <v>11.38</v>
      </c>
      <c r="I68" s="123">
        <v>0</v>
      </c>
      <c r="J68" s="123">
        <v>0</v>
      </c>
      <c r="K68" s="123">
        <v>0</v>
      </c>
      <c r="L68" s="123">
        <v>0</v>
      </c>
      <c r="M68" s="313">
        <v>0</v>
      </c>
      <c r="N68" s="123">
        <v>0</v>
      </c>
      <c r="O68" s="123">
        <v>0</v>
      </c>
      <c r="P68" s="313">
        <v>0</v>
      </c>
      <c r="Q68" s="123">
        <v>10.1</v>
      </c>
      <c r="R68" s="123">
        <v>10.36</v>
      </c>
      <c r="S68" s="123">
        <v>10.36</v>
      </c>
      <c r="T68" s="123">
        <v>10</v>
      </c>
      <c r="U68" s="123">
        <v>10</v>
      </c>
      <c r="V68" s="123">
        <v>0</v>
      </c>
      <c r="W68" s="123">
        <v>14.9</v>
      </c>
      <c r="X68" s="123">
        <v>1.41</v>
      </c>
      <c r="Y68" s="123">
        <v>2.62</v>
      </c>
      <c r="Z68" s="123">
        <v>2.62</v>
      </c>
      <c r="AA68" s="123">
        <v>0</v>
      </c>
      <c r="AB68" s="123">
        <v>0</v>
      </c>
      <c r="AC68" s="123">
        <v>0</v>
      </c>
      <c r="AD68" s="123">
        <v>2.78</v>
      </c>
      <c r="AE68" s="123">
        <v>2.78</v>
      </c>
      <c r="AF68" s="123">
        <v>2.75</v>
      </c>
      <c r="AG68" s="123">
        <v>2.75</v>
      </c>
      <c r="AH68" s="123">
        <v>0</v>
      </c>
      <c r="AI68" s="313">
        <v>0</v>
      </c>
      <c r="AJ68" s="123">
        <v>0</v>
      </c>
      <c r="AK68" s="271">
        <v>0</v>
      </c>
      <c r="AL68" s="271">
        <v>0</v>
      </c>
      <c r="AM68" s="271">
        <v>0</v>
      </c>
      <c r="AN68" s="271">
        <v>15.05</v>
      </c>
      <c r="AO68" s="271">
        <v>0</v>
      </c>
      <c r="AP68" s="271">
        <v>1</v>
      </c>
      <c r="AQ68" s="271">
        <v>0</v>
      </c>
      <c r="AR68" s="271"/>
      <c r="AS68" s="271"/>
      <c r="AT68" s="271"/>
      <c r="AU68" s="271"/>
      <c r="AV68" s="123"/>
      <c r="AW68" s="395"/>
      <c r="AX68" s="407">
        <f t="shared" si="5"/>
        <v>110.86000000000001</v>
      </c>
      <c r="AY68" s="269"/>
      <c r="AZ68" s="394">
        <v>37995.208333332856</v>
      </c>
      <c r="BA68" s="254">
        <v>37995.24999999952</v>
      </c>
      <c r="BB68" s="255">
        <v>13.95</v>
      </c>
      <c r="BC68" s="123">
        <v>19.690000000000001</v>
      </c>
      <c r="BD68" s="123">
        <v>0</v>
      </c>
      <c r="BE68" s="313">
        <v>0</v>
      </c>
      <c r="BF68" s="123">
        <v>0</v>
      </c>
      <c r="BG68" s="123">
        <v>0</v>
      </c>
      <c r="BH68" s="123">
        <v>0</v>
      </c>
      <c r="BI68" s="123">
        <v>0</v>
      </c>
      <c r="BJ68" s="313">
        <v>0</v>
      </c>
      <c r="BK68" s="123">
        <v>0</v>
      </c>
      <c r="BL68" s="123">
        <v>0</v>
      </c>
      <c r="BM68" s="313">
        <v>0</v>
      </c>
      <c r="BN68" s="123">
        <v>0</v>
      </c>
      <c r="BO68" s="123">
        <v>0</v>
      </c>
      <c r="BP68" s="123">
        <v>0</v>
      </c>
      <c r="BQ68" s="123">
        <v>0</v>
      </c>
      <c r="BR68" s="123">
        <v>0</v>
      </c>
      <c r="BS68" s="123">
        <v>0</v>
      </c>
      <c r="BT68" s="123">
        <v>0</v>
      </c>
      <c r="BU68" s="123">
        <v>0</v>
      </c>
      <c r="BV68" s="123">
        <v>0</v>
      </c>
      <c r="BW68" s="123">
        <v>0</v>
      </c>
      <c r="BX68" s="123">
        <v>0</v>
      </c>
      <c r="BY68" s="123">
        <v>0</v>
      </c>
      <c r="BZ68" s="123">
        <v>0</v>
      </c>
      <c r="CA68" s="123">
        <v>0</v>
      </c>
      <c r="CB68" s="123">
        <v>0</v>
      </c>
      <c r="CC68" s="123">
        <v>0</v>
      </c>
      <c r="CD68" s="123">
        <v>0</v>
      </c>
      <c r="CE68" s="123">
        <v>10.98</v>
      </c>
      <c r="CF68" s="313">
        <v>10.98</v>
      </c>
      <c r="CG68" s="123">
        <v>0</v>
      </c>
      <c r="CH68" s="271">
        <v>0</v>
      </c>
      <c r="CI68" s="271">
        <v>19</v>
      </c>
      <c r="CJ68" s="271">
        <v>5.08</v>
      </c>
      <c r="CK68" s="271">
        <v>0</v>
      </c>
      <c r="CL68" s="271">
        <v>22</v>
      </c>
      <c r="CM68" s="271">
        <v>1</v>
      </c>
      <c r="CN68" s="271">
        <v>15.84</v>
      </c>
      <c r="CO68" s="271"/>
      <c r="CP68" s="271"/>
      <c r="CQ68" s="271"/>
      <c r="CR68" s="271"/>
      <c r="CS68" s="123"/>
      <c r="CT68" s="395"/>
      <c r="CU68" s="407">
        <f t="shared" si="6"/>
        <v>118.52000000000001</v>
      </c>
      <c r="CV68" s="269"/>
      <c r="CW68" s="269"/>
      <c r="CX68" s="269"/>
      <c r="CY68" s="269"/>
      <c r="CZ68" s="269"/>
      <c r="DA68" s="269"/>
      <c r="DB68" s="269"/>
      <c r="DC68" s="269"/>
      <c r="DD68" s="269"/>
      <c r="DE68" s="269"/>
      <c r="DF68" s="269"/>
      <c r="DG68" s="269"/>
      <c r="DH68" s="269"/>
      <c r="DI68" s="269"/>
      <c r="DJ68" s="269"/>
      <c r="DK68" s="269"/>
      <c r="DL68" s="269"/>
      <c r="DM68" s="269"/>
      <c r="DN68" s="269"/>
      <c r="DO68" s="269"/>
      <c r="DP68" s="269"/>
      <c r="DQ68" s="269"/>
      <c r="DR68" s="269"/>
      <c r="DS68" s="269"/>
      <c r="DT68" s="269"/>
      <c r="DU68" s="269"/>
      <c r="DV68" s="269"/>
      <c r="DW68" s="269"/>
      <c r="DX68" s="269"/>
      <c r="DY68" s="269"/>
      <c r="DZ68" s="269"/>
      <c r="EA68" s="269"/>
      <c r="EB68" s="269"/>
    </row>
    <row r="69" spans="1:132" ht="18.75" customHeight="1">
      <c r="A69" s="82"/>
      <c r="B69" s="82"/>
      <c r="C69" s="396">
        <v>37995.24999999952</v>
      </c>
      <c r="D69" s="257">
        <v>37995.291666666184</v>
      </c>
      <c r="E69" s="258">
        <v>0</v>
      </c>
      <c r="F69" s="124">
        <v>0</v>
      </c>
      <c r="G69" s="124">
        <v>0</v>
      </c>
      <c r="H69" s="314">
        <v>11.38</v>
      </c>
      <c r="I69" s="124">
        <v>0</v>
      </c>
      <c r="J69" s="124">
        <v>0</v>
      </c>
      <c r="K69" s="124">
        <v>0</v>
      </c>
      <c r="L69" s="124">
        <v>0</v>
      </c>
      <c r="M69" s="314">
        <v>0</v>
      </c>
      <c r="N69" s="124">
        <v>0</v>
      </c>
      <c r="O69" s="124">
        <v>0</v>
      </c>
      <c r="P69" s="314">
        <v>0</v>
      </c>
      <c r="Q69" s="124">
        <v>10.1</v>
      </c>
      <c r="R69" s="124">
        <v>10.36</v>
      </c>
      <c r="S69" s="124">
        <v>10.36</v>
      </c>
      <c r="T69" s="124">
        <v>10</v>
      </c>
      <c r="U69" s="124">
        <v>10</v>
      </c>
      <c r="V69" s="124">
        <v>17.14</v>
      </c>
      <c r="W69" s="124">
        <v>17.29</v>
      </c>
      <c r="X69" s="124">
        <v>1.49</v>
      </c>
      <c r="Y69" s="124">
        <v>2.62</v>
      </c>
      <c r="Z69" s="124">
        <v>2.62</v>
      </c>
      <c r="AA69" s="124">
        <v>0</v>
      </c>
      <c r="AB69" s="124">
        <v>0</v>
      </c>
      <c r="AC69" s="124">
        <v>0</v>
      </c>
      <c r="AD69" s="124">
        <v>2.78</v>
      </c>
      <c r="AE69" s="124">
        <v>2.78</v>
      </c>
      <c r="AF69" s="124">
        <v>2.75</v>
      </c>
      <c r="AG69" s="124">
        <v>2.75</v>
      </c>
      <c r="AH69" s="124">
        <v>0</v>
      </c>
      <c r="AI69" s="314">
        <v>0</v>
      </c>
      <c r="AJ69" s="124">
        <v>0</v>
      </c>
      <c r="AK69" s="272">
        <v>0</v>
      </c>
      <c r="AL69" s="272">
        <v>0</v>
      </c>
      <c r="AM69" s="272">
        <v>0</v>
      </c>
      <c r="AN69" s="272">
        <v>15.05</v>
      </c>
      <c r="AO69" s="272">
        <v>0</v>
      </c>
      <c r="AP69" s="272">
        <v>1</v>
      </c>
      <c r="AQ69" s="272">
        <v>0</v>
      </c>
      <c r="AR69" s="272"/>
      <c r="AS69" s="272"/>
      <c r="AT69" s="272"/>
      <c r="AU69" s="272"/>
      <c r="AV69" s="124"/>
      <c r="AW69" s="397"/>
      <c r="AX69" s="408">
        <f t="shared" si="5"/>
        <v>130.47</v>
      </c>
      <c r="AY69" s="269"/>
      <c r="AZ69" s="396">
        <v>37995.24999999952</v>
      </c>
      <c r="BA69" s="257">
        <v>37995.291666666184</v>
      </c>
      <c r="BB69" s="258">
        <v>12.07</v>
      </c>
      <c r="BC69" s="124">
        <v>19.690000000000001</v>
      </c>
      <c r="BD69" s="124">
        <v>0</v>
      </c>
      <c r="BE69" s="314">
        <v>0</v>
      </c>
      <c r="BF69" s="124">
        <v>0</v>
      </c>
      <c r="BG69" s="124">
        <v>0</v>
      </c>
      <c r="BH69" s="124">
        <v>0</v>
      </c>
      <c r="BI69" s="124">
        <v>0</v>
      </c>
      <c r="BJ69" s="314">
        <v>0</v>
      </c>
      <c r="BK69" s="124">
        <v>0</v>
      </c>
      <c r="BL69" s="124">
        <v>0</v>
      </c>
      <c r="BM69" s="314">
        <v>0</v>
      </c>
      <c r="BN69" s="124">
        <v>0</v>
      </c>
      <c r="BO69" s="124">
        <v>0</v>
      </c>
      <c r="BP69" s="124">
        <v>0</v>
      </c>
      <c r="BQ69" s="124">
        <v>0</v>
      </c>
      <c r="BR69" s="124">
        <v>0</v>
      </c>
      <c r="BS69" s="124">
        <v>0</v>
      </c>
      <c r="BT69" s="124">
        <v>0</v>
      </c>
      <c r="BU69" s="124">
        <v>0</v>
      </c>
      <c r="BV69" s="124">
        <v>0</v>
      </c>
      <c r="BW69" s="124">
        <v>0</v>
      </c>
      <c r="BX69" s="124">
        <v>0</v>
      </c>
      <c r="BY69" s="124">
        <v>0</v>
      </c>
      <c r="BZ69" s="124">
        <v>0</v>
      </c>
      <c r="CA69" s="124">
        <v>0</v>
      </c>
      <c r="CB69" s="124">
        <v>0</v>
      </c>
      <c r="CC69" s="124">
        <v>0</v>
      </c>
      <c r="CD69" s="124">
        <v>0</v>
      </c>
      <c r="CE69" s="124">
        <v>10.98</v>
      </c>
      <c r="CF69" s="314">
        <v>10.98</v>
      </c>
      <c r="CG69" s="124">
        <v>0</v>
      </c>
      <c r="CH69" s="272">
        <v>0</v>
      </c>
      <c r="CI69" s="272">
        <v>19</v>
      </c>
      <c r="CJ69" s="272">
        <v>5.08</v>
      </c>
      <c r="CK69" s="272">
        <v>0</v>
      </c>
      <c r="CL69" s="272">
        <v>22</v>
      </c>
      <c r="CM69" s="272">
        <v>14.84</v>
      </c>
      <c r="CN69" s="272">
        <v>15.84</v>
      </c>
      <c r="CO69" s="272"/>
      <c r="CP69" s="272"/>
      <c r="CQ69" s="272"/>
      <c r="CR69" s="272"/>
      <c r="CS69" s="124"/>
      <c r="CT69" s="397"/>
      <c r="CU69" s="408">
        <f t="shared" si="6"/>
        <v>130.47999999999999</v>
      </c>
      <c r="CV69" s="269"/>
      <c r="CW69" s="269"/>
      <c r="CX69" s="269"/>
      <c r="CY69" s="269"/>
      <c r="CZ69" s="269"/>
      <c r="DA69" s="269"/>
      <c r="DB69" s="269"/>
      <c r="DC69" s="269"/>
      <c r="DD69" s="269"/>
      <c r="DE69" s="269"/>
      <c r="DF69" s="269"/>
      <c r="DG69" s="269"/>
      <c r="DH69" s="269"/>
      <c r="DI69" s="269"/>
      <c r="DJ69" s="269"/>
      <c r="DK69" s="269"/>
      <c r="DL69" s="269"/>
      <c r="DM69" s="269"/>
      <c r="DN69" s="269"/>
      <c r="DO69" s="269"/>
      <c r="DP69" s="269"/>
      <c r="DQ69" s="269"/>
      <c r="DR69" s="269"/>
      <c r="DS69" s="269"/>
      <c r="DT69" s="269"/>
      <c r="DU69" s="269"/>
      <c r="DV69" s="269"/>
      <c r="DW69" s="269"/>
      <c r="DX69" s="269"/>
      <c r="DY69" s="269"/>
      <c r="DZ69" s="269"/>
      <c r="EA69" s="269"/>
      <c r="EB69" s="269"/>
    </row>
    <row r="70" spans="1:132" ht="18.75" customHeight="1">
      <c r="A70" s="82"/>
      <c r="B70" s="82"/>
      <c r="C70" s="396">
        <v>37995.291666666184</v>
      </c>
      <c r="D70" s="257">
        <v>37995.333333332848</v>
      </c>
      <c r="E70" s="258">
        <v>0</v>
      </c>
      <c r="F70" s="124">
        <v>0</v>
      </c>
      <c r="G70" s="124">
        <v>0</v>
      </c>
      <c r="H70" s="314">
        <v>11.38</v>
      </c>
      <c r="I70" s="124">
        <v>0</v>
      </c>
      <c r="J70" s="124">
        <v>0</v>
      </c>
      <c r="K70" s="124">
        <v>0</v>
      </c>
      <c r="L70" s="124">
        <v>0</v>
      </c>
      <c r="M70" s="314">
        <v>0</v>
      </c>
      <c r="N70" s="124">
        <v>0</v>
      </c>
      <c r="O70" s="124">
        <v>0</v>
      </c>
      <c r="P70" s="314">
        <v>0</v>
      </c>
      <c r="Q70" s="124">
        <v>0</v>
      </c>
      <c r="R70" s="124">
        <v>10.36</v>
      </c>
      <c r="S70" s="124">
        <v>10.36</v>
      </c>
      <c r="T70" s="124">
        <v>10</v>
      </c>
      <c r="U70" s="124">
        <v>10</v>
      </c>
      <c r="V70" s="124">
        <v>17.29</v>
      </c>
      <c r="W70" s="124">
        <v>17.29</v>
      </c>
      <c r="X70" s="124">
        <v>1.49</v>
      </c>
      <c r="Y70" s="124">
        <v>2.62</v>
      </c>
      <c r="Z70" s="124">
        <v>2.62</v>
      </c>
      <c r="AA70" s="124">
        <v>0</v>
      </c>
      <c r="AB70" s="124">
        <v>0</v>
      </c>
      <c r="AC70" s="124">
        <v>0</v>
      </c>
      <c r="AD70" s="124">
        <v>2.78</v>
      </c>
      <c r="AE70" s="124">
        <v>2.78</v>
      </c>
      <c r="AF70" s="124">
        <v>2.75</v>
      </c>
      <c r="AG70" s="124">
        <v>2.75</v>
      </c>
      <c r="AH70" s="124">
        <v>0</v>
      </c>
      <c r="AI70" s="314">
        <v>0</v>
      </c>
      <c r="AJ70" s="124">
        <v>0</v>
      </c>
      <c r="AK70" s="272">
        <v>1.65</v>
      </c>
      <c r="AL70" s="272">
        <v>0</v>
      </c>
      <c r="AM70" s="272">
        <v>0</v>
      </c>
      <c r="AN70" s="272">
        <v>22</v>
      </c>
      <c r="AO70" s="272">
        <v>0</v>
      </c>
      <c r="AP70" s="272">
        <v>1</v>
      </c>
      <c r="AQ70" s="272">
        <v>0</v>
      </c>
      <c r="AR70" s="272"/>
      <c r="AS70" s="272"/>
      <c r="AT70" s="272"/>
      <c r="AU70" s="272"/>
      <c r="AV70" s="124"/>
      <c r="AW70" s="397"/>
      <c r="AX70" s="408">
        <f t="shared" si="5"/>
        <v>129.12</v>
      </c>
      <c r="AY70" s="269"/>
      <c r="AZ70" s="396">
        <v>37995.291666666184</v>
      </c>
      <c r="BA70" s="257">
        <v>37995.333333332848</v>
      </c>
      <c r="BB70" s="258">
        <v>4.18</v>
      </c>
      <c r="BC70" s="124">
        <v>19.690000000000001</v>
      </c>
      <c r="BD70" s="124">
        <v>0</v>
      </c>
      <c r="BE70" s="314">
        <v>0</v>
      </c>
      <c r="BF70" s="124">
        <v>0</v>
      </c>
      <c r="BG70" s="124">
        <v>0</v>
      </c>
      <c r="BH70" s="124">
        <v>0</v>
      </c>
      <c r="BI70" s="124">
        <v>0</v>
      </c>
      <c r="BJ70" s="314">
        <v>0</v>
      </c>
      <c r="BK70" s="124">
        <v>0</v>
      </c>
      <c r="BL70" s="124">
        <v>0</v>
      </c>
      <c r="BM70" s="314">
        <v>0</v>
      </c>
      <c r="BN70" s="124">
        <v>0</v>
      </c>
      <c r="BO70" s="124">
        <v>0</v>
      </c>
      <c r="BP70" s="124">
        <v>0</v>
      </c>
      <c r="BQ70" s="124">
        <v>0</v>
      </c>
      <c r="BR70" s="124">
        <v>0</v>
      </c>
      <c r="BS70" s="124">
        <v>0</v>
      </c>
      <c r="BT70" s="124">
        <v>0</v>
      </c>
      <c r="BU70" s="124">
        <v>0</v>
      </c>
      <c r="BV70" s="124">
        <v>0</v>
      </c>
      <c r="BW70" s="124">
        <v>0</v>
      </c>
      <c r="BX70" s="124">
        <v>0</v>
      </c>
      <c r="BY70" s="124">
        <v>0</v>
      </c>
      <c r="BZ70" s="124">
        <v>0</v>
      </c>
      <c r="CA70" s="124">
        <v>0</v>
      </c>
      <c r="CB70" s="124">
        <v>0</v>
      </c>
      <c r="CC70" s="124">
        <v>0</v>
      </c>
      <c r="CD70" s="124">
        <v>0</v>
      </c>
      <c r="CE70" s="124">
        <v>10.98</v>
      </c>
      <c r="CF70" s="314">
        <v>10.98</v>
      </c>
      <c r="CG70" s="124">
        <v>0</v>
      </c>
      <c r="CH70" s="272">
        <v>0</v>
      </c>
      <c r="CI70" s="272">
        <v>19</v>
      </c>
      <c r="CJ70" s="272">
        <v>5.08</v>
      </c>
      <c r="CK70" s="272">
        <v>0</v>
      </c>
      <c r="CL70" s="272">
        <v>22</v>
      </c>
      <c r="CM70" s="272">
        <v>14.84</v>
      </c>
      <c r="CN70" s="272">
        <v>15.84</v>
      </c>
      <c r="CO70" s="272"/>
      <c r="CP70" s="272"/>
      <c r="CQ70" s="272"/>
      <c r="CR70" s="272"/>
      <c r="CS70" s="124"/>
      <c r="CT70" s="397"/>
      <c r="CU70" s="408">
        <f t="shared" si="6"/>
        <v>122.59</v>
      </c>
      <c r="CV70" s="269"/>
      <c r="CW70" s="269"/>
      <c r="CX70" s="269"/>
      <c r="CY70" s="269"/>
      <c r="CZ70" s="269"/>
      <c r="DA70" s="269"/>
      <c r="DB70" s="269"/>
      <c r="DC70" s="269"/>
      <c r="DD70" s="269"/>
      <c r="DE70" s="269"/>
      <c r="DF70" s="269"/>
      <c r="DG70" s="269"/>
      <c r="DH70" s="269"/>
      <c r="DI70" s="269"/>
      <c r="DJ70" s="269"/>
      <c r="DK70" s="269"/>
      <c r="DL70" s="269"/>
      <c r="DM70" s="269"/>
      <c r="DN70" s="269"/>
      <c r="DO70" s="269"/>
      <c r="DP70" s="269"/>
      <c r="DQ70" s="269"/>
      <c r="DR70" s="269"/>
      <c r="DS70" s="269"/>
      <c r="DT70" s="269"/>
      <c r="DU70" s="269"/>
      <c r="DV70" s="269"/>
      <c r="DW70" s="269"/>
      <c r="DX70" s="269"/>
      <c r="DY70" s="269"/>
      <c r="DZ70" s="269"/>
      <c r="EA70" s="269"/>
      <c r="EB70" s="269"/>
    </row>
    <row r="71" spans="1:132" ht="18.75" customHeight="1">
      <c r="A71" s="82"/>
      <c r="B71" s="82"/>
      <c r="C71" s="396">
        <v>37995.333333332848</v>
      </c>
      <c r="D71" s="257">
        <v>37995.374999999513</v>
      </c>
      <c r="E71" s="258">
        <v>0</v>
      </c>
      <c r="F71" s="124">
        <v>0</v>
      </c>
      <c r="G71" s="124">
        <v>0</v>
      </c>
      <c r="H71" s="314">
        <v>11.38</v>
      </c>
      <c r="I71" s="124">
        <v>0</v>
      </c>
      <c r="J71" s="124">
        <v>0</v>
      </c>
      <c r="K71" s="124">
        <v>0</v>
      </c>
      <c r="L71" s="124">
        <v>0</v>
      </c>
      <c r="M71" s="314">
        <v>0</v>
      </c>
      <c r="N71" s="124">
        <v>0</v>
      </c>
      <c r="O71" s="124">
        <v>0</v>
      </c>
      <c r="P71" s="314">
        <v>0</v>
      </c>
      <c r="Q71" s="124">
        <v>0</v>
      </c>
      <c r="R71" s="124">
        <v>10.36</v>
      </c>
      <c r="S71" s="124">
        <v>10.36</v>
      </c>
      <c r="T71" s="124">
        <v>10</v>
      </c>
      <c r="U71" s="124">
        <v>10</v>
      </c>
      <c r="V71" s="124">
        <v>17.29</v>
      </c>
      <c r="W71" s="124">
        <v>17.29</v>
      </c>
      <c r="X71" s="124">
        <v>1.49</v>
      </c>
      <c r="Y71" s="124">
        <v>2.62</v>
      </c>
      <c r="Z71" s="124">
        <v>2.62</v>
      </c>
      <c r="AA71" s="124">
        <v>0</v>
      </c>
      <c r="AB71" s="124">
        <v>0</v>
      </c>
      <c r="AC71" s="124">
        <v>0</v>
      </c>
      <c r="AD71" s="124">
        <v>2.78</v>
      </c>
      <c r="AE71" s="124">
        <v>2.78</v>
      </c>
      <c r="AF71" s="124">
        <v>2.75</v>
      </c>
      <c r="AG71" s="124">
        <v>2.75</v>
      </c>
      <c r="AH71" s="124">
        <v>0</v>
      </c>
      <c r="AI71" s="314">
        <v>0</v>
      </c>
      <c r="AJ71" s="124">
        <v>0</v>
      </c>
      <c r="AK71" s="272">
        <v>11.29</v>
      </c>
      <c r="AL71" s="272">
        <v>0</v>
      </c>
      <c r="AM71" s="272">
        <v>0</v>
      </c>
      <c r="AN71" s="272">
        <v>22</v>
      </c>
      <c r="AO71" s="272">
        <v>0</v>
      </c>
      <c r="AP71" s="272">
        <v>1</v>
      </c>
      <c r="AQ71" s="272">
        <v>0</v>
      </c>
      <c r="AR71" s="272"/>
      <c r="AS71" s="272"/>
      <c r="AT71" s="272"/>
      <c r="AU71" s="272"/>
      <c r="AV71" s="124"/>
      <c r="AW71" s="397"/>
      <c r="AX71" s="408">
        <f t="shared" si="5"/>
        <v>138.76000000000002</v>
      </c>
      <c r="AY71" s="269"/>
      <c r="AZ71" s="396">
        <v>37995.333333332848</v>
      </c>
      <c r="BA71" s="257">
        <v>37995.374999999513</v>
      </c>
      <c r="BB71" s="258">
        <v>9.58</v>
      </c>
      <c r="BC71" s="124">
        <v>19.690000000000001</v>
      </c>
      <c r="BD71" s="124">
        <v>0</v>
      </c>
      <c r="BE71" s="314">
        <v>0</v>
      </c>
      <c r="BF71" s="124">
        <v>0</v>
      </c>
      <c r="BG71" s="124">
        <v>0</v>
      </c>
      <c r="BH71" s="124">
        <v>0</v>
      </c>
      <c r="BI71" s="124">
        <v>0</v>
      </c>
      <c r="BJ71" s="314">
        <v>0</v>
      </c>
      <c r="BK71" s="124">
        <v>0</v>
      </c>
      <c r="BL71" s="124">
        <v>0</v>
      </c>
      <c r="BM71" s="314">
        <v>0</v>
      </c>
      <c r="BN71" s="124">
        <v>0</v>
      </c>
      <c r="BO71" s="124">
        <v>0</v>
      </c>
      <c r="BP71" s="124">
        <v>0</v>
      </c>
      <c r="BQ71" s="124">
        <v>0</v>
      </c>
      <c r="BR71" s="124">
        <v>0</v>
      </c>
      <c r="BS71" s="124">
        <v>0</v>
      </c>
      <c r="BT71" s="124">
        <v>0</v>
      </c>
      <c r="BU71" s="124">
        <v>0</v>
      </c>
      <c r="BV71" s="124">
        <v>0</v>
      </c>
      <c r="BW71" s="124">
        <v>0</v>
      </c>
      <c r="BX71" s="124">
        <v>0</v>
      </c>
      <c r="BY71" s="124">
        <v>0</v>
      </c>
      <c r="BZ71" s="124">
        <v>0</v>
      </c>
      <c r="CA71" s="124">
        <v>0</v>
      </c>
      <c r="CB71" s="124">
        <v>0</v>
      </c>
      <c r="CC71" s="124">
        <v>0</v>
      </c>
      <c r="CD71" s="124">
        <v>0</v>
      </c>
      <c r="CE71" s="124">
        <v>10.98</v>
      </c>
      <c r="CF71" s="314">
        <v>10.98</v>
      </c>
      <c r="CG71" s="124">
        <v>0</v>
      </c>
      <c r="CH71" s="272">
        <v>0</v>
      </c>
      <c r="CI71" s="272">
        <v>19</v>
      </c>
      <c r="CJ71" s="272">
        <v>5.08</v>
      </c>
      <c r="CK71" s="272">
        <v>0</v>
      </c>
      <c r="CL71" s="272">
        <v>22</v>
      </c>
      <c r="CM71" s="272">
        <v>1</v>
      </c>
      <c r="CN71" s="272">
        <v>15.84</v>
      </c>
      <c r="CO71" s="272"/>
      <c r="CP71" s="272"/>
      <c r="CQ71" s="272"/>
      <c r="CR71" s="272"/>
      <c r="CS71" s="124"/>
      <c r="CT71" s="397"/>
      <c r="CU71" s="408">
        <f t="shared" si="6"/>
        <v>114.15</v>
      </c>
      <c r="CV71" s="269"/>
      <c r="CW71" s="269"/>
      <c r="CX71" s="269"/>
      <c r="CY71" s="269"/>
      <c r="CZ71" s="269"/>
      <c r="DA71" s="269"/>
      <c r="DB71" s="269"/>
      <c r="DC71" s="269"/>
      <c r="DD71" s="269"/>
      <c r="DE71" s="269"/>
      <c r="DF71" s="269"/>
      <c r="DG71" s="269"/>
      <c r="DH71" s="269"/>
      <c r="DI71" s="269"/>
      <c r="DJ71" s="269"/>
      <c r="DK71" s="269"/>
      <c r="DL71" s="269"/>
      <c r="DM71" s="269"/>
      <c r="DN71" s="269"/>
      <c r="DO71" s="269"/>
      <c r="DP71" s="269"/>
      <c r="DQ71" s="269"/>
      <c r="DR71" s="269"/>
      <c r="DS71" s="269"/>
      <c r="DT71" s="269"/>
      <c r="DU71" s="269"/>
      <c r="DV71" s="269"/>
      <c r="DW71" s="269"/>
      <c r="DX71" s="269"/>
      <c r="DY71" s="269"/>
      <c r="DZ71" s="269"/>
      <c r="EA71" s="269"/>
      <c r="EB71" s="269"/>
    </row>
    <row r="72" spans="1:132" ht="18.75" customHeight="1">
      <c r="A72" s="82"/>
      <c r="B72" s="82"/>
      <c r="C72" s="396">
        <v>37995.374999999513</v>
      </c>
      <c r="D72" s="257">
        <v>37995.416666666177</v>
      </c>
      <c r="E72" s="258">
        <v>0</v>
      </c>
      <c r="F72" s="124">
        <v>0</v>
      </c>
      <c r="G72" s="124">
        <v>0</v>
      </c>
      <c r="H72" s="314">
        <v>11.38</v>
      </c>
      <c r="I72" s="124">
        <v>0</v>
      </c>
      <c r="J72" s="124">
        <v>0</v>
      </c>
      <c r="K72" s="124">
        <v>0</v>
      </c>
      <c r="L72" s="124">
        <v>0</v>
      </c>
      <c r="M72" s="314">
        <v>10.3</v>
      </c>
      <c r="N72" s="124">
        <v>0</v>
      </c>
      <c r="O72" s="124">
        <v>0</v>
      </c>
      <c r="P72" s="314">
        <v>10.3</v>
      </c>
      <c r="Q72" s="124">
        <v>10.1</v>
      </c>
      <c r="R72" s="124">
        <v>10.36</v>
      </c>
      <c r="S72" s="124">
        <v>10.36</v>
      </c>
      <c r="T72" s="124">
        <v>10</v>
      </c>
      <c r="U72" s="124">
        <v>6.02</v>
      </c>
      <c r="V72" s="124">
        <v>17.29</v>
      </c>
      <c r="W72" s="124">
        <v>17.29</v>
      </c>
      <c r="X72" s="124">
        <v>3.44</v>
      </c>
      <c r="Y72" s="124">
        <v>2.62</v>
      </c>
      <c r="Z72" s="124">
        <v>2.62</v>
      </c>
      <c r="AA72" s="124">
        <v>0</v>
      </c>
      <c r="AB72" s="124">
        <v>0</v>
      </c>
      <c r="AC72" s="124">
        <v>0</v>
      </c>
      <c r="AD72" s="124">
        <v>2.78</v>
      </c>
      <c r="AE72" s="124">
        <v>2.78</v>
      </c>
      <c r="AF72" s="124">
        <v>2.75</v>
      </c>
      <c r="AG72" s="124">
        <v>2.75</v>
      </c>
      <c r="AH72" s="124">
        <v>0</v>
      </c>
      <c r="AI72" s="314">
        <v>0</v>
      </c>
      <c r="AJ72" s="124">
        <v>7.5</v>
      </c>
      <c r="AK72" s="272">
        <v>0</v>
      </c>
      <c r="AL72" s="272">
        <v>0</v>
      </c>
      <c r="AM72" s="272">
        <v>2.52</v>
      </c>
      <c r="AN72" s="272">
        <v>0</v>
      </c>
      <c r="AO72" s="272">
        <v>0</v>
      </c>
      <c r="AP72" s="272">
        <v>0</v>
      </c>
      <c r="AQ72" s="272">
        <v>0</v>
      </c>
      <c r="AR72" s="272"/>
      <c r="AS72" s="272"/>
      <c r="AT72" s="272"/>
      <c r="AU72" s="272"/>
      <c r="AV72" s="124"/>
      <c r="AW72" s="397"/>
      <c r="AX72" s="408">
        <f t="shared" si="5"/>
        <v>143.16</v>
      </c>
      <c r="AY72" s="269"/>
      <c r="AZ72" s="396">
        <v>37995.374999999513</v>
      </c>
      <c r="BA72" s="257">
        <v>37995.416666666177</v>
      </c>
      <c r="BB72" s="258">
        <v>1</v>
      </c>
      <c r="BC72" s="124">
        <v>19.690000000000001</v>
      </c>
      <c r="BD72" s="124">
        <v>0</v>
      </c>
      <c r="BE72" s="314">
        <v>0</v>
      </c>
      <c r="BF72" s="124">
        <v>0</v>
      </c>
      <c r="BG72" s="124">
        <v>0</v>
      </c>
      <c r="BH72" s="124">
        <v>0</v>
      </c>
      <c r="BI72" s="124">
        <v>0</v>
      </c>
      <c r="BJ72" s="314">
        <v>0</v>
      </c>
      <c r="BK72" s="124">
        <v>0</v>
      </c>
      <c r="BL72" s="124">
        <v>0</v>
      </c>
      <c r="BM72" s="314">
        <v>0</v>
      </c>
      <c r="BN72" s="124">
        <v>0</v>
      </c>
      <c r="BO72" s="124">
        <v>0</v>
      </c>
      <c r="BP72" s="124">
        <v>0</v>
      </c>
      <c r="BQ72" s="124">
        <v>0</v>
      </c>
      <c r="BR72" s="124">
        <v>0</v>
      </c>
      <c r="BS72" s="124">
        <v>0</v>
      </c>
      <c r="BT72" s="124">
        <v>0</v>
      </c>
      <c r="BU72" s="124">
        <v>0</v>
      </c>
      <c r="BV72" s="124">
        <v>0</v>
      </c>
      <c r="BW72" s="124">
        <v>0</v>
      </c>
      <c r="BX72" s="124">
        <v>0</v>
      </c>
      <c r="BY72" s="124">
        <v>0</v>
      </c>
      <c r="BZ72" s="124">
        <v>0</v>
      </c>
      <c r="CA72" s="124">
        <v>0</v>
      </c>
      <c r="CB72" s="124">
        <v>0</v>
      </c>
      <c r="CC72" s="124">
        <v>0</v>
      </c>
      <c r="CD72" s="124">
        <v>0</v>
      </c>
      <c r="CE72" s="124">
        <v>10.98</v>
      </c>
      <c r="CF72" s="314">
        <v>10.98</v>
      </c>
      <c r="CG72" s="124">
        <v>0</v>
      </c>
      <c r="CH72" s="272">
        <v>0</v>
      </c>
      <c r="CI72" s="272">
        <v>19</v>
      </c>
      <c r="CJ72" s="272">
        <v>2.56</v>
      </c>
      <c r="CK72" s="272">
        <v>22</v>
      </c>
      <c r="CL72" s="272">
        <v>11.27</v>
      </c>
      <c r="CM72" s="272">
        <v>1</v>
      </c>
      <c r="CN72" s="272">
        <v>15.84</v>
      </c>
      <c r="CO72" s="272"/>
      <c r="CP72" s="272"/>
      <c r="CQ72" s="272"/>
      <c r="CR72" s="272"/>
      <c r="CS72" s="124"/>
      <c r="CT72" s="397"/>
      <c r="CU72" s="408">
        <f t="shared" si="6"/>
        <v>114.32000000000001</v>
      </c>
      <c r="CV72" s="269"/>
      <c r="CW72" s="269"/>
      <c r="CX72" s="269"/>
      <c r="CY72" s="269"/>
      <c r="CZ72" s="269"/>
      <c r="DA72" s="269"/>
      <c r="DB72" s="269"/>
      <c r="DC72" s="269"/>
      <c r="DD72" s="269"/>
      <c r="DE72" s="269"/>
      <c r="DF72" s="269"/>
      <c r="DG72" s="269"/>
      <c r="DH72" s="269"/>
      <c r="DI72" s="269"/>
      <c r="DJ72" s="269"/>
      <c r="DK72" s="269"/>
      <c r="DL72" s="269"/>
      <c r="DM72" s="269"/>
      <c r="DN72" s="269"/>
      <c r="DO72" s="269"/>
      <c r="DP72" s="269"/>
      <c r="DQ72" s="269"/>
      <c r="DR72" s="269"/>
      <c r="DS72" s="269"/>
      <c r="DT72" s="269"/>
      <c r="DU72" s="269"/>
      <c r="DV72" s="269"/>
      <c r="DW72" s="269"/>
      <c r="DX72" s="269"/>
      <c r="DY72" s="269"/>
      <c r="DZ72" s="269"/>
      <c r="EA72" s="269"/>
      <c r="EB72" s="269"/>
    </row>
    <row r="73" spans="1:132" ht="18.75" customHeight="1">
      <c r="A73" s="82"/>
      <c r="B73" s="82"/>
      <c r="C73" s="398">
        <v>37995.416666666177</v>
      </c>
      <c r="D73" s="260">
        <v>37995.458333332841</v>
      </c>
      <c r="E73" s="261">
        <v>0</v>
      </c>
      <c r="F73" s="125">
        <v>0</v>
      </c>
      <c r="G73" s="125">
        <v>0</v>
      </c>
      <c r="H73" s="315">
        <v>11.38</v>
      </c>
      <c r="I73" s="125">
        <v>0</v>
      </c>
      <c r="J73" s="125">
        <v>0</v>
      </c>
      <c r="K73" s="125">
        <v>0</v>
      </c>
      <c r="L73" s="125">
        <v>0</v>
      </c>
      <c r="M73" s="315">
        <v>10.3</v>
      </c>
      <c r="N73" s="125">
        <v>0</v>
      </c>
      <c r="O73" s="125">
        <v>0</v>
      </c>
      <c r="P73" s="315">
        <v>0</v>
      </c>
      <c r="Q73" s="125">
        <v>10.1</v>
      </c>
      <c r="R73" s="125">
        <v>10.36</v>
      </c>
      <c r="S73" s="125">
        <v>10.36</v>
      </c>
      <c r="T73" s="125">
        <v>10</v>
      </c>
      <c r="U73" s="125">
        <v>10</v>
      </c>
      <c r="V73" s="125">
        <v>17.29</v>
      </c>
      <c r="W73" s="125">
        <v>17.29</v>
      </c>
      <c r="X73" s="125">
        <v>8.31</v>
      </c>
      <c r="Y73" s="125">
        <v>2.62</v>
      </c>
      <c r="Z73" s="125">
        <v>2.62</v>
      </c>
      <c r="AA73" s="125">
        <v>0</v>
      </c>
      <c r="AB73" s="125">
        <v>0</v>
      </c>
      <c r="AC73" s="125">
        <v>0</v>
      </c>
      <c r="AD73" s="125">
        <v>2.78</v>
      </c>
      <c r="AE73" s="125">
        <v>2.78</v>
      </c>
      <c r="AF73" s="125">
        <v>2.75</v>
      </c>
      <c r="AG73" s="125">
        <v>2.75</v>
      </c>
      <c r="AH73" s="125">
        <v>0</v>
      </c>
      <c r="AI73" s="315">
        <v>0</v>
      </c>
      <c r="AJ73" s="125">
        <v>7.5</v>
      </c>
      <c r="AK73" s="273">
        <v>0</v>
      </c>
      <c r="AL73" s="273">
        <v>0</v>
      </c>
      <c r="AM73" s="273">
        <v>3.45</v>
      </c>
      <c r="AN73" s="273">
        <v>0</v>
      </c>
      <c r="AO73" s="273">
        <v>0</v>
      </c>
      <c r="AP73" s="273">
        <v>0</v>
      </c>
      <c r="AQ73" s="273">
        <v>0</v>
      </c>
      <c r="AR73" s="273"/>
      <c r="AS73" s="273"/>
      <c r="AT73" s="273"/>
      <c r="AU73" s="273"/>
      <c r="AV73" s="125"/>
      <c r="AW73" s="399"/>
      <c r="AX73" s="409">
        <f t="shared" si="5"/>
        <v>142.63999999999999</v>
      </c>
      <c r="AY73" s="269"/>
      <c r="AZ73" s="398">
        <v>37995.416666666177</v>
      </c>
      <c r="BA73" s="260">
        <v>37995.458333332841</v>
      </c>
      <c r="BB73" s="261">
        <v>11.8</v>
      </c>
      <c r="BC73" s="125">
        <v>19.690000000000001</v>
      </c>
      <c r="BD73" s="125">
        <v>0</v>
      </c>
      <c r="BE73" s="315">
        <v>0</v>
      </c>
      <c r="BF73" s="125">
        <v>0</v>
      </c>
      <c r="BG73" s="125">
        <v>0</v>
      </c>
      <c r="BH73" s="125">
        <v>0</v>
      </c>
      <c r="BI73" s="125">
        <v>0</v>
      </c>
      <c r="BJ73" s="315">
        <v>0</v>
      </c>
      <c r="BK73" s="125">
        <v>0</v>
      </c>
      <c r="BL73" s="125">
        <v>0</v>
      </c>
      <c r="BM73" s="315">
        <v>0</v>
      </c>
      <c r="BN73" s="125">
        <v>0</v>
      </c>
      <c r="BO73" s="125">
        <v>0</v>
      </c>
      <c r="BP73" s="125">
        <v>0</v>
      </c>
      <c r="BQ73" s="125">
        <v>0</v>
      </c>
      <c r="BR73" s="125">
        <v>0</v>
      </c>
      <c r="BS73" s="125">
        <v>0</v>
      </c>
      <c r="BT73" s="125">
        <v>0</v>
      </c>
      <c r="BU73" s="125">
        <v>0</v>
      </c>
      <c r="BV73" s="125">
        <v>0</v>
      </c>
      <c r="BW73" s="125">
        <v>0</v>
      </c>
      <c r="BX73" s="125">
        <v>0</v>
      </c>
      <c r="BY73" s="125">
        <v>0</v>
      </c>
      <c r="BZ73" s="125">
        <v>0</v>
      </c>
      <c r="CA73" s="125">
        <v>0</v>
      </c>
      <c r="CB73" s="125">
        <v>0</v>
      </c>
      <c r="CC73" s="125">
        <v>0</v>
      </c>
      <c r="CD73" s="125">
        <v>0</v>
      </c>
      <c r="CE73" s="125">
        <v>10.98</v>
      </c>
      <c r="CF73" s="315">
        <v>10.98</v>
      </c>
      <c r="CG73" s="125">
        <v>0</v>
      </c>
      <c r="CH73" s="273">
        <v>0</v>
      </c>
      <c r="CI73" s="273">
        <v>19</v>
      </c>
      <c r="CJ73" s="273">
        <v>1.63</v>
      </c>
      <c r="CK73" s="273">
        <v>22</v>
      </c>
      <c r="CL73" s="273">
        <v>1</v>
      </c>
      <c r="CM73" s="273">
        <v>1</v>
      </c>
      <c r="CN73" s="273">
        <v>15.84</v>
      </c>
      <c r="CO73" s="273"/>
      <c r="CP73" s="273"/>
      <c r="CQ73" s="273"/>
      <c r="CR73" s="273"/>
      <c r="CS73" s="125"/>
      <c r="CT73" s="399"/>
      <c r="CU73" s="409">
        <f t="shared" si="6"/>
        <v>113.92</v>
      </c>
      <c r="CV73" s="269"/>
      <c r="CW73" s="269"/>
      <c r="CX73" s="269"/>
      <c r="CY73" s="269"/>
      <c r="CZ73" s="269"/>
      <c r="DA73" s="269"/>
      <c r="DB73" s="269"/>
      <c r="DC73" s="269"/>
      <c r="DD73" s="269"/>
      <c r="DE73" s="269"/>
      <c r="DF73" s="269"/>
      <c r="DG73" s="269"/>
      <c r="DH73" s="269"/>
      <c r="DI73" s="269"/>
      <c r="DJ73" s="269"/>
      <c r="DK73" s="269"/>
      <c r="DL73" s="269"/>
      <c r="DM73" s="269"/>
      <c r="DN73" s="269"/>
      <c r="DO73" s="269"/>
      <c r="DP73" s="269"/>
      <c r="DQ73" s="269"/>
      <c r="DR73" s="269"/>
      <c r="DS73" s="269"/>
      <c r="DT73" s="269"/>
      <c r="DU73" s="269"/>
      <c r="DV73" s="269"/>
      <c r="DW73" s="269"/>
      <c r="DX73" s="269"/>
      <c r="DY73" s="269"/>
      <c r="DZ73" s="269"/>
      <c r="EA73" s="269"/>
      <c r="EB73" s="269"/>
    </row>
    <row r="74" spans="1:132" ht="18.75" customHeight="1">
      <c r="A74" s="82"/>
      <c r="B74" s="82"/>
      <c r="C74" s="398">
        <v>37995.458333332841</v>
      </c>
      <c r="D74" s="260">
        <v>37995.499999999505</v>
      </c>
      <c r="E74" s="261">
        <v>0</v>
      </c>
      <c r="F74" s="125">
        <v>0</v>
      </c>
      <c r="G74" s="125">
        <v>0</v>
      </c>
      <c r="H74" s="315">
        <v>11.38</v>
      </c>
      <c r="I74" s="125">
        <v>10.3</v>
      </c>
      <c r="J74" s="125">
        <v>0</v>
      </c>
      <c r="K74" s="125">
        <v>0</v>
      </c>
      <c r="L74" s="125">
        <v>0</v>
      </c>
      <c r="M74" s="315">
        <v>10.3</v>
      </c>
      <c r="N74" s="125">
        <v>0</v>
      </c>
      <c r="O74" s="125">
        <v>0</v>
      </c>
      <c r="P74" s="315">
        <v>10.3</v>
      </c>
      <c r="Q74" s="125">
        <v>10.1</v>
      </c>
      <c r="R74" s="125">
        <v>10.36</v>
      </c>
      <c r="S74" s="125">
        <v>10.36</v>
      </c>
      <c r="T74" s="125">
        <v>10</v>
      </c>
      <c r="U74" s="125">
        <v>10</v>
      </c>
      <c r="V74" s="125">
        <v>17.29</v>
      </c>
      <c r="W74" s="125">
        <v>17.29</v>
      </c>
      <c r="X74" s="125">
        <v>1.8</v>
      </c>
      <c r="Y74" s="125">
        <v>2.62</v>
      </c>
      <c r="Z74" s="125">
        <v>2.62</v>
      </c>
      <c r="AA74" s="125">
        <v>0</v>
      </c>
      <c r="AB74" s="125">
        <v>0</v>
      </c>
      <c r="AC74" s="125">
        <v>0</v>
      </c>
      <c r="AD74" s="125">
        <v>2.78</v>
      </c>
      <c r="AE74" s="125">
        <v>2.78</v>
      </c>
      <c r="AF74" s="125">
        <v>2.75</v>
      </c>
      <c r="AG74" s="125">
        <v>2.75</v>
      </c>
      <c r="AH74" s="125">
        <v>0</v>
      </c>
      <c r="AI74" s="315">
        <v>0</v>
      </c>
      <c r="AJ74" s="125">
        <v>0</v>
      </c>
      <c r="AK74" s="273">
        <v>0</v>
      </c>
      <c r="AL74" s="273">
        <v>0</v>
      </c>
      <c r="AM74" s="273">
        <v>0</v>
      </c>
      <c r="AN74" s="273">
        <v>0</v>
      </c>
      <c r="AO74" s="273">
        <v>0</v>
      </c>
      <c r="AP74" s="273">
        <v>0</v>
      </c>
      <c r="AQ74" s="273">
        <v>0</v>
      </c>
      <c r="AR74" s="273"/>
      <c r="AS74" s="273"/>
      <c r="AT74" s="273"/>
      <c r="AU74" s="273"/>
      <c r="AV74" s="125"/>
      <c r="AW74" s="399"/>
      <c r="AX74" s="409">
        <f t="shared" si="5"/>
        <v>145.78</v>
      </c>
      <c r="AY74" s="269"/>
      <c r="AZ74" s="398">
        <v>37995.458333332841</v>
      </c>
      <c r="BA74" s="260">
        <v>37995.499999999505</v>
      </c>
      <c r="BB74" s="261">
        <v>0</v>
      </c>
      <c r="BC74" s="125">
        <v>5.37</v>
      </c>
      <c r="BD74" s="125">
        <v>0</v>
      </c>
      <c r="BE74" s="315">
        <v>0</v>
      </c>
      <c r="BF74" s="125">
        <v>0</v>
      </c>
      <c r="BG74" s="125">
        <v>0</v>
      </c>
      <c r="BH74" s="125">
        <v>0</v>
      </c>
      <c r="BI74" s="125">
        <v>0</v>
      </c>
      <c r="BJ74" s="315">
        <v>0</v>
      </c>
      <c r="BK74" s="125">
        <v>0</v>
      </c>
      <c r="BL74" s="125">
        <v>0</v>
      </c>
      <c r="BM74" s="315">
        <v>0</v>
      </c>
      <c r="BN74" s="125">
        <v>0</v>
      </c>
      <c r="BO74" s="125">
        <v>0</v>
      </c>
      <c r="BP74" s="125">
        <v>0</v>
      </c>
      <c r="BQ74" s="125">
        <v>0</v>
      </c>
      <c r="BR74" s="125">
        <v>0</v>
      </c>
      <c r="BS74" s="125">
        <v>0</v>
      </c>
      <c r="BT74" s="125">
        <v>0</v>
      </c>
      <c r="BU74" s="125">
        <v>0</v>
      </c>
      <c r="BV74" s="125">
        <v>0</v>
      </c>
      <c r="BW74" s="125">
        <v>0</v>
      </c>
      <c r="BX74" s="125">
        <v>0</v>
      </c>
      <c r="BY74" s="125">
        <v>0</v>
      </c>
      <c r="BZ74" s="125">
        <v>0</v>
      </c>
      <c r="CA74" s="125">
        <v>0</v>
      </c>
      <c r="CB74" s="125">
        <v>0</v>
      </c>
      <c r="CC74" s="125">
        <v>0</v>
      </c>
      <c r="CD74" s="125">
        <v>0</v>
      </c>
      <c r="CE74" s="125">
        <v>10.98</v>
      </c>
      <c r="CF74" s="315">
        <v>10.98</v>
      </c>
      <c r="CG74" s="125">
        <v>0</v>
      </c>
      <c r="CH74" s="273">
        <v>0</v>
      </c>
      <c r="CI74" s="273">
        <v>19</v>
      </c>
      <c r="CJ74" s="273">
        <v>5.08</v>
      </c>
      <c r="CK74" s="273">
        <v>22</v>
      </c>
      <c r="CL74" s="273">
        <v>22</v>
      </c>
      <c r="CM74" s="273">
        <v>15.84</v>
      </c>
      <c r="CN74" s="273">
        <v>1</v>
      </c>
      <c r="CO74" s="273"/>
      <c r="CP74" s="273"/>
      <c r="CQ74" s="273"/>
      <c r="CR74" s="273"/>
      <c r="CS74" s="125"/>
      <c r="CT74" s="399"/>
      <c r="CU74" s="409">
        <f t="shared" si="6"/>
        <v>112.25</v>
      </c>
      <c r="CV74" s="269"/>
      <c r="CW74" s="269"/>
      <c r="CX74" s="269"/>
      <c r="CY74" s="269"/>
      <c r="CZ74" s="269"/>
      <c r="DA74" s="269"/>
      <c r="DB74" s="269"/>
      <c r="DC74" s="269"/>
      <c r="DD74" s="269"/>
      <c r="DE74" s="269"/>
      <c r="DF74" s="269"/>
      <c r="DG74" s="269"/>
      <c r="DH74" s="269"/>
      <c r="DI74" s="269"/>
      <c r="DJ74" s="269"/>
      <c r="DK74" s="269"/>
      <c r="DL74" s="269"/>
      <c r="DM74" s="269"/>
      <c r="DN74" s="269"/>
      <c r="DO74" s="269"/>
      <c r="DP74" s="269"/>
      <c r="DQ74" s="269"/>
      <c r="DR74" s="269"/>
      <c r="DS74" s="269"/>
      <c r="DT74" s="269"/>
      <c r="DU74" s="269"/>
      <c r="DV74" s="269"/>
      <c r="DW74" s="269"/>
      <c r="DX74" s="269"/>
      <c r="DY74" s="269"/>
      <c r="DZ74" s="269"/>
      <c r="EA74" s="269"/>
      <c r="EB74" s="269"/>
    </row>
    <row r="75" spans="1:132" ht="18.75" customHeight="1">
      <c r="A75" s="82"/>
      <c r="B75" s="82"/>
      <c r="C75" s="398">
        <v>37995.499999999505</v>
      </c>
      <c r="D75" s="260">
        <v>37995.541666666169</v>
      </c>
      <c r="E75" s="261">
        <v>0</v>
      </c>
      <c r="F75" s="125">
        <v>0</v>
      </c>
      <c r="G75" s="125">
        <v>0</v>
      </c>
      <c r="H75" s="315">
        <v>11.38</v>
      </c>
      <c r="I75" s="125">
        <v>10.3</v>
      </c>
      <c r="J75" s="125">
        <v>0</v>
      </c>
      <c r="K75" s="125">
        <v>10.3</v>
      </c>
      <c r="L75" s="125">
        <v>0</v>
      </c>
      <c r="M75" s="315">
        <v>10.3</v>
      </c>
      <c r="N75" s="125">
        <v>0</v>
      </c>
      <c r="O75" s="125">
        <v>0</v>
      </c>
      <c r="P75" s="315">
        <v>10.3</v>
      </c>
      <c r="Q75" s="125">
        <v>10.1</v>
      </c>
      <c r="R75" s="125">
        <v>10.36</v>
      </c>
      <c r="S75" s="125">
        <v>10.36</v>
      </c>
      <c r="T75" s="125">
        <v>10</v>
      </c>
      <c r="U75" s="125">
        <v>1.62</v>
      </c>
      <c r="V75" s="125">
        <v>17.29</v>
      </c>
      <c r="W75" s="125">
        <v>17.29</v>
      </c>
      <c r="X75" s="125">
        <v>1.45</v>
      </c>
      <c r="Y75" s="125">
        <v>2.62</v>
      </c>
      <c r="Z75" s="125">
        <v>2.62</v>
      </c>
      <c r="AA75" s="125">
        <v>0</v>
      </c>
      <c r="AB75" s="125">
        <v>0</v>
      </c>
      <c r="AC75" s="125">
        <v>0</v>
      </c>
      <c r="AD75" s="125">
        <v>2.78</v>
      </c>
      <c r="AE75" s="125">
        <v>2.78</v>
      </c>
      <c r="AF75" s="125">
        <v>2.75</v>
      </c>
      <c r="AG75" s="125">
        <v>2.75</v>
      </c>
      <c r="AH75" s="125">
        <v>0</v>
      </c>
      <c r="AI75" s="315">
        <v>0</v>
      </c>
      <c r="AJ75" s="125">
        <v>0</v>
      </c>
      <c r="AK75" s="273">
        <v>0</v>
      </c>
      <c r="AL75" s="273">
        <v>0</v>
      </c>
      <c r="AM75" s="273">
        <v>0</v>
      </c>
      <c r="AN75" s="273">
        <v>0</v>
      </c>
      <c r="AO75" s="273">
        <v>0</v>
      </c>
      <c r="AP75" s="273">
        <v>0</v>
      </c>
      <c r="AQ75" s="273">
        <v>0</v>
      </c>
      <c r="AR75" s="273"/>
      <c r="AS75" s="273"/>
      <c r="AT75" s="273"/>
      <c r="AU75" s="273"/>
      <c r="AV75" s="125"/>
      <c r="AW75" s="399"/>
      <c r="AX75" s="409">
        <f t="shared" si="5"/>
        <v>147.35</v>
      </c>
      <c r="AY75" s="269"/>
      <c r="AZ75" s="398">
        <v>37995.499999999505</v>
      </c>
      <c r="BA75" s="260">
        <v>37995.541666666169</v>
      </c>
      <c r="BB75" s="261">
        <v>1</v>
      </c>
      <c r="BC75" s="125">
        <v>19.690000000000001</v>
      </c>
      <c r="BD75" s="125">
        <v>0</v>
      </c>
      <c r="BE75" s="315">
        <v>0</v>
      </c>
      <c r="BF75" s="125">
        <v>0</v>
      </c>
      <c r="BG75" s="125">
        <v>0</v>
      </c>
      <c r="BH75" s="125">
        <v>0</v>
      </c>
      <c r="BI75" s="125">
        <v>0</v>
      </c>
      <c r="BJ75" s="315">
        <v>0</v>
      </c>
      <c r="BK75" s="125">
        <v>0</v>
      </c>
      <c r="BL75" s="125">
        <v>0</v>
      </c>
      <c r="BM75" s="315">
        <v>0</v>
      </c>
      <c r="BN75" s="125">
        <v>0</v>
      </c>
      <c r="BO75" s="125">
        <v>0</v>
      </c>
      <c r="BP75" s="125">
        <v>0</v>
      </c>
      <c r="BQ75" s="125">
        <v>0</v>
      </c>
      <c r="BR75" s="125">
        <v>0</v>
      </c>
      <c r="BS75" s="125">
        <v>0</v>
      </c>
      <c r="BT75" s="125">
        <v>0</v>
      </c>
      <c r="BU75" s="125">
        <v>0</v>
      </c>
      <c r="BV75" s="125">
        <v>0</v>
      </c>
      <c r="BW75" s="125">
        <v>0</v>
      </c>
      <c r="BX75" s="125">
        <v>0</v>
      </c>
      <c r="BY75" s="125">
        <v>0</v>
      </c>
      <c r="BZ75" s="125">
        <v>0</v>
      </c>
      <c r="CA75" s="125">
        <v>0</v>
      </c>
      <c r="CB75" s="125">
        <v>0</v>
      </c>
      <c r="CC75" s="125">
        <v>0</v>
      </c>
      <c r="CD75" s="125">
        <v>0</v>
      </c>
      <c r="CE75" s="125">
        <v>10.98</v>
      </c>
      <c r="CF75" s="315">
        <v>10.98</v>
      </c>
      <c r="CG75" s="125">
        <v>0</v>
      </c>
      <c r="CH75" s="273">
        <v>0</v>
      </c>
      <c r="CI75" s="273">
        <v>19</v>
      </c>
      <c r="CJ75" s="273">
        <v>5.08</v>
      </c>
      <c r="CK75" s="273">
        <v>7.62</v>
      </c>
      <c r="CL75" s="273">
        <v>22</v>
      </c>
      <c r="CM75" s="273">
        <v>15.84</v>
      </c>
      <c r="CN75" s="273">
        <v>0</v>
      </c>
      <c r="CO75" s="273"/>
      <c r="CP75" s="273"/>
      <c r="CQ75" s="273"/>
      <c r="CR75" s="273"/>
      <c r="CS75" s="125"/>
      <c r="CT75" s="399"/>
      <c r="CU75" s="409">
        <f t="shared" si="6"/>
        <v>112.19000000000001</v>
      </c>
      <c r="CV75" s="269"/>
      <c r="CW75" s="269"/>
      <c r="CX75" s="269"/>
      <c r="CY75" s="269"/>
      <c r="CZ75" s="269"/>
      <c r="DA75" s="269"/>
      <c r="DB75" s="269"/>
      <c r="DC75" s="269"/>
      <c r="DD75" s="269"/>
      <c r="DE75" s="269"/>
      <c r="DF75" s="269"/>
      <c r="DG75" s="269"/>
      <c r="DH75" s="269"/>
      <c r="DI75" s="269"/>
      <c r="DJ75" s="269"/>
      <c r="DK75" s="269"/>
      <c r="DL75" s="269"/>
      <c r="DM75" s="269"/>
      <c r="DN75" s="269"/>
      <c r="DO75" s="269"/>
      <c r="DP75" s="269"/>
      <c r="DQ75" s="269"/>
      <c r="DR75" s="269"/>
      <c r="DS75" s="269"/>
      <c r="DT75" s="269"/>
      <c r="DU75" s="269"/>
      <c r="DV75" s="269"/>
      <c r="DW75" s="269"/>
      <c r="DX75" s="269"/>
      <c r="DY75" s="269"/>
      <c r="DZ75" s="269"/>
      <c r="EA75" s="269"/>
      <c r="EB75" s="269"/>
    </row>
    <row r="76" spans="1:132" ht="18.75" customHeight="1">
      <c r="A76" s="82"/>
      <c r="B76" s="82"/>
      <c r="C76" s="396">
        <v>37995.541666666169</v>
      </c>
      <c r="D76" s="257">
        <v>37995.583333332834</v>
      </c>
      <c r="E76" s="258">
        <v>0</v>
      </c>
      <c r="F76" s="124">
        <v>0</v>
      </c>
      <c r="G76" s="124">
        <v>0</v>
      </c>
      <c r="H76" s="314">
        <v>0</v>
      </c>
      <c r="I76" s="124">
        <v>10.3</v>
      </c>
      <c r="J76" s="124">
        <v>10.3</v>
      </c>
      <c r="K76" s="124">
        <v>10.3</v>
      </c>
      <c r="L76" s="124">
        <v>10.3</v>
      </c>
      <c r="M76" s="314">
        <v>10.3</v>
      </c>
      <c r="N76" s="124">
        <v>0</v>
      </c>
      <c r="O76" s="124">
        <v>10.3</v>
      </c>
      <c r="P76" s="314">
        <v>10.3</v>
      </c>
      <c r="Q76" s="124">
        <v>10.1</v>
      </c>
      <c r="R76" s="124">
        <v>10.36</v>
      </c>
      <c r="S76" s="124">
        <v>10.36</v>
      </c>
      <c r="T76" s="124">
        <v>0</v>
      </c>
      <c r="U76" s="124">
        <v>0</v>
      </c>
      <c r="V76" s="124">
        <v>17.29</v>
      </c>
      <c r="W76" s="124">
        <v>17.29</v>
      </c>
      <c r="X76" s="124">
        <v>1.52</v>
      </c>
      <c r="Y76" s="124">
        <v>2.62</v>
      </c>
      <c r="Z76" s="124">
        <v>2.62</v>
      </c>
      <c r="AA76" s="124">
        <v>0</v>
      </c>
      <c r="AB76" s="124">
        <v>0</v>
      </c>
      <c r="AC76" s="124">
        <v>0</v>
      </c>
      <c r="AD76" s="124">
        <v>2.78</v>
      </c>
      <c r="AE76" s="124">
        <v>2.78</v>
      </c>
      <c r="AF76" s="124">
        <v>2.75</v>
      </c>
      <c r="AG76" s="124">
        <v>2.75</v>
      </c>
      <c r="AH76" s="124">
        <v>0</v>
      </c>
      <c r="AI76" s="314">
        <v>0</v>
      </c>
      <c r="AJ76" s="124">
        <v>0</v>
      </c>
      <c r="AK76" s="272">
        <v>0</v>
      </c>
      <c r="AL76" s="272">
        <v>0</v>
      </c>
      <c r="AM76" s="272">
        <v>0</v>
      </c>
      <c r="AN76" s="272">
        <v>0</v>
      </c>
      <c r="AO76" s="272">
        <v>0</v>
      </c>
      <c r="AP76" s="272">
        <v>0</v>
      </c>
      <c r="AQ76" s="272">
        <v>0</v>
      </c>
      <c r="AR76" s="272"/>
      <c r="AS76" s="272"/>
      <c r="AT76" s="272"/>
      <c r="AU76" s="272"/>
      <c r="AV76" s="124"/>
      <c r="AW76" s="397"/>
      <c r="AX76" s="408">
        <f t="shared" si="5"/>
        <v>155.32</v>
      </c>
      <c r="AY76" s="269"/>
      <c r="AZ76" s="396">
        <v>37995.541666666169</v>
      </c>
      <c r="BA76" s="257">
        <v>37995.583333332834</v>
      </c>
      <c r="BB76" s="258">
        <v>0</v>
      </c>
      <c r="BC76" s="124">
        <v>9.06</v>
      </c>
      <c r="BD76" s="124">
        <v>0</v>
      </c>
      <c r="BE76" s="314">
        <v>11.38</v>
      </c>
      <c r="BF76" s="124">
        <v>0</v>
      </c>
      <c r="BG76" s="124">
        <v>0</v>
      </c>
      <c r="BH76" s="124">
        <v>0</v>
      </c>
      <c r="BI76" s="124">
        <v>0</v>
      </c>
      <c r="BJ76" s="314">
        <v>0</v>
      </c>
      <c r="BK76" s="124">
        <v>0</v>
      </c>
      <c r="BL76" s="124">
        <v>0</v>
      </c>
      <c r="BM76" s="314">
        <v>0</v>
      </c>
      <c r="BN76" s="124">
        <v>0</v>
      </c>
      <c r="BO76" s="124">
        <v>0</v>
      </c>
      <c r="BP76" s="124">
        <v>0</v>
      </c>
      <c r="BQ76" s="124">
        <v>0</v>
      </c>
      <c r="BR76" s="124">
        <v>0</v>
      </c>
      <c r="BS76" s="124">
        <v>0</v>
      </c>
      <c r="BT76" s="124">
        <v>0</v>
      </c>
      <c r="BU76" s="124">
        <v>0</v>
      </c>
      <c r="BV76" s="124">
        <v>0</v>
      </c>
      <c r="BW76" s="124">
        <v>0</v>
      </c>
      <c r="BX76" s="124">
        <v>0</v>
      </c>
      <c r="BY76" s="124">
        <v>0</v>
      </c>
      <c r="BZ76" s="124">
        <v>0</v>
      </c>
      <c r="CA76" s="124">
        <v>0</v>
      </c>
      <c r="CB76" s="124">
        <v>0</v>
      </c>
      <c r="CC76" s="124">
        <v>0</v>
      </c>
      <c r="CD76" s="124">
        <v>0</v>
      </c>
      <c r="CE76" s="124">
        <v>10.98</v>
      </c>
      <c r="CF76" s="314">
        <v>10.98</v>
      </c>
      <c r="CG76" s="124">
        <v>0</v>
      </c>
      <c r="CH76" s="272">
        <v>0</v>
      </c>
      <c r="CI76" s="272">
        <v>19</v>
      </c>
      <c r="CJ76" s="272">
        <v>5.08</v>
      </c>
      <c r="CK76" s="272">
        <v>22</v>
      </c>
      <c r="CL76" s="272">
        <v>1</v>
      </c>
      <c r="CM76" s="272">
        <v>15.84</v>
      </c>
      <c r="CN76" s="272">
        <v>15.84</v>
      </c>
      <c r="CO76" s="272"/>
      <c r="CP76" s="272"/>
      <c r="CQ76" s="272"/>
      <c r="CR76" s="272"/>
      <c r="CS76" s="124"/>
      <c r="CT76" s="397"/>
      <c r="CU76" s="408">
        <f t="shared" si="6"/>
        <v>121.16000000000001</v>
      </c>
      <c r="CV76" s="269"/>
      <c r="CW76" s="269"/>
      <c r="CX76" s="269"/>
      <c r="CY76" s="269"/>
      <c r="CZ76" s="269"/>
      <c r="DA76" s="269"/>
      <c r="DB76" s="269"/>
      <c r="DC76" s="269"/>
      <c r="DD76" s="269"/>
      <c r="DE76" s="269"/>
      <c r="DF76" s="269"/>
      <c r="DG76" s="269"/>
      <c r="DH76" s="269"/>
      <c r="DI76" s="269"/>
      <c r="DJ76" s="269"/>
      <c r="DK76" s="269"/>
      <c r="DL76" s="269"/>
      <c r="DM76" s="269"/>
      <c r="DN76" s="269"/>
      <c r="DO76" s="269"/>
      <c r="DP76" s="269"/>
      <c r="DQ76" s="269"/>
      <c r="DR76" s="269"/>
      <c r="DS76" s="269"/>
      <c r="DT76" s="269"/>
      <c r="DU76" s="269"/>
      <c r="DV76" s="269"/>
      <c r="DW76" s="269"/>
      <c r="DX76" s="269"/>
      <c r="DY76" s="269"/>
      <c r="DZ76" s="269"/>
      <c r="EA76" s="269"/>
      <c r="EB76" s="269"/>
    </row>
    <row r="77" spans="1:132" ht="18.75" customHeight="1">
      <c r="A77" s="82"/>
      <c r="B77" s="82"/>
      <c r="C77" s="396">
        <v>37995.583333332834</v>
      </c>
      <c r="D77" s="257">
        <v>37995.624999999498</v>
      </c>
      <c r="E77" s="258">
        <v>0</v>
      </c>
      <c r="F77" s="124">
        <v>0</v>
      </c>
      <c r="G77" s="124">
        <v>0</v>
      </c>
      <c r="H77" s="314">
        <v>0</v>
      </c>
      <c r="I77" s="124">
        <v>10.3</v>
      </c>
      <c r="J77" s="124">
        <v>0</v>
      </c>
      <c r="K77" s="124">
        <v>10.3</v>
      </c>
      <c r="L77" s="124">
        <v>10.3</v>
      </c>
      <c r="M77" s="314">
        <v>0</v>
      </c>
      <c r="N77" s="124">
        <v>8.1</v>
      </c>
      <c r="O77" s="124">
        <v>10.3</v>
      </c>
      <c r="P77" s="314">
        <v>10.3</v>
      </c>
      <c r="Q77" s="124">
        <v>10.1</v>
      </c>
      <c r="R77" s="124">
        <v>10.36</v>
      </c>
      <c r="S77" s="124">
        <v>10.36</v>
      </c>
      <c r="T77" s="124">
        <v>10</v>
      </c>
      <c r="U77" s="124">
        <v>9.74</v>
      </c>
      <c r="V77" s="124">
        <v>13.93</v>
      </c>
      <c r="W77" s="124">
        <v>17.29</v>
      </c>
      <c r="X77" s="124">
        <v>0</v>
      </c>
      <c r="Y77" s="124">
        <v>2.62</v>
      </c>
      <c r="Z77" s="124">
        <v>2.62</v>
      </c>
      <c r="AA77" s="124">
        <v>0</v>
      </c>
      <c r="AB77" s="124">
        <v>0</v>
      </c>
      <c r="AC77" s="124">
        <v>0</v>
      </c>
      <c r="AD77" s="124">
        <v>2.78</v>
      </c>
      <c r="AE77" s="124">
        <v>2.78</v>
      </c>
      <c r="AF77" s="124">
        <v>2.75</v>
      </c>
      <c r="AG77" s="124">
        <v>2.75</v>
      </c>
      <c r="AH77" s="124">
        <v>0</v>
      </c>
      <c r="AI77" s="314">
        <v>0</v>
      </c>
      <c r="AJ77" s="124">
        <v>0</v>
      </c>
      <c r="AK77" s="272">
        <v>0</v>
      </c>
      <c r="AL77" s="272">
        <v>0</v>
      </c>
      <c r="AM77" s="272">
        <v>0</v>
      </c>
      <c r="AN77" s="272">
        <v>0</v>
      </c>
      <c r="AO77" s="272">
        <v>0</v>
      </c>
      <c r="AP77" s="272">
        <v>0</v>
      </c>
      <c r="AQ77" s="272">
        <v>0</v>
      </c>
      <c r="AR77" s="272"/>
      <c r="AS77" s="272"/>
      <c r="AT77" s="272"/>
      <c r="AU77" s="272"/>
      <c r="AV77" s="124"/>
      <c r="AW77" s="397"/>
      <c r="AX77" s="408">
        <f t="shared" si="5"/>
        <v>157.67999999999998</v>
      </c>
      <c r="AY77" s="269"/>
      <c r="AZ77" s="396">
        <v>37995.583333332834</v>
      </c>
      <c r="BA77" s="257">
        <v>37995.624999999498</v>
      </c>
      <c r="BB77" s="258">
        <v>0</v>
      </c>
      <c r="BC77" s="124">
        <v>4.32</v>
      </c>
      <c r="BD77" s="124">
        <v>0</v>
      </c>
      <c r="BE77" s="314">
        <v>11.38</v>
      </c>
      <c r="BF77" s="124">
        <v>0</v>
      </c>
      <c r="BG77" s="124">
        <v>0</v>
      </c>
      <c r="BH77" s="124">
        <v>0</v>
      </c>
      <c r="BI77" s="124">
        <v>0</v>
      </c>
      <c r="BJ77" s="314">
        <v>0</v>
      </c>
      <c r="BK77" s="124">
        <v>0</v>
      </c>
      <c r="BL77" s="124">
        <v>0</v>
      </c>
      <c r="BM77" s="314">
        <v>0</v>
      </c>
      <c r="BN77" s="124">
        <v>0</v>
      </c>
      <c r="BO77" s="124">
        <v>0</v>
      </c>
      <c r="BP77" s="124">
        <v>0</v>
      </c>
      <c r="BQ77" s="124">
        <v>0</v>
      </c>
      <c r="BR77" s="124">
        <v>0</v>
      </c>
      <c r="BS77" s="124">
        <v>0</v>
      </c>
      <c r="BT77" s="124">
        <v>0</v>
      </c>
      <c r="BU77" s="124">
        <v>0</v>
      </c>
      <c r="BV77" s="124">
        <v>0</v>
      </c>
      <c r="BW77" s="124">
        <v>0</v>
      </c>
      <c r="BX77" s="124">
        <v>0</v>
      </c>
      <c r="BY77" s="124">
        <v>0</v>
      </c>
      <c r="BZ77" s="124">
        <v>0</v>
      </c>
      <c r="CA77" s="124">
        <v>0</v>
      </c>
      <c r="CB77" s="124">
        <v>0</v>
      </c>
      <c r="CC77" s="124">
        <v>0</v>
      </c>
      <c r="CD77" s="124">
        <v>0</v>
      </c>
      <c r="CE77" s="124">
        <v>10.98</v>
      </c>
      <c r="CF77" s="314">
        <v>10.98</v>
      </c>
      <c r="CG77" s="124">
        <v>0</v>
      </c>
      <c r="CH77" s="272">
        <v>0</v>
      </c>
      <c r="CI77" s="272">
        <v>19</v>
      </c>
      <c r="CJ77" s="272">
        <v>5.08</v>
      </c>
      <c r="CK77" s="272">
        <v>22</v>
      </c>
      <c r="CL77" s="272">
        <v>22</v>
      </c>
      <c r="CM77" s="272">
        <v>1</v>
      </c>
      <c r="CN77" s="272">
        <v>15.84</v>
      </c>
      <c r="CO77" s="272"/>
      <c r="CP77" s="272"/>
      <c r="CQ77" s="272"/>
      <c r="CR77" s="272"/>
      <c r="CS77" s="124"/>
      <c r="CT77" s="397"/>
      <c r="CU77" s="408">
        <f t="shared" si="6"/>
        <v>122.58</v>
      </c>
      <c r="CV77" s="269"/>
      <c r="CW77" s="269"/>
      <c r="CX77" s="269"/>
      <c r="CY77" s="269"/>
      <c r="CZ77" s="269"/>
      <c r="DA77" s="269"/>
      <c r="DB77" s="269"/>
      <c r="DC77" s="269"/>
      <c r="DD77" s="269"/>
      <c r="DE77" s="269"/>
      <c r="DF77" s="269"/>
      <c r="DG77" s="269"/>
      <c r="DH77" s="269"/>
      <c r="DI77" s="269"/>
      <c r="DJ77" s="269"/>
      <c r="DK77" s="269"/>
      <c r="DL77" s="269"/>
      <c r="DM77" s="269"/>
      <c r="DN77" s="269"/>
      <c r="DO77" s="269"/>
      <c r="DP77" s="269"/>
      <c r="DQ77" s="269"/>
      <c r="DR77" s="269"/>
      <c r="DS77" s="269"/>
      <c r="DT77" s="269"/>
      <c r="DU77" s="269"/>
      <c r="DV77" s="269"/>
      <c r="DW77" s="269"/>
      <c r="DX77" s="269"/>
      <c r="DY77" s="269"/>
      <c r="DZ77" s="269"/>
      <c r="EA77" s="269"/>
      <c r="EB77" s="269"/>
    </row>
    <row r="78" spans="1:132" ht="18.75" customHeight="1">
      <c r="A78" s="82"/>
      <c r="B78" s="82"/>
      <c r="C78" s="396">
        <v>37995.624999999498</v>
      </c>
      <c r="D78" s="257">
        <v>37995.666666666162</v>
      </c>
      <c r="E78" s="258">
        <v>0</v>
      </c>
      <c r="F78" s="124">
        <v>0</v>
      </c>
      <c r="G78" s="124">
        <v>0</v>
      </c>
      <c r="H78" s="314">
        <v>0</v>
      </c>
      <c r="I78" s="124">
        <v>10.3</v>
      </c>
      <c r="J78" s="124">
        <v>10.3</v>
      </c>
      <c r="K78" s="124">
        <v>10.3</v>
      </c>
      <c r="L78" s="124">
        <v>8.1</v>
      </c>
      <c r="M78" s="314">
        <v>10.3</v>
      </c>
      <c r="N78" s="124">
        <v>0</v>
      </c>
      <c r="O78" s="124">
        <v>10.3</v>
      </c>
      <c r="P78" s="314">
        <v>10.3</v>
      </c>
      <c r="Q78" s="124">
        <v>10.1</v>
      </c>
      <c r="R78" s="124">
        <v>10.36</v>
      </c>
      <c r="S78" s="124">
        <v>10.36</v>
      </c>
      <c r="T78" s="124">
        <v>10</v>
      </c>
      <c r="U78" s="124">
        <v>9.74</v>
      </c>
      <c r="V78" s="124">
        <v>0</v>
      </c>
      <c r="W78" s="124">
        <v>8.15</v>
      </c>
      <c r="X78" s="124">
        <v>0</v>
      </c>
      <c r="Y78" s="124">
        <v>2.62</v>
      </c>
      <c r="Z78" s="124">
        <v>2.62</v>
      </c>
      <c r="AA78" s="124">
        <v>3.67</v>
      </c>
      <c r="AB78" s="124">
        <v>3.67</v>
      </c>
      <c r="AC78" s="124">
        <v>3.67</v>
      </c>
      <c r="AD78" s="124">
        <v>2.78</v>
      </c>
      <c r="AE78" s="124">
        <v>2.78</v>
      </c>
      <c r="AF78" s="124">
        <v>2.75</v>
      </c>
      <c r="AG78" s="124">
        <v>2.75</v>
      </c>
      <c r="AH78" s="124">
        <v>0</v>
      </c>
      <c r="AI78" s="314">
        <v>0</v>
      </c>
      <c r="AJ78" s="124">
        <v>0</v>
      </c>
      <c r="AK78" s="272">
        <v>0</v>
      </c>
      <c r="AL78" s="272">
        <v>0</v>
      </c>
      <c r="AM78" s="272">
        <v>0</v>
      </c>
      <c r="AN78" s="272">
        <v>0</v>
      </c>
      <c r="AO78" s="272">
        <v>0</v>
      </c>
      <c r="AP78" s="272">
        <v>0</v>
      </c>
      <c r="AQ78" s="272">
        <v>0</v>
      </c>
      <c r="AR78" s="272"/>
      <c r="AS78" s="272"/>
      <c r="AT78" s="272"/>
      <c r="AU78" s="272"/>
      <c r="AV78" s="124"/>
      <c r="AW78" s="397"/>
      <c r="AX78" s="408">
        <f t="shared" si="5"/>
        <v>155.91999999999996</v>
      </c>
      <c r="AY78" s="269"/>
      <c r="AZ78" s="396">
        <v>37995.624999999498</v>
      </c>
      <c r="BA78" s="257">
        <v>37995.666666666162</v>
      </c>
      <c r="BB78" s="258">
        <v>4.71</v>
      </c>
      <c r="BC78" s="124">
        <v>19.690000000000001</v>
      </c>
      <c r="BD78" s="124">
        <v>0</v>
      </c>
      <c r="BE78" s="314">
        <v>11.38</v>
      </c>
      <c r="BF78" s="124">
        <v>0</v>
      </c>
      <c r="BG78" s="124">
        <v>0</v>
      </c>
      <c r="BH78" s="124">
        <v>0</v>
      </c>
      <c r="BI78" s="124">
        <v>0</v>
      </c>
      <c r="BJ78" s="314">
        <v>0</v>
      </c>
      <c r="BK78" s="124">
        <v>0</v>
      </c>
      <c r="BL78" s="124">
        <v>0</v>
      </c>
      <c r="BM78" s="314">
        <v>0</v>
      </c>
      <c r="BN78" s="124">
        <v>0</v>
      </c>
      <c r="BO78" s="124">
        <v>0</v>
      </c>
      <c r="BP78" s="124">
        <v>0</v>
      </c>
      <c r="BQ78" s="124">
        <v>0</v>
      </c>
      <c r="BR78" s="124">
        <v>0</v>
      </c>
      <c r="BS78" s="124">
        <v>0</v>
      </c>
      <c r="BT78" s="124">
        <v>0</v>
      </c>
      <c r="BU78" s="124">
        <v>0</v>
      </c>
      <c r="BV78" s="124">
        <v>0</v>
      </c>
      <c r="BW78" s="124">
        <v>0</v>
      </c>
      <c r="BX78" s="124">
        <v>0</v>
      </c>
      <c r="BY78" s="124">
        <v>0</v>
      </c>
      <c r="BZ78" s="124">
        <v>0</v>
      </c>
      <c r="CA78" s="124">
        <v>0</v>
      </c>
      <c r="CB78" s="124">
        <v>0</v>
      </c>
      <c r="CC78" s="124">
        <v>0</v>
      </c>
      <c r="CD78" s="124">
        <v>0</v>
      </c>
      <c r="CE78" s="124">
        <v>10.98</v>
      </c>
      <c r="CF78" s="314">
        <v>10.98</v>
      </c>
      <c r="CG78" s="124">
        <v>0</v>
      </c>
      <c r="CH78" s="272">
        <v>0</v>
      </c>
      <c r="CI78" s="272">
        <v>19</v>
      </c>
      <c r="CJ78" s="272">
        <v>5.08</v>
      </c>
      <c r="CK78" s="272">
        <v>22</v>
      </c>
      <c r="CL78" s="272">
        <v>22</v>
      </c>
      <c r="CM78" s="272">
        <v>1</v>
      </c>
      <c r="CN78" s="272">
        <v>0</v>
      </c>
      <c r="CO78" s="272"/>
      <c r="CP78" s="272"/>
      <c r="CQ78" s="272"/>
      <c r="CR78" s="272"/>
      <c r="CS78" s="124"/>
      <c r="CT78" s="397"/>
      <c r="CU78" s="408">
        <f t="shared" si="6"/>
        <v>126.82000000000001</v>
      </c>
      <c r="CV78" s="269"/>
      <c r="CW78" s="269"/>
      <c r="CX78" s="269"/>
      <c r="CY78" s="269"/>
      <c r="CZ78" s="269"/>
      <c r="DA78" s="269"/>
      <c r="DB78" s="269"/>
      <c r="DC78" s="269"/>
      <c r="DD78" s="269"/>
      <c r="DE78" s="269"/>
      <c r="DF78" s="269"/>
      <c r="DG78" s="269"/>
      <c r="DH78" s="269"/>
      <c r="DI78" s="269"/>
      <c r="DJ78" s="269"/>
      <c r="DK78" s="269"/>
      <c r="DL78" s="269"/>
      <c r="DM78" s="269"/>
      <c r="DN78" s="269"/>
      <c r="DO78" s="269"/>
      <c r="DP78" s="269"/>
      <c r="DQ78" s="269"/>
      <c r="DR78" s="269"/>
      <c r="DS78" s="269"/>
      <c r="DT78" s="269"/>
      <c r="DU78" s="269"/>
      <c r="DV78" s="269"/>
      <c r="DW78" s="269"/>
      <c r="DX78" s="269"/>
      <c r="DY78" s="269"/>
      <c r="DZ78" s="269"/>
      <c r="EA78" s="269"/>
      <c r="EB78" s="269"/>
    </row>
    <row r="79" spans="1:132" ht="18.75" customHeight="1">
      <c r="A79" s="82"/>
      <c r="B79" s="82"/>
      <c r="C79" s="396">
        <v>37995.666666666162</v>
      </c>
      <c r="D79" s="257">
        <v>37995.708333332826</v>
      </c>
      <c r="E79" s="258">
        <v>0</v>
      </c>
      <c r="F79" s="124">
        <v>0</v>
      </c>
      <c r="G79" s="124">
        <v>0</v>
      </c>
      <c r="H79" s="314">
        <v>0</v>
      </c>
      <c r="I79" s="124">
        <v>9.3000000000000007</v>
      </c>
      <c r="J79" s="124">
        <v>1</v>
      </c>
      <c r="K79" s="124">
        <v>8.7200000000000006</v>
      </c>
      <c r="L79" s="124">
        <v>8.1</v>
      </c>
      <c r="M79" s="314">
        <v>9.3000000000000007</v>
      </c>
      <c r="N79" s="124">
        <v>0</v>
      </c>
      <c r="O79" s="124">
        <v>9.3000000000000007</v>
      </c>
      <c r="P79" s="314">
        <v>5.48</v>
      </c>
      <c r="Q79" s="124">
        <v>10.1</v>
      </c>
      <c r="R79" s="124">
        <v>10.36</v>
      </c>
      <c r="S79" s="124">
        <v>10.36</v>
      </c>
      <c r="T79" s="124">
        <v>10</v>
      </c>
      <c r="U79" s="124">
        <v>10</v>
      </c>
      <c r="V79" s="124">
        <v>0</v>
      </c>
      <c r="W79" s="124">
        <v>0</v>
      </c>
      <c r="X79" s="124">
        <v>0</v>
      </c>
      <c r="Y79" s="124">
        <v>2.62</v>
      </c>
      <c r="Z79" s="124">
        <v>2.62</v>
      </c>
      <c r="AA79" s="124">
        <v>3.67</v>
      </c>
      <c r="AB79" s="124">
        <v>3.67</v>
      </c>
      <c r="AC79" s="124">
        <v>3.67</v>
      </c>
      <c r="AD79" s="124">
        <v>2.78</v>
      </c>
      <c r="AE79" s="124">
        <v>2.78</v>
      </c>
      <c r="AF79" s="124">
        <v>2.75</v>
      </c>
      <c r="AG79" s="124">
        <v>2.75</v>
      </c>
      <c r="AH79" s="124">
        <v>0</v>
      </c>
      <c r="AI79" s="314">
        <v>0</v>
      </c>
      <c r="AJ79" s="124">
        <v>0</v>
      </c>
      <c r="AK79" s="272">
        <v>0</v>
      </c>
      <c r="AL79" s="272">
        <v>0</v>
      </c>
      <c r="AM79" s="272">
        <v>0</v>
      </c>
      <c r="AN79" s="272">
        <v>0</v>
      </c>
      <c r="AO79" s="272">
        <v>0</v>
      </c>
      <c r="AP79" s="272">
        <v>0</v>
      </c>
      <c r="AQ79" s="272">
        <v>0</v>
      </c>
      <c r="AR79" s="272"/>
      <c r="AS79" s="272"/>
      <c r="AT79" s="272"/>
      <c r="AU79" s="272"/>
      <c r="AV79" s="124"/>
      <c r="AW79" s="397"/>
      <c r="AX79" s="408">
        <f t="shared" si="5"/>
        <v>129.33000000000001</v>
      </c>
      <c r="AY79" s="269"/>
      <c r="AZ79" s="396">
        <v>37995.666666666162</v>
      </c>
      <c r="BA79" s="257">
        <v>37995.708333332826</v>
      </c>
      <c r="BB79" s="258">
        <v>0</v>
      </c>
      <c r="BC79" s="124">
        <v>5.08</v>
      </c>
      <c r="BD79" s="124">
        <v>0</v>
      </c>
      <c r="BE79" s="314">
        <v>11.38</v>
      </c>
      <c r="BF79" s="124">
        <v>1</v>
      </c>
      <c r="BG79" s="124">
        <v>9.3000000000000007</v>
      </c>
      <c r="BH79" s="124">
        <v>1.58</v>
      </c>
      <c r="BI79" s="124">
        <v>2.2000000000000002</v>
      </c>
      <c r="BJ79" s="314">
        <v>1</v>
      </c>
      <c r="BK79" s="124">
        <v>8.1</v>
      </c>
      <c r="BL79" s="124">
        <v>1</v>
      </c>
      <c r="BM79" s="314">
        <v>4.82</v>
      </c>
      <c r="BN79" s="124">
        <v>0</v>
      </c>
      <c r="BO79" s="124">
        <v>0</v>
      </c>
      <c r="BP79" s="124">
        <v>0</v>
      </c>
      <c r="BQ79" s="124">
        <v>0</v>
      </c>
      <c r="BR79" s="124">
        <v>0</v>
      </c>
      <c r="BS79" s="124">
        <v>0</v>
      </c>
      <c r="BT79" s="124">
        <v>0</v>
      </c>
      <c r="BU79" s="124">
        <v>0</v>
      </c>
      <c r="BV79" s="124">
        <v>0</v>
      </c>
      <c r="BW79" s="124">
        <v>0</v>
      </c>
      <c r="BX79" s="124">
        <v>0</v>
      </c>
      <c r="BY79" s="124">
        <v>0</v>
      </c>
      <c r="BZ79" s="124">
        <v>0</v>
      </c>
      <c r="CA79" s="124">
        <v>0</v>
      </c>
      <c r="CB79" s="124">
        <v>0</v>
      </c>
      <c r="CC79" s="124">
        <v>0</v>
      </c>
      <c r="CD79" s="124">
        <v>0</v>
      </c>
      <c r="CE79" s="124">
        <v>10.98</v>
      </c>
      <c r="CF79" s="314">
        <v>10.98</v>
      </c>
      <c r="CG79" s="124">
        <v>0</v>
      </c>
      <c r="CH79" s="272">
        <v>0</v>
      </c>
      <c r="CI79" s="272">
        <v>19</v>
      </c>
      <c r="CJ79" s="272">
        <v>0</v>
      </c>
      <c r="CK79" s="272">
        <v>4.84</v>
      </c>
      <c r="CL79" s="272">
        <v>22</v>
      </c>
      <c r="CM79" s="272">
        <v>0</v>
      </c>
      <c r="CN79" s="272">
        <v>15.84</v>
      </c>
      <c r="CO79" s="272"/>
      <c r="CP79" s="272"/>
      <c r="CQ79" s="272"/>
      <c r="CR79" s="272"/>
      <c r="CS79" s="124"/>
      <c r="CT79" s="397"/>
      <c r="CU79" s="408">
        <f t="shared" si="6"/>
        <v>129.1</v>
      </c>
      <c r="CV79" s="269"/>
      <c r="CW79" s="269"/>
      <c r="CX79" s="269"/>
      <c r="CY79" s="269"/>
      <c r="CZ79" s="269"/>
      <c r="DA79" s="269"/>
      <c r="DB79" s="269"/>
      <c r="DC79" s="269"/>
      <c r="DD79" s="269"/>
      <c r="DE79" s="269"/>
      <c r="DF79" s="269"/>
      <c r="DG79" s="269"/>
      <c r="DH79" s="269"/>
      <c r="DI79" s="269"/>
      <c r="DJ79" s="269"/>
      <c r="DK79" s="269"/>
      <c r="DL79" s="269"/>
      <c r="DM79" s="269"/>
      <c r="DN79" s="269"/>
      <c r="DO79" s="269"/>
      <c r="DP79" s="269"/>
      <c r="DQ79" s="269"/>
      <c r="DR79" s="269"/>
      <c r="DS79" s="269"/>
      <c r="DT79" s="269"/>
      <c r="DU79" s="269"/>
      <c r="DV79" s="269"/>
      <c r="DW79" s="269"/>
      <c r="DX79" s="269"/>
      <c r="DY79" s="269"/>
      <c r="DZ79" s="269"/>
      <c r="EA79" s="269"/>
      <c r="EB79" s="269"/>
    </row>
    <row r="80" spans="1:132" ht="18.75" customHeight="1">
      <c r="A80" s="82"/>
      <c r="B80" s="82"/>
      <c r="C80" s="396">
        <v>37995.708333332826</v>
      </c>
      <c r="D80" s="257">
        <v>37995.749999999491</v>
      </c>
      <c r="E80" s="258">
        <v>0</v>
      </c>
      <c r="F80" s="124">
        <v>0</v>
      </c>
      <c r="G80" s="124">
        <v>0</v>
      </c>
      <c r="H80" s="314">
        <v>0</v>
      </c>
      <c r="I80" s="124">
        <v>9.3000000000000007</v>
      </c>
      <c r="J80" s="124">
        <v>1</v>
      </c>
      <c r="K80" s="124">
        <v>8.7200000000000006</v>
      </c>
      <c r="L80" s="124">
        <v>8.1</v>
      </c>
      <c r="M80" s="314">
        <v>9.3000000000000007</v>
      </c>
      <c r="N80" s="124">
        <v>1</v>
      </c>
      <c r="O80" s="124">
        <v>9.3000000000000007</v>
      </c>
      <c r="P80" s="314">
        <v>5.48</v>
      </c>
      <c r="Q80" s="124">
        <v>10.1</v>
      </c>
      <c r="R80" s="124">
        <v>10.36</v>
      </c>
      <c r="S80" s="124">
        <v>10.36</v>
      </c>
      <c r="T80" s="124">
        <v>10</v>
      </c>
      <c r="U80" s="124">
        <v>10</v>
      </c>
      <c r="V80" s="124">
        <v>0</v>
      </c>
      <c r="W80" s="124">
        <v>0</v>
      </c>
      <c r="X80" s="124">
        <v>0</v>
      </c>
      <c r="Y80" s="124">
        <v>2.62</v>
      </c>
      <c r="Z80" s="124">
        <v>2.62</v>
      </c>
      <c r="AA80" s="124">
        <v>3.67</v>
      </c>
      <c r="AB80" s="124">
        <v>3.67</v>
      </c>
      <c r="AC80" s="124">
        <v>3.67</v>
      </c>
      <c r="AD80" s="124">
        <v>2.78</v>
      </c>
      <c r="AE80" s="124">
        <v>2.78</v>
      </c>
      <c r="AF80" s="124">
        <v>2.75</v>
      </c>
      <c r="AG80" s="124">
        <v>2.75</v>
      </c>
      <c r="AH80" s="124">
        <v>0</v>
      </c>
      <c r="AI80" s="314">
        <v>0</v>
      </c>
      <c r="AJ80" s="124">
        <v>0</v>
      </c>
      <c r="AK80" s="272">
        <v>0</v>
      </c>
      <c r="AL80" s="272">
        <v>0</v>
      </c>
      <c r="AM80" s="272">
        <v>0</v>
      </c>
      <c r="AN80" s="272">
        <v>0</v>
      </c>
      <c r="AO80" s="272">
        <v>0</v>
      </c>
      <c r="AP80" s="272">
        <v>0</v>
      </c>
      <c r="AQ80" s="272">
        <v>0</v>
      </c>
      <c r="AR80" s="272"/>
      <c r="AS80" s="272"/>
      <c r="AT80" s="272"/>
      <c r="AU80" s="272"/>
      <c r="AV80" s="124"/>
      <c r="AW80" s="397"/>
      <c r="AX80" s="408">
        <f t="shared" si="5"/>
        <v>130.33000000000001</v>
      </c>
      <c r="AY80" s="269"/>
      <c r="AZ80" s="396">
        <v>37995.708333332826</v>
      </c>
      <c r="BA80" s="257">
        <v>37995.749999999491</v>
      </c>
      <c r="BB80" s="258">
        <v>0</v>
      </c>
      <c r="BC80" s="124">
        <v>1</v>
      </c>
      <c r="BD80" s="124">
        <v>0</v>
      </c>
      <c r="BE80" s="314">
        <v>11.38</v>
      </c>
      <c r="BF80" s="124">
        <v>1</v>
      </c>
      <c r="BG80" s="124">
        <v>9.3000000000000007</v>
      </c>
      <c r="BH80" s="124">
        <v>1.58</v>
      </c>
      <c r="BI80" s="124">
        <v>2.2000000000000002</v>
      </c>
      <c r="BJ80" s="314">
        <v>1</v>
      </c>
      <c r="BK80" s="124">
        <v>7.1</v>
      </c>
      <c r="BL80" s="124">
        <v>1</v>
      </c>
      <c r="BM80" s="314">
        <v>4.82</v>
      </c>
      <c r="BN80" s="124">
        <v>0</v>
      </c>
      <c r="BO80" s="124">
        <v>0</v>
      </c>
      <c r="BP80" s="124">
        <v>0</v>
      </c>
      <c r="BQ80" s="124">
        <v>0</v>
      </c>
      <c r="BR80" s="124">
        <v>0</v>
      </c>
      <c r="BS80" s="124">
        <v>0</v>
      </c>
      <c r="BT80" s="124">
        <v>0</v>
      </c>
      <c r="BU80" s="124">
        <v>0</v>
      </c>
      <c r="BV80" s="124">
        <v>0</v>
      </c>
      <c r="BW80" s="124">
        <v>0</v>
      </c>
      <c r="BX80" s="124">
        <v>0</v>
      </c>
      <c r="BY80" s="124">
        <v>0</v>
      </c>
      <c r="BZ80" s="124">
        <v>0</v>
      </c>
      <c r="CA80" s="124">
        <v>0</v>
      </c>
      <c r="CB80" s="124">
        <v>0</v>
      </c>
      <c r="CC80" s="124">
        <v>0</v>
      </c>
      <c r="CD80" s="124">
        <v>0</v>
      </c>
      <c r="CE80" s="124">
        <v>10.98</v>
      </c>
      <c r="CF80" s="314">
        <v>10.98</v>
      </c>
      <c r="CG80" s="124">
        <v>0</v>
      </c>
      <c r="CH80" s="272">
        <v>0</v>
      </c>
      <c r="CI80" s="272">
        <v>19</v>
      </c>
      <c r="CJ80" s="272">
        <v>5.08</v>
      </c>
      <c r="CK80" s="272">
        <v>21.29</v>
      </c>
      <c r="CL80" s="272">
        <v>22</v>
      </c>
      <c r="CM80" s="272">
        <v>0</v>
      </c>
      <c r="CN80" s="272">
        <v>0</v>
      </c>
      <c r="CO80" s="272"/>
      <c r="CP80" s="272"/>
      <c r="CQ80" s="272"/>
      <c r="CR80" s="272"/>
      <c r="CS80" s="124"/>
      <c r="CT80" s="397"/>
      <c r="CU80" s="408">
        <f t="shared" si="6"/>
        <v>129.71</v>
      </c>
      <c r="CV80" s="269"/>
      <c r="CW80" s="269"/>
      <c r="CX80" s="269"/>
      <c r="CY80" s="269"/>
      <c r="CZ80" s="269"/>
      <c r="DA80" s="269"/>
      <c r="DB80" s="269"/>
      <c r="DC80" s="269"/>
      <c r="DD80" s="269"/>
      <c r="DE80" s="269"/>
      <c r="DF80" s="269"/>
      <c r="DG80" s="269"/>
      <c r="DH80" s="269"/>
      <c r="DI80" s="269"/>
      <c r="DJ80" s="269"/>
      <c r="DK80" s="269"/>
      <c r="DL80" s="269"/>
      <c r="DM80" s="269"/>
      <c r="DN80" s="269"/>
      <c r="DO80" s="269"/>
      <c r="DP80" s="269"/>
      <c r="DQ80" s="269"/>
      <c r="DR80" s="269"/>
      <c r="DS80" s="269"/>
      <c r="DT80" s="269"/>
      <c r="DU80" s="269"/>
      <c r="DV80" s="269"/>
      <c r="DW80" s="269"/>
      <c r="DX80" s="269"/>
      <c r="DY80" s="269"/>
      <c r="DZ80" s="269"/>
      <c r="EA80" s="269"/>
      <c r="EB80" s="269"/>
    </row>
    <row r="81" spans="1:132" ht="18.75" customHeight="1">
      <c r="A81" s="82"/>
      <c r="B81" s="82"/>
      <c r="C81" s="398">
        <v>37995.749999999491</v>
      </c>
      <c r="D81" s="260">
        <v>37995.791666666155</v>
      </c>
      <c r="E81" s="261">
        <v>10</v>
      </c>
      <c r="F81" s="125">
        <v>0</v>
      </c>
      <c r="G81" s="125">
        <v>10</v>
      </c>
      <c r="H81" s="315">
        <v>0</v>
      </c>
      <c r="I81" s="125">
        <v>9.3000000000000007</v>
      </c>
      <c r="J81" s="125">
        <v>1</v>
      </c>
      <c r="K81" s="125">
        <v>8.7200000000000006</v>
      </c>
      <c r="L81" s="125">
        <v>8.1</v>
      </c>
      <c r="M81" s="315">
        <v>9.3000000000000007</v>
      </c>
      <c r="N81" s="125">
        <v>1</v>
      </c>
      <c r="O81" s="125">
        <v>4.79</v>
      </c>
      <c r="P81" s="315">
        <v>5.48</v>
      </c>
      <c r="Q81" s="125">
        <v>10.1</v>
      </c>
      <c r="R81" s="125">
        <v>10.36</v>
      </c>
      <c r="S81" s="125">
        <v>10.36</v>
      </c>
      <c r="T81" s="125">
        <v>0</v>
      </c>
      <c r="U81" s="125">
        <v>0</v>
      </c>
      <c r="V81" s="125">
        <v>0</v>
      </c>
      <c r="W81" s="125">
        <v>0</v>
      </c>
      <c r="X81" s="125">
        <v>0</v>
      </c>
      <c r="Y81" s="125">
        <v>2.62</v>
      </c>
      <c r="Z81" s="125">
        <v>2.62</v>
      </c>
      <c r="AA81" s="125">
        <v>3.67</v>
      </c>
      <c r="AB81" s="125">
        <v>3.67</v>
      </c>
      <c r="AC81" s="125">
        <v>3.67</v>
      </c>
      <c r="AD81" s="125">
        <v>2.78</v>
      </c>
      <c r="AE81" s="125">
        <v>2.78</v>
      </c>
      <c r="AF81" s="125">
        <v>2.75</v>
      </c>
      <c r="AG81" s="125">
        <v>2.75</v>
      </c>
      <c r="AH81" s="125">
        <v>0</v>
      </c>
      <c r="AI81" s="315">
        <v>0</v>
      </c>
      <c r="AJ81" s="125">
        <v>0</v>
      </c>
      <c r="AK81" s="273">
        <v>0</v>
      </c>
      <c r="AL81" s="273">
        <v>0</v>
      </c>
      <c r="AM81" s="273">
        <v>0</v>
      </c>
      <c r="AN81" s="273">
        <v>0</v>
      </c>
      <c r="AO81" s="273">
        <v>0</v>
      </c>
      <c r="AP81" s="273">
        <v>0</v>
      </c>
      <c r="AQ81" s="273">
        <v>0</v>
      </c>
      <c r="AR81" s="273"/>
      <c r="AS81" s="273"/>
      <c r="AT81" s="273"/>
      <c r="AU81" s="273"/>
      <c r="AV81" s="125"/>
      <c r="AW81" s="399"/>
      <c r="AX81" s="409">
        <f t="shared" si="5"/>
        <v>125.82000000000001</v>
      </c>
      <c r="AY81" s="269"/>
      <c r="AZ81" s="398">
        <v>37995.749999999491</v>
      </c>
      <c r="BA81" s="260">
        <v>37995.791666666155</v>
      </c>
      <c r="BB81" s="261">
        <v>7.35</v>
      </c>
      <c r="BC81" s="125">
        <v>19.690000000000001</v>
      </c>
      <c r="BD81" s="125">
        <v>0</v>
      </c>
      <c r="BE81" s="315">
        <v>11.38</v>
      </c>
      <c r="BF81" s="125">
        <v>1</v>
      </c>
      <c r="BG81" s="125">
        <v>9.3000000000000007</v>
      </c>
      <c r="BH81" s="125">
        <v>1.58</v>
      </c>
      <c r="BI81" s="125">
        <v>2.2000000000000002</v>
      </c>
      <c r="BJ81" s="315">
        <v>1</v>
      </c>
      <c r="BK81" s="125">
        <v>7.1</v>
      </c>
      <c r="BL81" s="125">
        <v>5.51</v>
      </c>
      <c r="BM81" s="315">
        <v>4.82</v>
      </c>
      <c r="BN81" s="125">
        <v>0</v>
      </c>
      <c r="BO81" s="125">
        <v>0</v>
      </c>
      <c r="BP81" s="125">
        <v>0</v>
      </c>
      <c r="BQ81" s="125">
        <v>0</v>
      </c>
      <c r="BR81" s="125">
        <v>0</v>
      </c>
      <c r="BS81" s="125">
        <v>0</v>
      </c>
      <c r="BT81" s="125">
        <v>0</v>
      </c>
      <c r="BU81" s="125">
        <v>0</v>
      </c>
      <c r="BV81" s="125">
        <v>0</v>
      </c>
      <c r="BW81" s="125">
        <v>0</v>
      </c>
      <c r="BX81" s="125">
        <v>0</v>
      </c>
      <c r="BY81" s="125">
        <v>0</v>
      </c>
      <c r="BZ81" s="125">
        <v>0</v>
      </c>
      <c r="CA81" s="125">
        <v>0</v>
      </c>
      <c r="CB81" s="125">
        <v>0</v>
      </c>
      <c r="CC81" s="125">
        <v>0</v>
      </c>
      <c r="CD81" s="125">
        <v>0</v>
      </c>
      <c r="CE81" s="125">
        <v>10.98</v>
      </c>
      <c r="CF81" s="315">
        <v>10.98</v>
      </c>
      <c r="CG81" s="125">
        <v>0</v>
      </c>
      <c r="CH81" s="273">
        <v>0</v>
      </c>
      <c r="CI81" s="273">
        <v>19</v>
      </c>
      <c r="CJ81" s="273">
        <v>5.08</v>
      </c>
      <c r="CK81" s="273">
        <v>1</v>
      </c>
      <c r="CL81" s="273">
        <v>22</v>
      </c>
      <c r="CM81" s="273">
        <v>1</v>
      </c>
      <c r="CN81" s="273">
        <v>15.84</v>
      </c>
      <c r="CO81" s="273"/>
      <c r="CP81" s="273"/>
      <c r="CQ81" s="273"/>
      <c r="CR81" s="273"/>
      <c r="CS81" s="125"/>
      <c r="CT81" s="399"/>
      <c r="CU81" s="409">
        <f t="shared" si="6"/>
        <v>156.81000000000003</v>
      </c>
      <c r="CV81" s="269"/>
      <c r="CW81" s="269"/>
      <c r="CX81" s="269"/>
      <c r="CY81" s="269"/>
      <c r="CZ81" s="269"/>
      <c r="DA81" s="269"/>
      <c r="DB81" s="269"/>
      <c r="DC81" s="269"/>
      <c r="DD81" s="269"/>
      <c r="DE81" s="269"/>
      <c r="DF81" s="269"/>
      <c r="DG81" s="269"/>
      <c r="DH81" s="269"/>
      <c r="DI81" s="269"/>
      <c r="DJ81" s="269"/>
      <c r="DK81" s="269"/>
      <c r="DL81" s="269"/>
      <c r="DM81" s="269"/>
      <c r="DN81" s="269"/>
      <c r="DO81" s="269"/>
      <c r="DP81" s="269"/>
      <c r="DQ81" s="269"/>
      <c r="DR81" s="269"/>
      <c r="DS81" s="269"/>
      <c r="DT81" s="269"/>
      <c r="DU81" s="269"/>
      <c r="DV81" s="269"/>
      <c r="DW81" s="269"/>
      <c r="DX81" s="269"/>
      <c r="DY81" s="269"/>
      <c r="DZ81" s="269"/>
      <c r="EA81" s="269"/>
      <c r="EB81" s="269"/>
    </row>
    <row r="82" spans="1:132" ht="18.75" customHeight="1">
      <c r="A82" s="82"/>
      <c r="B82" s="82"/>
      <c r="C82" s="398">
        <v>37995.791666666155</v>
      </c>
      <c r="D82" s="260">
        <v>37995.833333332819</v>
      </c>
      <c r="E82" s="261">
        <v>10</v>
      </c>
      <c r="F82" s="125">
        <v>0</v>
      </c>
      <c r="G82" s="125">
        <v>0</v>
      </c>
      <c r="H82" s="315">
        <v>0</v>
      </c>
      <c r="I82" s="125">
        <v>1</v>
      </c>
      <c r="J82" s="125">
        <v>1</v>
      </c>
      <c r="K82" s="125">
        <v>8.7200000000000006</v>
      </c>
      <c r="L82" s="125">
        <v>8.1</v>
      </c>
      <c r="M82" s="315">
        <v>6.9</v>
      </c>
      <c r="N82" s="125">
        <v>1</v>
      </c>
      <c r="O82" s="125">
        <v>4.79</v>
      </c>
      <c r="P82" s="315">
        <v>5.48</v>
      </c>
      <c r="Q82" s="125">
        <v>10.1</v>
      </c>
      <c r="R82" s="125">
        <v>10.36</v>
      </c>
      <c r="S82" s="125">
        <v>10.36</v>
      </c>
      <c r="T82" s="125">
        <v>0</v>
      </c>
      <c r="U82" s="125">
        <v>0</v>
      </c>
      <c r="V82" s="125">
        <v>0</v>
      </c>
      <c r="W82" s="125">
        <v>0</v>
      </c>
      <c r="X82" s="125">
        <v>0</v>
      </c>
      <c r="Y82" s="125">
        <v>2.62</v>
      </c>
      <c r="Z82" s="125">
        <v>2.62</v>
      </c>
      <c r="AA82" s="125">
        <v>3.67</v>
      </c>
      <c r="AB82" s="125">
        <v>3.67</v>
      </c>
      <c r="AC82" s="125">
        <v>3.67</v>
      </c>
      <c r="AD82" s="125">
        <v>2.78</v>
      </c>
      <c r="AE82" s="125">
        <v>2.78</v>
      </c>
      <c r="AF82" s="125">
        <v>2.75</v>
      </c>
      <c r="AG82" s="125">
        <v>2.75</v>
      </c>
      <c r="AH82" s="125">
        <v>0</v>
      </c>
      <c r="AI82" s="315">
        <v>0</v>
      </c>
      <c r="AJ82" s="125">
        <v>0</v>
      </c>
      <c r="AK82" s="273">
        <v>0</v>
      </c>
      <c r="AL82" s="273">
        <v>0</v>
      </c>
      <c r="AM82" s="273">
        <v>0</v>
      </c>
      <c r="AN82" s="273">
        <v>0</v>
      </c>
      <c r="AO82" s="273">
        <v>0</v>
      </c>
      <c r="AP82" s="273">
        <v>0</v>
      </c>
      <c r="AQ82" s="273">
        <v>0</v>
      </c>
      <c r="AR82" s="273"/>
      <c r="AS82" s="273"/>
      <c r="AT82" s="273"/>
      <c r="AU82" s="273"/>
      <c r="AV82" s="125"/>
      <c r="AW82" s="399"/>
      <c r="AX82" s="409">
        <f t="shared" si="5"/>
        <v>105.12</v>
      </c>
      <c r="AY82" s="269"/>
      <c r="AZ82" s="398">
        <v>37995.791666666155</v>
      </c>
      <c r="BA82" s="260">
        <v>37995.833333332819</v>
      </c>
      <c r="BB82" s="261">
        <v>0</v>
      </c>
      <c r="BC82" s="125">
        <v>1</v>
      </c>
      <c r="BD82" s="125">
        <v>0</v>
      </c>
      <c r="BE82" s="315">
        <v>11.38</v>
      </c>
      <c r="BF82" s="125">
        <v>9.3000000000000007</v>
      </c>
      <c r="BG82" s="125">
        <v>9.3000000000000007</v>
      </c>
      <c r="BH82" s="125">
        <v>1.58</v>
      </c>
      <c r="BI82" s="125">
        <v>2.2000000000000002</v>
      </c>
      <c r="BJ82" s="315">
        <v>3.4</v>
      </c>
      <c r="BK82" s="125">
        <v>7.1</v>
      </c>
      <c r="BL82" s="125">
        <v>5.51</v>
      </c>
      <c r="BM82" s="315">
        <v>4.82</v>
      </c>
      <c r="BN82" s="125">
        <v>0</v>
      </c>
      <c r="BO82" s="125">
        <v>0</v>
      </c>
      <c r="BP82" s="125">
        <v>0</v>
      </c>
      <c r="BQ82" s="125">
        <v>0</v>
      </c>
      <c r="BR82" s="125">
        <v>0</v>
      </c>
      <c r="BS82" s="125">
        <v>0</v>
      </c>
      <c r="BT82" s="125">
        <v>0</v>
      </c>
      <c r="BU82" s="125">
        <v>0</v>
      </c>
      <c r="BV82" s="125">
        <v>0</v>
      </c>
      <c r="BW82" s="125">
        <v>0</v>
      </c>
      <c r="BX82" s="125">
        <v>0</v>
      </c>
      <c r="BY82" s="125">
        <v>0</v>
      </c>
      <c r="BZ82" s="125">
        <v>0</v>
      </c>
      <c r="CA82" s="125">
        <v>0</v>
      </c>
      <c r="CB82" s="125">
        <v>0</v>
      </c>
      <c r="CC82" s="125">
        <v>0</v>
      </c>
      <c r="CD82" s="125">
        <v>0</v>
      </c>
      <c r="CE82" s="125">
        <v>10.029999999999999</v>
      </c>
      <c r="CF82" s="315">
        <v>10.98</v>
      </c>
      <c r="CG82" s="125">
        <v>0</v>
      </c>
      <c r="CH82" s="273">
        <v>0</v>
      </c>
      <c r="CI82" s="273">
        <v>19</v>
      </c>
      <c r="CJ82" s="273">
        <v>5.08</v>
      </c>
      <c r="CK82" s="273">
        <v>0</v>
      </c>
      <c r="CL82" s="273">
        <v>0</v>
      </c>
      <c r="CM82" s="273">
        <v>0</v>
      </c>
      <c r="CN82" s="273">
        <v>0</v>
      </c>
      <c r="CO82" s="273"/>
      <c r="CP82" s="273"/>
      <c r="CQ82" s="273"/>
      <c r="CR82" s="273"/>
      <c r="CS82" s="125"/>
      <c r="CT82" s="399"/>
      <c r="CU82" s="409">
        <f t="shared" si="6"/>
        <v>100.68</v>
      </c>
      <c r="CV82" s="269"/>
      <c r="CW82" s="269"/>
      <c r="CX82" s="269"/>
      <c r="CY82" s="269"/>
      <c r="CZ82" s="269"/>
      <c r="DA82" s="269"/>
      <c r="DB82" s="269"/>
      <c r="DC82" s="269"/>
      <c r="DD82" s="269"/>
      <c r="DE82" s="269"/>
      <c r="DF82" s="269"/>
      <c r="DG82" s="269"/>
      <c r="DH82" s="269"/>
      <c r="DI82" s="269"/>
      <c r="DJ82" s="269"/>
      <c r="DK82" s="269"/>
      <c r="DL82" s="269"/>
      <c r="DM82" s="269"/>
      <c r="DN82" s="269"/>
      <c r="DO82" s="269"/>
      <c r="DP82" s="269"/>
      <c r="DQ82" s="269"/>
      <c r="DR82" s="269"/>
      <c r="DS82" s="269"/>
      <c r="DT82" s="269"/>
      <c r="DU82" s="269"/>
      <c r="DV82" s="269"/>
      <c r="DW82" s="269"/>
      <c r="DX82" s="269"/>
      <c r="DY82" s="269"/>
      <c r="DZ82" s="269"/>
      <c r="EA82" s="269"/>
      <c r="EB82" s="269"/>
    </row>
    <row r="83" spans="1:132" ht="18.75" customHeight="1">
      <c r="A83" s="82"/>
      <c r="B83" s="82"/>
      <c r="C83" s="398">
        <v>37995.833333332819</v>
      </c>
      <c r="D83" s="260">
        <v>37995.874999999483</v>
      </c>
      <c r="E83" s="261">
        <v>10</v>
      </c>
      <c r="F83" s="125">
        <v>0</v>
      </c>
      <c r="G83" s="125">
        <v>0</v>
      </c>
      <c r="H83" s="315">
        <v>0</v>
      </c>
      <c r="I83" s="125">
        <v>1</v>
      </c>
      <c r="J83" s="125">
        <v>7.41</v>
      </c>
      <c r="K83" s="125">
        <v>8.7200000000000006</v>
      </c>
      <c r="L83" s="125">
        <v>8.1</v>
      </c>
      <c r="M83" s="315">
        <v>6.9</v>
      </c>
      <c r="N83" s="125">
        <v>1</v>
      </c>
      <c r="O83" s="125">
        <v>4.79</v>
      </c>
      <c r="P83" s="315">
        <v>5.48</v>
      </c>
      <c r="Q83" s="125">
        <v>10.1</v>
      </c>
      <c r="R83" s="125">
        <v>10.36</v>
      </c>
      <c r="S83" s="125">
        <v>10.36</v>
      </c>
      <c r="T83" s="125">
        <v>0</v>
      </c>
      <c r="U83" s="125">
        <v>0</v>
      </c>
      <c r="V83" s="125">
        <v>0</v>
      </c>
      <c r="W83" s="125">
        <v>0</v>
      </c>
      <c r="X83" s="125">
        <v>0</v>
      </c>
      <c r="Y83" s="125">
        <v>2.12</v>
      </c>
      <c r="Z83" s="125">
        <v>2.12</v>
      </c>
      <c r="AA83" s="125">
        <v>3.67</v>
      </c>
      <c r="AB83" s="125">
        <v>3.67</v>
      </c>
      <c r="AC83" s="125">
        <v>3.67</v>
      </c>
      <c r="AD83" s="125">
        <v>0.9</v>
      </c>
      <c r="AE83" s="125">
        <v>0.9</v>
      </c>
      <c r="AF83" s="125">
        <v>2.75</v>
      </c>
      <c r="AG83" s="125">
        <v>2.75</v>
      </c>
      <c r="AH83" s="125">
        <v>0</v>
      </c>
      <c r="AI83" s="315">
        <v>0</v>
      </c>
      <c r="AJ83" s="125">
        <v>0</v>
      </c>
      <c r="AK83" s="273">
        <v>0</v>
      </c>
      <c r="AL83" s="273">
        <v>0</v>
      </c>
      <c r="AM83" s="273">
        <v>0</v>
      </c>
      <c r="AN83" s="273">
        <v>0</v>
      </c>
      <c r="AO83" s="273">
        <v>0</v>
      </c>
      <c r="AP83" s="273">
        <v>0</v>
      </c>
      <c r="AQ83" s="273">
        <v>0</v>
      </c>
      <c r="AR83" s="273"/>
      <c r="AS83" s="273"/>
      <c r="AT83" s="273"/>
      <c r="AU83" s="273"/>
      <c r="AV83" s="125"/>
      <c r="AW83" s="399"/>
      <c r="AX83" s="409">
        <f t="shared" si="5"/>
        <v>106.77000000000004</v>
      </c>
      <c r="AY83" s="269"/>
      <c r="AZ83" s="398">
        <v>37995.833333332819</v>
      </c>
      <c r="BA83" s="260">
        <v>37995.874999999483</v>
      </c>
      <c r="BB83" s="261">
        <v>6.22</v>
      </c>
      <c r="BC83" s="125">
        <v>19.690000000000001</v>
      </c>
      <c r="BD83" s="125">
        <v>0</v>
      </c>
      <c r="BE83" s="315">
        <v>11.38</v>
      </c>
      <c r="BF83" s="125">
        <v>9.3000000000000007</v>
      </c>
      <c r="BG83" s="125">
        <v>2.89</v>
      </c>
      <c r="BH83" s="125">
        <v>1.58</v>
      </c>
      <c r="BI83" s="125">
        <v>2.2000000000000002</v>
      </c>
      <c r="BJ83" s="315">
        <v>3.4</v>
      </c>
      <c r="BK83" s="125">
        <v>7.1</v>
      </c>
      <c r="BL83" s="125">
        <v>5.51</v>
      </c>
      <c r="BM83" s="315">
        <v>4.82</v>
      </c>
      <c r="BN83" s="125">
        <v>0</v>
      </c>
      <c r="BO83" s="125">
        <v>0</v>
      </c>
      <c r="BP83" s="125">
        <v>0</v>
      </c>
      <c r="BQ83" s="125">
        <v>0</v>
      </c>
      <c r="BR83" s="125">
        <v>0</v>
      </c>
      <c r="BS83" s="125">
        <v>0</v>
      </c>
      <c r="BT83" s="125">
        <v>0</v>
      </c>
      <c r="BU83" s="125">
        <v>0</v>
      </c>
      <c r="BV83" s="125">
        <v>0.5</v>
      </c>
      <c r="BW83" s="125">
        <v>0.5</v>
      </c>
      <c r="BX83" s="125">
        <v>0</v>
      </c>
      <c r="BY83" s="125">
        <v>0</v>
      </c>
      <c r="BZ83" s="125">
        <v>0</v>
      </c>
      <c r="CA83" s="125">
        <v>1.88</v>
      </c>
      <c r="CB83" s="125">
        <v>1.88</v>
      </c>
      <c r="CC83" s="125">
        <v>0</v>
      </c>
      <c r="CD83" s="125">
        <v>0</v>
      </c>
      <c r="CE83" s="125">
        <v>10.98</v>
      </c>
      <c r="CF83" s="315">
        <v>10.98</v>
      </c>
      <c r="CG83" s="125">
        <v>0</v>
      </c>
      <c r="CH83" s="273">
        <v>0</v>
      </c>
      <c r="CI83" s="273">
        <v>19</v>
      </c>
      <c r="CJ83" s="273">
        <v>5.08</v>
      </c>
      <c r="CK83" s="273">
        <v>0</v>
      </c>
      <c r="CL83" s="273">
        <v>0</v>
      </c>
      <c r="CM83" s="273">
        <v>0</v>
      </c>
      <c r="CN83" s="273">
        <v>0</v>
      </c>
      <c r="CO83" s="273"/>
      <c r="CP83" s="273"/>
      <c r="CQ83" s="273"/>
      <c r="CR83" s="273"/>
      <c r="CS83" s="125"/>
      <c r="CT83" s="399"/>
      <c r="CU83" s="409">
        <f t="shared" si="6"/>
        <v>124.89</v>
      </c>
      <c r="CV83" s="269"/>
      <c r="CW83" s="269"/>
      <c r="CX83" s="269"/>
      <c r="CY83" s="269"/>
      <c r="CZ83" s="269"/>
      <c r="DA83" s="269"/>
      <c r="DB83" s="269"/>
      <c r="DC83" s="269"/>
      <c r="DD83" s="269"/>
      <c r="DE83" s="269"/>
      <c r="DF83" s="269"/>
      <c r="DG83" s="269"/>
      <c r="DH83" s="269"/>
      <c r="DI83" s="269"/>
      <c r="DJ83" s="269"/>
      <c r="DK83" s="269"/>
      <c r="DL83" s="269"/>
      <c r="DM83" s="269"/>
      <c r="DN83" s="269"/>
      <c r="DO83" s="269"/>
      <c r="DP83" s="269"/>
      <c r="DQ83" s="269"/>
      <c r="DR83" s="269"/>
      <c r="DS83" s="269"/>
      <c r="DT83" s="269"/>
      <c r="DU83" s="269"/>
      <c r="DV83" s="269"/>
      <c r="DW83" s="269"/>
      <c r="DX83" s="269"/>
      <c r="DY83" s="269"/>
      <c r="DZ83" s="269"/>
      <c r="EA83" s="269"/>
      <c r="EB83" s="269"/>
    </row>
    <row r="84" spans="1:132" ht="18.75" customHeight="1">
      <c r="A84" s="82"/>
      <c r="B84" s="82"/>
      <c r="C84" s="396">
        <v>37995.874999999483</v>
      </c>
      <c r="D84" s="257">
        <v>37995.916666666148</v>
      </c>
      <c r="E84" s="258">
        <v>0</v>
      </c>
      <c r="F84" s="124">
        <v>0</v>
      </c>
      <c r="G84" s="124">
        <v>0</v>
      </c>
      <c r="H84" s="314">
        <v>0</v>
      </c>
      <c r="I84" s="124">
        <v>0</v>
      </c>
      <c r="J84" s="124">
        <v>1</v>
      </c>
      <c r="K84" s="124">
        <v>8.7200000000000006</v>
      </c>
      <c r="L84" s="124">
        <v>0</v>
      </c>
      <c r="M84" s="314">
        <v>1</v>
      </c>
      <c r="N84" s="124">
        <v>0</v>
      </c>
      <c r="O84" s="124">
        <v>0</v>
      </c>
      <c r="P84" s="314">
        <v>0</v>
      </c>
      <c r="Q84" s="124">
        <v>10.1</v>
      </c>
      <c r="R84" s="124">
        <v>10.36</v>
      </c>
      <c r="S84" s="124">
        <v>10.36</v>
      </c>
      <c r="T84" s="124">
        <v>0</v>
      </c>
      <c r="U84" s="124">
        <v>0</v>
      </c>
      <c r="V84" s="124">
        <v>17.29</v>
      </c>
      <c r="W84" s="124">
        <v>17.29</v>
      </c>
      <c r="X84" s="124">
        <v>0</v>
      </c>
      <c r="Y84" s="124">
        <v>2.62</v>
      </c>
      <c r="Z84" s="124">
        <v>2.62</v>
      </c>
      <c r="AA84" s="124">
        <v>3.67</v>
      </c>
      <c r="AB84" s="124">
        <v>3.67</v>
      </c>
      <c r="AC84" s="124">
        <v>3.67</v>
      </c>
      <c r="AD84" s="124">
        <v>2.78</v>
      </c>
      <c r="AE84" s="124">
        <v>2.78</v>
      </c>
      <c r="AF84" s="124">
        <v>2.75</v>
      </c>
      <c r="AG84" s="124">
        <v>2.75</v>
      </c>
      <c r="AH84" s="124">
        <v>0</v>
      </c>
      <c r="AI84" s="314">
        <v>0</v>
      </c>
      <c r="AJ84" s="124">
        <v>0</v>
      </c>
      <c r="AK84" s="272">
        <v>0</v>
      </c>
      <c r="AL84" s="272">
        <v>0</v>
      </c>
      <c r="AM84" s="272">
        <v>0</v>
      </c>
      <c r="AN84" s="272">
        <v>0</v>
      </c>
      <c r="AO84" s="272">
        <v>0</v>
      </c>
      <c r="AP84" s="272">
        <v>0</v>
      </c>
      <c r="AQ84" s="272">
        <v>0</v>
      </c>
      <c r="AR84" s="272"/>
      <c r="AS84" s="272"/>
      <c r="AT84" s="272"/>
      <c r="AU84" s="272"/>
      <c r="AV84" s="124"/>
      <c r="AW84" s="397"/>
      <c r="AX84" s="408">
        <f t="shared" si="5"/>
        <v>103.43000000000002</v>
      </c>
      <c r="AY84" s="269"/>
      <c r="AZ84" s="396">
        <v>37995.874999999483</v>
      </c>
      <c r="BA84" s="257">
        <v>37995.916666666148</v>
      </c>
      <c r="BB84" s="258">
        <v>0</v>
      </c>
      <c r="BC84" s="124">
        <v>10.85</v>
      </c>
      <c r="BD84" s="124">
        <v>0</v>
      </c>
      <c r="BE84" s="314">
        <v>11.38</v>
      </c>
      <c r="BF84" s="124">
        <v>10.3</v>
      </c>
      <c r="BG84" s="124">
        <v>9.3000000000000007</v>
      </c>
      <c r="BH84" s="124">
        <v>1.58</v>
      </c>
      <c r="BI84" s="124">
        <v>10.3</v>
      </c>
      <c r="BJ84" s="314">
        <v>9.3000000000000007</v>
      </c>
      <c r="BK84" s="124">
        <v>8.1</v>
      </c>
      <c r="BL84" s="124">
        <v>10.3</v>
      </c>
      <c r="BM84" s="314">
        <v>10.3</v>
      </c>
      <c r="BN84" s="124">
        <v>0</v>
      </c>
      <c r="BO84" s="124">
        <v>0</v>
      </c>
      <c r="BP84" s="124">
        <v>0</v>
      </c>
      <c r="BQ84" s="124">
        <v>0</v>
      </c>
      <c r="BR84" s="124">
        <v>0</v>
      </c>
      <c r="BS84" s="124">
        <v>0</v>
      </c>
      <c r="BT84" s="124">
        <v>0</v>
      </c>
      <c r="BU84" s="124">
        <v>0</v>
      </c>
      <c r="BV84" s="124">
        <v>0</v>
      </c>
      <c r="BW84" s="124">
        <v>0</v>
      </c>
      <c r="BX84" s="124">
        <v>0</v>
      </c>
      <c r="BY84" s="124">
        <v>0</v>
      </c>
      <c r="BZ84" s="124">
        <v>0</v>
      </c>
      <c r="CA84" s="124">
        <v>0</v>
      </c>
      <c r="CB84" s="124">
        <v>0</v>
      </c>
      <c r="CC84" s="124">
        <v>0</v>
      </c>
      <c r="CD84" s="124">
        <v>0</v>
      </c>
      <c r="CE84" s="124">
        <v>10.98</v>
      </c>
      <c r="CF84" s="314">
        <v>10.98</v>
      </c>
      <c r="CG84" s="124">
        <v>0</v>
      </c>
      <c r="CH84" s="272">
        <v>0</v>
      </c>
      <c r="CI84" s="272">
        <v>19</v>
      </c>
      <c r="CJ84" s="272">
        <v>5.08</v>
      </c>
      <c r="CK84" s="272">
        <v>1</v>
      </c>
      <c r="CL84" s="272">
        <v>1</v>
      </c>
      <c r="CM84" s="272">
        <v>0</v>
      </c>
      <c r="CN84" s="272">
        <v>0</v>
      </c>
      <c r="CO84" s="272"/>
      <c r="CP84" s="272"/>
      <c r="CQ84" s="272"/>
      <c r="CR84" s="272"/>
      <c r="CS84" s="124"/>
      <c r="CT84" s="397"/>
      <c r="CU84" s="408">
        <f t="shared" si="6"/>
        <v>139.75</v>
      </c>
      <c r="CV84" s="269"/>
      <c r="CW84" s="269"/>
      <c r="CX84" s="269"/>
      <c r="CY84" s="269"/>
      <c r="CZ84" s="269"/>
      <c r="DA84" s="269"/>
      <c r="DB84" s="269"/>
      <c r="DC84" s="269"/>
      <c r="DD84" s="269"/>
      <c r="DE84" s="269"/>
      <c r="DF84" s="269"/>
      <c r="DG84" s="269"/>
      <c r="DH84" s="269"/>
      <c r="DI84" s="269"/>
      <c r="DJ84" s="269"/>
      <c r="DK84" s="269"/>
      <c r="DL84" s="269"/>
      <c r="DM84" s="269"/>
      <c r="DN84" s="269"/>
      <c r="DO84" s="269"/>
      <c r="DP84" s="269"/>
      <c r="DQ84" s="269"/>
      <c r="DR84" s="269"/>
      <c r="DS84" s="269"/>
      <c r="DT84" s="269"/>
      <c r="DU84" s="269"/>
      <c r="DV84" s="269"/>
      <c r="DW84" s="269"/>
      <c r="DX84" s="269"/>
      <c r="DY84" s="269"/>
      <c r="DZ84" s="269"/>
      <c r="EA84" s="269"/>
      <c r="EB84" s="269"/>
    </row>
    <row r="85" spans="1:132" ht="18.75" customHeight="1">
      <c r="A85" s="82"/>
      <c r="B85" s="82"/>
      <c r="C85" s="396">
        <v>37995.916666666148</v>
      </c>
      <c r="D85" s="257">
        <v>37995.958333332812</v>
      </c>
      <c r="E85" s="258">
        <v>0</v>
      </c>
      <c r="F85" s="124">
        <v>0</v>
      </c>
      <c r="G85" s="124">
        <v>0</v>
      </c>
      <c r="H85" s="314">
        <v>0</v>
      </c>
      <c r="I85" s="124">
        <v>9.3000000000000007</v>
      </c>
      <c r="J85" s="124">
        <v>10.3</v>
      </c>
      <c r="K85" s="124">
        <v>10.3</v>
      </c>
      <c r="L85" s="124">
        <v>1</v>
      </c>
      <c r="M85" s="314">
        <v>9.3000000000000007</v>
      </c>
      <c r="N85" s="124">
        <v>8.1</v>
      </c>
      <c r="O85" s="124">
        <v>10.14</v>
      </c>
      <c r="P85" s="314">
        <v>10.3</v>
      </c>
      <c r="Q85" s="124">
        <v>10.1</v>
      </c>
      <c r="R85" s="124">
        <v>10.36</v>
      </c>
      <c r="S85" s="124">
        <v>10.36</v>
      </c>
      <c r="T85" s="124">
        <v>0</v>
      </c>
      <c r="U85" s="124">
        <v>0</v>
      </c>
      <c r="V85" s="124">
        <v>16.309999999999999</v>
      </c>
      <c r="W85" s="124">
        <v>0</v>
      </c>
      <c r="X85" s="124">
        <v>0</v>
      </c>
      <c r="Y85" s="124">
        <v>2.62</v>
      </c>
      <c r="Z85" s="124">
        <v>2.62</v>
      </c>
      <c r="AA85" s="124">
        <v>3.67</v>
      </c>
      <c r="AB85" s="124">
        <v>3.67</v>
      </c>
      <c r="AC85" s="124">
        <v>3.67</v>
      </c>
      <c r="AD85" s="124">
        <v>0.65</v>
      </c>
      <c r="AE85" s="124">
        <v>0.65</v>
      </c>
      <c r="AF85" s="124">
        <v>2.75</v>
      </c>
      <c r="AG85" s="124">
        <v>2.75</v>
      </c>
      <c r="AH85" s="124">
        <v>0</v>
      </c>
      <c r="AI85" s="314">
        <v>0</v>
      </c>
      <c r="AJ85" s="124">
        <v>0</v>
      </c>
      <c r="AK85" s="272">
        <v>0</v>
      </c>
      <c r="AL85" s="272">
        <v>0</v>
      </c>
      <c r="AM85" s="272">
        <v>0</v>
      </c>
      <c r="AN85" s="272">
        <v>0</v>
      </c>
      <c r="AO85" s="272">
        <v>0</v>
      </c>
      <c r="AP85" s="272">
        <v>0</v>
      </c>
      <c r="AQ85" s="272">
        <v>0</v>
      </c>
      <c r="AR85" s="272"/>
      <c r="AS85" s="272"/>
      <c r="AT85" s="272"/>
      <c r="AU85" s="272"/>
      <c r="AV85" s="124"/>
      <c r="AW85" s="397"/>
      <c r="AX85" s="408">
        <f t="shared" si="5"/>
        <v>138.92000000000002</v>
      </c>
      <c r="AY85" s="269"/>
      <c r="AZ85" s="396">
        <v>37995.916666666148</v>
      </c>
      <c r="BA85" s="257">
        <v>37995.958333332812</v>
      </c>
      <c r="BB85" s="258">
        <v>18.850000000000001</v>
      </c>
      <c r="BC85" s="124">
        <v>19.690000000000001</v>
      </c>
      <c r="BD85" s="124">
        <v>0</v>
      </c>
      <c r="BE85" s="314">
        <v>11.38</v>
      </c>
      <c r="BF85" s="124">
        <v>1</v>
      </c>
      <c r="BG85" s="124">
        <v>0</v>
      </c>
      <c r="BH85" s="124">
        <v>0</v>
      </c>
      <c r="BI85" s="124">
        <v>0</v>
      </c>
      <c r="BJ85" s="314">
        <v>1</v>
      </c>
      <c r="BK85" s="124">
        <v>0</v>
      </c>
      <c r="BL85" s="124">
        <v>0</v>
      </c>
      <c r="BM85" s="314">
        <v>0</v>
      </c>
      <c r="BN85" s="124">
        <v>0</v>
      </c>
      <c r="BO85" s="124">
        <v>0</v>
      </c>
      <c r="BP85" s="124">
        <v>0</v>
      </c>
      <c r="BQ85" s="124">
        <v>0</v>
      </c>
      <c r="BR85" s="124">
        <v>0</v>
      </c>
      <c r="BS85" s="124">
        <v>0</v>
      </c>
      <c r="BT85" s="124">
        <v>0</v>
      </c>
      <c r="BU85" s="124">
        <v>0</v>
      </c>
      <c r="BV85" s="124">
        <v>0</v>
      </c>
      <c r="BW85" s="124">
        <v>0</v>
      </c>
      <c r="BX85" s="124">
        <v>0</v>
      </c>
      <c r="BY85" s="124">
        <v>0</v>
      </c>
      <c r="BZ85" s="124">
        <v>0</v>
      </c>
      <c r="CA85" s="124">
        <v>0</v>
      </c>
      <c r="CB85" s="124">
        <v>0</v>
      </c>
      <c r="CC85" s="124">
        <v>0</v>
      </c>
      <c r="CD85" s="124">
        <v>0</v>
      </c>
      <c r="CE85" s="124">
        <v>10.98</v>
      </c>
      <c r="CF85" s="314">
        <v>10.98</v>
      </c>
      <c r="CG85" s="124">
        <v>0</v>
      </c>
      <c r="CH85" s="272">
        <v>0</v>
      </c>
      <c r="CI85" s="272">
        <v>19</v>
      </c>
      <c r="CJ85" s="272">
        <v>5.08</v>
      </c>
      <c r="CK85" s="272">
        <v>22</v>
      </c>
      <c r="CL85" s="272">
        <v>1</v>
      </c>
      <c r="CM85" s="272">
        <v>15.84</v>
      </c>
      <c r="CN85" s="272">
        <v>1</v>
      </c>
      <c r="CO85" s="272"/>
      <c r="CP85" s="272"/>
      <c r="CQ85" s="272"/>
      <c r="CR85" s="272"/>
      <c r="CS85" s="124"/>
      <c r="CT85" s="397"/>
      <c r="CU85" s="408">
        <f t="shared" si="6"/>
        <v>137.80000000000001</v>
      </c>
      <c r="CV85" s="269"/>
      <c r="CW85" s="269"/>
      <c r="CX85" s="269"/>
      <c r="CY85" s="269"/>
      <c r="CZ85" s="269"/>
      <c r="DA85" s="269"/>
      <c r="DB85" s="269"/>
      <c r="DC85" s="269"/>
      <c r="DD85" s="269"/>
      <c r="DE85" s="269"/>
      <c r="DF85" s="269"/>
      <c r="DG85" s="269"/>
      <c r="DH85" s="269"/>
      <c r="DI85" s="269"/>
      <c r="DJ85" s="269"/>
      <c r="DK85" s="269"/>
      <c r="DL85" s="269"/>
      <c r="DM85" s="269"/>
      <c r="DN85" s="269"/>
      <c r="DO85" s="269"/>
      <c r="DP85" s="269"/>
      <c r="DQ85" s="269"/>
      <c r="DR85" s="269"/>
      <c r="DS85" s="269"/>
      <c r="DT85" s="269"/>
      <c r="DU85" s="269"/>
      <c r="DV85" s="269"/>
      <c r="DW85" s="269"/>
      <c r="DX85" s="269"/>
      <c r="DY85" s="269"/>
      <c r="DZ85" s="269"/>
      <c r="EA85" s="269"/>
      <c r="EB85" s="269"/>
    </row>
    <row r="86" spans="1:132" ht="18.75" customHeight="1" thickBot="1">
      <c r="A86" s="82"/>
      <c r="B86" s="82"/>
      <c r="C86" s="404">
        <v>37995.958333332812</v>
      </c>
      <c r="D86" s="406">
        <v>37995.999999999476</v>
      </c>
      <c r="E86" s="263">
        <v>0</v>
      </c>
      <c r="F86" s="264">
        <v>0</v>
      </c>
      <c r="G86" s="264">
        <v>0</v>
      </c>
      <c r="H86" s="317">
        <v>0</v>
      </c>
      <c r="I86" s="264">
        <v>10.3</v>
      </c>
      <c r="J86" s="264">
        <v>10.3</v>
      </c>
      <c r="K86" s="264">
        <v>10.3</v>
      </c>
      <c r="L86" s="264">
        <v>0</v>
      </c>
      <c r="M86" s="317">
        <v>0</v>
      </c>
      <c r="N86" s="264">
        <v>0</v>
      </c>
      <c r="O86" s="264">
        <v>10.3</v>
      </c>
      <c r="P86" s="317">
        <v>10.3</v>
      </c>
      <c r="Q86" s="264">
        <v>0</v>
      </c>
      <c r="R86" s="264">
        <v>10.36</v>
      </c>
      <c r="S86" s="264">
        <v>10.36</v>
      </c>
      <c r="T86" s="264">
        <v>0</v>
      </c>
      <c r="U86" s="264">
        <v>0</v>
      </c>
      <c r="V86" s="264">
        <v>5.72</v>
      </c>
      <c r="W86" s="264">
        <v>17.29</v>
      </c>
      <c r="X86" s="264">
        <v>1.08</v>
      </c>
      <c r="Y86" s="264">
        <v>2.62</v>
      </c>
      <c r="Z86" s="264">
        <v>2.62</v>
      </c>
      <c r="AA86" s="264">
        <v>3.67</v>
      </c>
      <c r="AB86" s="264">
        <v>3.67</v>
      </c>
      <c r="AC86" s="264">
        <v>3.67</v>
      </c>
      <c r="AD86" s="264">
        <v>2.2799999999999998</v>
      </c>
      <c r="AE86" s="264">
        <v>2.2799999999999998</v>
      </c>
      <c r="AF86" s="264">
        <v>2.75</v>
      </c>
      <c r="AG86" s="264">
        <v>2.75</v>
      </c>
      <c r="AH86" s="264">
        <v>0</v>
      </c>
      <c r="AI86" s="317">
        <v>0</v>
      </c>
      <c r="AJ86" s="264">
        <v>0</v>
      </c>
      <c r="AK86" s="353">
        <v>0</v>
      </c>
      <c r="AL86" s="353">
        <v>0</v>
      </c>
      <c r="AM86" s="353">
        <v>0</v>
      </c>
      <c r="AN86" s="353">
        <v>0</v>
      </c>
      <c r="AO86" s="353">
        <v>0</v>
      </c>
      <c r="AP86" s="353">
        <v>0</v>
      </c>
      <c r="AQ86" s="353">
        <v>0</v>
      </c>
      <c r="AR86" s="353"/>
      <c r="AS86" s="353"/>
      <c r="AT86" s="353"/>
      <c r="AU86" s="353"/>
      <c r="AV86" s="264"/>
      <c r="AW86" s="400"/>
      <c r="AX86" s="407">
        <f t="shared" si="5"/>
        <v>122.62</v>
      </c>
      <c r="AY86" s="269"/>
      <c r="AZ86" s="404">
        <v>37995.958333332812</v>
      </c>
      <c r="BA86" s="406">
        <v>37995.999999999476</v>
      </c>
      <c r="BB86" s="263">
        <v>1</v>
      </c>
      <c r="BC86" s="264">
        <v>19.690000000000001</v>
      </c>
      <c r="BD86" s="264">
        <v>0</v>
      </c>
      <c r="BE86" s="317">
        <v>11.38</v>
      </c>
      <c r="BF86" s="264">
        <v>0</v>
      </c>
      <c r="BG86" s="264">
        <v>0</v>
      </c>
      <c r="BH86" s="264">
        <v>0</v>
      </c>
      <c r="BI86" s="264">
        <v>0</v>
      </c>
      <c r="BJ86" s="317">
        <v>0</v>
      </c>
      <c r="BK86" s="264">
        <v>0</v>
      </c>
      <c r="BL86" s="264">
        <v>0</v>
      </c>
      <c r="BM86" s="317">
        <v>0</v>
      </c>
      <c r="BN86" s="264">
        <v>0</v>
      </c>
      <c r="BO86" s="264">
        <v>0</v>
      </c>
      <c r="BP86" s="264">
        <v>0</v>
      </c>
      <c r="BQ86" s="264">
        <v>0</v>
      </c>
      <c r="BR86" s="264">
        <v>0</v>
      </c>
      <c r="BS86" s="264">
        <v>0</v>
      </c>
      <c r="BT86" s="264">
        <v>0</v>
      </c>
      <c r="BU86" s="264">
        <v>0</v>
      </c>
      <c r="BV86" s="264">
        <v>0</v>
      </c>
      <c r="BW86" s="264">
        <v>0</v>
      </c>
      <c r="BX86" s="264">
        <v>0</v>
      </c>
      <c r="BY86" s="264">
        <v>0</v>
      </c>
      <c r="BZ86" s="264">
        <v>0</v>
      </c>
      <c r="CA86" s="264">
        <v>0.5</v>
      </c>
      <c r="CB86" s="264">
        <v>0.5</v>
      </c>
      <c r="CC86" s="264">
        <v>0</v>
      </c>
      <c r="CD86" s="264">
        <v>0</v>
      </c>
      <c r="CE86" s="264">
        <v>10.98</v>
      </c>
      <c r="CF86" s="317">
        <v>10.98</v>
      </c>
      <c r="CG86" s="264">
        <v>0</v>
      </c>
      <c r="CH86" s="353">
        <v>0</v>
      </c>
      <c r="CI86" s="353">
        <v>19</v>
      </c>
      <c r="CJ86" s="353">
        <v>5.08</v>
      </c>
      <c r="CK86" s="353">
        <v>22</v>
      </c>
      <c r="CL86" s="353">
        <v>11.96</v>
      </c>
      <c r="CM86" s="353">
        <v>15.84</v>
      </c>
      <c r="CN86" s="353">
        <v>1</v>
      </c>
      <c r="CO86" s="353"/>
      <c r="CP86" s="353"/>
      <c r="CQ86" s="353"/>
      <c r="CR86" s="353"/>
      <c r="CS86" s="264"/>
      <c r="CT86" s="400"/>
      <c r="CU86" s="407">
        <f t="shared" si="6"/>
        <v>129.91</v>
      </c>
      <c r="CV86" s="269"/>
      <c r="CW86" s="269"/>
      <c r="CX86" s="269"/>
      <c r="CY86" s="269"/>
      <c r="CZ86" s="269"/>
      <c r="DA86" s="269"/>
      <c r="DB86" s="269"/>
      <c r="DC86" s="269"/>
      <c r="DD86" s="269"/>
      <c r="DE86" s="269"/>
      <c r="DF86" s="269"/>
      <c r="DG86" s="269"/>
      <c r="DH86" s="269"/>
      <c r="DI86" s="269"/>
      <c r="DJ86" s="269"/>
      <c r="DK86" s="269"/>
      <c r="DL86" s="269"/>
      <c r="DM86" s="269"/>
      <c r="DN86" s="269"/>
      <c r="DO86" s="269"/>
      <c r="DP86" s="269"/>
      <c r="DQ86" s="269"/>
      <c r="DR86" s="269"/>
      <c r="DS86" s="269"/>
      <c r="DT86" s="269"/>
      <c r="DU86" s="269"/>
      <c r="DV86" s="269"/>
      <c r="DW86" s="269"/>
      <c r="DX86" s="269"/>
      <c r="DY86" s="269"/>
      <c r="DZ86" s="269"/>
      <c r="EA86" s="269"/>
      <c r="EB86" s="269"/>
    </row>
    <row r="87" spans="1:132" ht="18.75" customHeight="1" thickBot="1">
      <c r="A87" s="82"/>
      <c r="B87" s="82"/>
      <c r="C87" s="526" t="s">
        <v>13</v>
      </c>
      <c r="D87" s="527"/>
      <c r="E87" s="527"/>
      <c r="F87" s="527"/>
      <c r="G87" s="527"/>
      <c r="H87" s="527"/>
      <c r="I87" s="527"/>
      <c r="J87" s="527"/>
      <c r="K87" s="527"/>
      <c r="L87" s="527"/>
      <c r="M87" s="527"/>
      <c r="N87" s="527"/>
      <c r="O87" s="527"/>
      <c r="P87" s="527"/>
      <c r="Q87" s="527"/>
      <c r="R87" s="527"/>
      <c r="S87" s="527"/>
      <c r="T87" s="527"/>
      <c r="U87" s="527"/>
      <c r="V87" s="527"/>
      <c r="W87" s="527"/>
      <c r="X87" s="527"/>
      <c r="Y87" s="527"/>
      <c r="Z87" s="527"/>
      <c r="AA87" s="527"/>
      <c r="AB87" s="527"/>
      <c r="AC87" s="527"/>
      <c r="AD87" s="527"/>
      <c r="AE87" s="527"/>
      <c r="AF87" s="527"/>
      <c r="AG87" s="527"/>
      <c r="AH87" s="527"/>
      <c r="AI87" s="527"/>
      <c r="AJ87" s="527"/>
      <c r="AK87" s="527"/>
      <c r="AL87" s="527"/>
      <c r="AM87" s="527"/>
      <c r="AN87" s="527"/>
      <c r="AO87" s="527"/>
      <c r="AP87" s="527"/>
      <c r="AQ87" s="527"/>
      <c r="AR87" s="527"/>
      <c r="AS87" s="527"/>
      <c r="AT87" s="527"/>
      <c r="AU87" s="527"/>
      <c r="AV87" s="527"/>
      <c r="AW87" s="528"/>
      <c r="AX87" s="410">
        <f>SUM(AX63:AX86)</f>
        <v>3038.1999999999994</v>
      </c>
      <c r="AY87" s="274"/>
      <c r="AZ87" s="526" t="s">
        <v>13</v>
      </c>
      <c r="BA87" s="527"/>
      <c r="BB87" s="527"/>
      <c r="BC87" s="527"/>
      <c r="BD87" s="527"/>
      <c r="BE87" s="527"/>
      <c r="BF87" s="527"/>
      <c r="BG87" s="527"/>
      <c r="BH87" s="527"/>
      <c r="BI87" s="527"/>
      <c r="BJ87" s="527"/>
      <c r="BK87" s="527"/>
      <c r="BL87" s="527"/>
      <c r="BM87" s="527"/>
      <c r="BN87" s="527"/>
      <c r="BO87" s="527"/>
      <c r="BP87" s="527"/>
      <c r="BQ87" s="527"/>
      <c r="BR87" s="527"/>
      <c r="BS87" s="527"/>
      <c r="BT87" s="527"/>
      <c r="BU87" s="527"/>
      <c r="BV87" s="527"/>
      <c r="BW87" s="527"/>
      <c r="BX87" s="527"/>
      <c r="BY87" s="527"/>
      <c r="BZ87" s="527"/>
      <c r="CA87" s="527"/>
      <c r="CB87" s="527"/>
      <c r="CC87" s="527"/>
      <c r="CD87" s="527"/>
      <c r="CE87" s="527"/>
      <c r="CF87" s="527"/>
      <c r="CG87" s="527"/>
      <c r="CH87" s="527"/>
      <c r="CI87" s="527"/>
      <c r="CJ87" s="527"/>
      <c r="CK87" s="527"/>
      <c r="CL87" s="527"/>
      <c r="CM87" s="527"/>
      <c r="CN87" s="527"/>
      <c r="CO87" s="527"/>
      <c r="CP87" s="527"/>
      <c r="CQ87" s="527"/>
      <c r="CR87" s="527"/>
      <c r="CS87" s="527"/>
      <c r="CT87" s="528"/>
      <c r="CU87" s="410">
        <f>SUM(CU63:CU86)</f>
        <v>2898.2899999999995</v>
      </c>
      <c r="CV87" s="269"/>
      <c r="CW87" s="269"/>
      <c r="CX87" s="269"/>
      <c r="CY87" s="269"/>
      <c r="CZ87" s="269"/>
      <c r="DA87" s="269"/>
      <c r="DB87" s="269"/>
      <c r="DC87" s="269"/>
      <c r="DD87" s="269"/>
      <c r="DE87" s="269"/>
      <c r="DF87" s="269"/>
      <c r="DG87" s="269"/>
      <c r="DH87" s="269"/>
      <c r="DI87" s="269"/>
      <c r="DJ87" s="269"/>
      <c r="DK87" s="269"/>
      <c r="DL87" s="269"/>
      <c r="DM87" s="269"/>
      <c r="DN87" s="269"/>
      <c r="DO87" s="269"/>
      <c r="DP87" s="269"/>
      <c r="DQ87" s="269"/>
      <c r="DR87" s="269"/>
      <c r="DS87" s="269"/>
      <c r="DT87" s="269"/>
      <c r="DU87" s="269"/>
      <c r="DV87" s="269"/>
      <c r="DW87" s="269"/>
      <c r="DX87" s="269"/>
      <c r="DY87" s="269"/>
      <c r="DZ87" s="269"/>
      <c r="EA87" s="269"/>
      <c r="EB87" s="269"/>
    </row>
    <row r="88" spans="1:132" ht="18.75" customHeight="1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269"/>
      <c r="BB88" s="269"/>
      <c r="BC88" s="269"/>
      <c r="BD88" s="269"/>
      <c r="BE88" s="269"/>
      <c r="BF88" s="269"/>
      <c r="BG88" s="269"/>
      <c r="BH88" s="269"/>
      <c r="BI88" s="269"/>
      <c r="BJ88" s="269"/>
      <c r="BK88" s="269"/>
      <c r="BL88" s="269"/>
      <c r="BM88" s="269"/>
      <c r="BN88" s="269"/>
      <c r="BO88" s="269"/>
      <c r="BP88" s="269"/>
      <c r="BQ88" s="269"/>
      <c r="BR88" s="269"/>
      <c r="BS88" s="269"/>
      <c r="BT88" s="269"/>
      <c r="BU88" s="269"/>
      <c r="BV88" s="269"/>
      <c r="BW88" s="269"/>
      <c r="BX88" s="269"/>
      <c r="BY88" s="269"/>
      <c r="BZ88" s="269"/>
      <c r="CA88" s="269"/>
      <c r="CB88" s="269"/>
      <c r="CC88" s="269"/>
      <c r="CD88" s="269"/>
      <c r="CE88" s="269"/>
      <c r="CF88" s="269"/>
      <c r="CG88" s="269"/>
      <c r="CH88" s="269"/>
      <c r="CI88" s="269"/>
      <c r="CJ88" s="269"/>
      <c r="CK88" s="269"/>
      <c r="CL88" s="269"/>
      <c r="CM88" s="269"/>
      <c r="CN88" s="269"/>
      <c r="CO88" s="269"/>
      <c r="CP88" s="269"/>
      <c r="CQ88" s="269"/>
      <c r="CR88" s="269"/>
      <c r="CS88" s="269"/>
      <c r="CT88" s="269"/>
      <c r="CU88" s="269"/>
      <c r="CV88" s="269"/>
      <c r="CW88" s="269"/>
      <c r="CX88" s="269"/>
      <c r="CY88" s="269"/>
      <c r="CZ88" s="269"/>
      <c r="DA88" s="269"/>
      <c r="DB88" s="269"/>
      <c r="DC88" s="269"/>
      <c r="DD88" s="269"/>
      <c r="DE88" s="269"/>
      <c r="DF88" s="269"/>
      <c r="DG88" s="269"/>
      <c r="DH88" s="269"/>
      <c r="DI88" s="269"/>
      <c r="DJ88" s="269"/>
      <c r="DK88" s="269"/>
      <c r="DL88" s="269"/>
      <c r="DM88" s="269"/>
      <c r="DN88" s="269"/>
      <c r="DO88" s="269"/>
      <c r="DP88" s="269"/>
      <c r="DQ88" s="269"/>
      <c r="DR88" s="269"/>
      <c r="DS88" s="269"/>
      <c r="DT88" s="269"/>
      <c r="DU88" s="269"/>
      <c r="DV88" s="269"/>
      <c r="DW88" s="269"/>
      <c r="DX88" s="269"/>
      <c r="DY88" s="269"/>
      <c r="DZ88" s="269"/>
      <c r="EA88" s="269"/>
      <c r="EB88" s="269"/>
    </row>
    <row r="89" spans="1:132" ht="18.75" customHeight="1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269"/>
      <c r="BB89" s="269"/>
      <c r="BC89" s="269"/>
      <c r="BD89" s="269"/>
      <c r="BE89" s="269"/>
      <c r="BF89" s="269"/>
      <c r="BG89" s="269"/>
      <c r="BH89" s="269"/>
      <c r="BI89" s="269"/>
      <c r="BJ89" s="269"/>
      <c r="BK89" s="269"/>
      <c r="BL89" s="269"/>
      <c r="BM89" s="269"/>
      <c r="BN89" s="269"/>
      <c r="BO89" s="269"/>
      <c r="BP89" s="269"/>
      <c r="BQ89" s="269"/>
      <c r="BR89" s="269"/>
      <c r="BS89" s="269"/>
      <c r="BT89" s="269"/>
      <c r="BU89" s="269"/>
      <c r="BV89" s="269"/>
      <c r="BW89" s="269"/>
      <c r="BX89" s="269"/>
      <c r="BY89" s="269"/>
      <c r="BZ89" s="269"/>
      <c r="CA89" s="269"/>
      <c r="CB89" s="269"/>
      <c r="CC89" s="269"/>
      <c r="CD89" s="269"/>
      <c r="CE89" s="269"/>
      <c r="CF89" s="269"/>
      <c r="CG89" s="269"/>
      <c r="CH89" s="269"/>
      <c r="CI89" s="269"/>
      <c r="CJ89" s="269"/>
      <c r="CK89" s="269"/>
      <c r="CL89" s="269"/>
      <c r="CM89" s="269"/>
      <c r="CN89" s="269"/>
      <c r="CO89" s="269"/>
      <c r="CP89" s="269"/>
      <c r="CQ89" s="269"/>
      <c r="CR89" s="269"/>
      <c r="CS89" s="269"/>
      <c r="CT89" s="269"/>
      <c r="CU89" s="269"/>
      <c r="CV89" s="269"/>
      <c r="CW89" s="269"/>
      <c r="CX89" s="269"/>
      <c r="CY89" s="269"/>
      <c r="CZ89" s="269"/>
      <c r="DA89" s="269"/>
      <c r="DB89" s="269"/>
      <c r="DC89" s="269"/>
      <c r="DD89" s="269"/>
      <c r="DE89" s="269"/>
      <c r="DF89" s="269"/>
      <c r="DG89" s="269"/>
      <c r="DH89" s="269"/>
      <c r="DI89" s="269"/>
      <c r="DJ89" s="269"/>
      <c r="DK89" s="269"/>
      <c r="DL89" s="269"/>
      <c r="DM89" s="269"/>
      <c r="DN89" s="269"/>
      <c r="DO89" s="269"/>
      <c r="DP89" s="269"/>
      <c r="DQ89" s="269"/>
      <c r="DR89" s="269"/>
      <c r="DS89" s="269"/>
      <c r="DT89" s="269"/>
      <c r="DU89" s="269"/>
      <c r="DV89" s="269"/>
      <c r="DW89" s="269"/>
      <c r="DX89" s="269"/>
      <c r="DY89" s="269"/>
      <c r="DZ89" s="269"/>
      <c r="EA89" s="269"/>
      <c r="EB89" s="269"/>
    </row>
    <row r="90" spans="1:132" ht="18.75" customHeight="1" thickBot="1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269"/>
      <c r="BB90" s="269"/>
      <c r="BC90" s="269"/>
      <c r="BD90" s="269"/>
      <c r="BE90" s="269"/>
      <c r="BF90" s="269"/>
      <c r="BG90" s="269"/>
      <c r="BH90" s="269"/>
      <c r="BI90" s="269"/>
      <c r="BJ90" s="269"/>
      <c r="BK90" s="269"/>
      <c r="BL90" s="269"/>
      <c r="BM90" s="269"/>
      <c r="BN90" s="269"/>
      <c r="BO90" s="269"/>
      <c r="BP90" s="269"/>
      <c r="BQ90" s="269"/>
      <c r="BR90" s="269"/>
      <c r="BS90" s="269"/>
      <c r="BT90" s="269"/>
      <c r="BU90" s="269"/>
      <c r="BV90" s="269"/>
      <c r="BW90" s="269"/>
      <c r="BX90" s="269"/>
      <c r="BY90" s="269"/>
      <c r="BZ90" s="269"/>
      <c r="CA90" s="269"/>
      <c r="CB90" s="269"/>
      <c r="CC90" s="269"/>
      <c r="CD90" s="269"/>
      <c r="CE90" s="269"/>
      <c r="CF90" s="269"/>
      <c r="CG90" s="269"/>
      <c r="CH90" s="269"/>
      <c r="CI90" s="269"/>
      <c r="CJ90" s="269"/>
      <c r="CK90" s="269"/>
      <c r="CL90" s="269"/>
      <c r="CM90" s="269"/>
      <c r="CN90" s="269"/>
      <c r="CO90" s="269"/>
      <c r="CP90" s="269"/>
      <c r="CQ90" s="269"/>
      <c r="CR90" s="269"/>
      <c r="CS90" s="269"/>
      <c r="CT90" s="269"/>
      <c r="CU90" s="269"/>
      <c r="CV90" s="269"/>
      <c r="CW90" s="269"/>
      <c r="CX90" s="269"/>
      <c r="CY90" s="269"/>
      <c r="CZ90" s="269"/>
      <c r="DA90" s="269"/>
      <c r="DB90" s="269"/>
      <c r="DC90" s="269"/>
      <c r="DD90" s="269"/>
      <c r="DE90" s="269"/>
      <c r="DF90" s="269"/>
      <c r="DG90" s="269"/>
      <c r="DH90" s="269"/>
      <c r="DI90" s="269"/>
      <c r="DJ90" s="269"/>
      <c r="DK90" s="269"/>
      <c r="DL90" s="269"/>
      <c r="DM90" s="269"/>
      <c r="DN90" s="269"/>
      <c r="DO90" s="269"/>
      <c r="DP90" s="269"/>
      <c r="DQ90" s="269"/>
      <c r="DR90" s="269"/>
      <c r="DS90" s="269"/>
      <c r="DT90" s="269"/>
      <c r="DU90" s="269"/>
      <c r="DV90" s="269"/>
      <c r="DW90" s="269"/>
      <c r="DX90" s="269"/>
      <c r="DY90" s="269"/>
      <c r="DZ90" s="269"/>
      <c r="EA90" s="269"/>
      <c r="EB90" s="269"/>
    </row>
    <row r="91" spans="1:132" ht="21" customHeight="1" thickBot="1">
      <c r="A91" s="82"/>
      <c r="B91" s="82"/>
      <c r="C91" s="533" t="s">
        <v>300</v>
      </c>
      <c r="D91" s="534"/>
      <c r="E91" s="534"/>
      <c r="F91" s="534"/>
      <c r="G91" s="534"/>
      <c r="H91" s="534"/>
      <c r="I91" s="534"/>
      <c r="J91" s="534"/>
      <c r="K91" s="534"/>
      <c r="L91" s="534"/>
      <c r="M91" s="534"/>
      <c r="N91" s="534"/>
      <c r="O91" s="534"/>
      <c r="P91" s="534"/>
      <c r="Q91" s="534"/>
      <c r="R91" s="534"/>
      <c r="S91" s="534"/>
      <c r="T91" s="534"/>
      <c r="U91" s="534"/>
      <c r="V91" s="534"/>
      <c r="W91" s="534"/>
      <c r="X91" s="534"/>
      <c r="Y91" s="534"/>
      <c r="Z91" s="534"/>
      <c r="AA91" s="534"/>
      <c r="AB91" s="534"/>
      <c r="AC91" s="534"/>
      <c r="AD91" s="534"/>
      <c r="AE91" s="534"/>
      <c r="AF91" s="534"/>
      <c r="AG91" s="534"/>
      <c r="AH91" s="534"/>
      <c r="AI91" s="534"/>
      <c r="AJ91" s="534"/>
      <c r="AK91" s="534"/>
      <c r="AL91" s="534"/>
      <c r="AM91" s="534"/>
      <c r="AN91" s="534"/>
      <c r="AO91" s="534"/>
      <c r="AP91" s="534"/>
      <c r="AQ91" s="534"/>
      <c r="AR91" s="534"/>
      <c r="AS91" s="534"/>
      <c r="AT91" s="534"/>
      <c r="AU91" s="534"/>
      <c r="AV91" s="534"/>
      <c r="AW91" s="535"/>
      <c r="AX91" s="82"/>
      <c r="AY91" s="82"/>
      <c r="AZ91" s="533" t="s">
        <v>299</v>
      </c>
      <c r="BA91" s="534"/>
      <c r="BB91" s="534"/>
      <c r="BC91" s="534"/>
      <c r="BD91" s="534"/>
      <c r="BE91" s="534"/>
      <c r="BF91" s="534"/>
      <c r="BG91" s="534"/>
      <c r="BH91" s="534"/>
      <c r="BI91" s="534"/>
      <c r="BJ91" s="534"/>
      <c r="BK91" s="534"/>
      <c r="BL91" s="534"/>
      <c r="BM91" s="534"/>
      <c r="BN91" s="534"/>
      <c r="BO91" s="534"/>
      <c r="BP91" s="534"/>
      <c r="BQ91" s="534"/>
      <c r="BR91" s="534"/>
      <c r="BS91" s="534"/>
      <c r="BT91" s="534"/>
      <c r="BU91" s="534"/>
      <c r="BV91" s="534"/>
      <c r="BW91" s="534"/>
      <c r="BX91" s="534"/>
      <c r="BY91" s="534"/>
      <c r="BZ91" s="534"/>
      <c r="CA91" s="534"/>
      <c r="CB91" s="534"/>
      <c r="CC91" s="534"/>
      <c r="CD91" s="534"/>
      <c r="CE91" s="534"/>
      <c r="CF91" s="534"/>
      <c r="CG91" s="534"/>
      <c r="CH91" s="534"/>
      <c r="CI91" s="534"/>
      <c r="CJ91" s="534"/>
      <c r="CK91" s="534"/>
      <c r="CL91" s="534"/>
      <c r="CM91" s="534"/>
      <c r="CN91" s="534"/>
      <c r="CO91" s="534"/>
      <c r="CP91" s="534"/>
      <c r="CQ91" s="534"/>
      <c r="CR91" s="534"/>
      <c r="CS91" s="534"/>
      <c r="CT91" s="535"/>
      <c r="CU91" s="269"/>
      <c r="CV91" s="269"/>
      <c r="CW91" s="269"/>
      <c r="CX91" s="269"/>
      <c r="CY91" s="269"/>
      <c r="CZ91" s="269"/>
      <c r="DA91" s="269"/>
      <c r="DB91" s="269"/>
      <c r="DC91" s="269"/>
      <c r="DD91" s="269"/>
      <c r="DE91" s="269"/>
      <c r="DF91" s="269"/>
      <c r="DG91" s="269"/>
      <c r="DH91" s="269"/>
      <c r="DI91" s="269"/>
      <c r="DJ91" s="269"/>
      <c r="DK91" s="269"/>
      <c r="DL91" s="269"/>
      <c r="DM91" s="269"/>
      <c r="DN91" s="269"/>
      <c r="DO91" s="269"/>
      <c r="DP91" s="269"/>
      <c r="DQ91" s="269"/>
      <c r="DR91" s="269"/>
      <c r="DS91" s="269"/>
      <c r="DT91" s="269"/>
      <c r="DU91" s="269"/>
      <c r="DV91" s="269"/>
      <c r="DW91" s="269"/>
      <c r="DX91" s="269"/>
      <c r="DY91" s="269"/>
      <c r="DZ91" s="269"/>
      <c r="EA91" s="269"/>
      <c r="EB91" s="269"/>
    </row>
    <row r="92" spans="1:132" ht="18" customHeight="1" thickBot="1">
      <c r="A92" s="82"/>
      <c r="B92" s="82"/>
      <c r="C92" s="536"/>
      <c r="D92" s="537"/>
      <c r="E92" s="424" t="s">
        <v>334</v>
      </c>
      <c r="F92" s="425" t="s">
        <v>335</v>
      </c>
      <c r="G92" s="426" t="s">
        <v>336</v>
      </c>
      <c r="H92" s="425" t="s">
        <v>337</v>
      </c>
      <c r="I92" s="427" t="s">
        <v>338</v>
      </c>
      <c r="J92" s="425" t="s">
        <v>339</v>
      </c>
      <c r="K92" s="425" t="s">
        <v>340</v>
      </c>
      <c r="L92" s="425" t="s">
        <v>341</v>
      </c>
      <c r="M92" s="425" t="s">
        <v>342</v>
      </c>
      <c r="N92" s="425" t="s">
        <v>343</v>
      </c>
      <c r="O92" s="427" t="s">
        <v>344</v>
      </c>
      <c r="P92" s="425" t="s">
        <v>345</v>
      </c>
      <c r="Q92" s="426" t="s">
        <v>225</v>
      </c>
      <c r="R92" s="426" t="s">
        <v>226</v>
      </c>
      <c r="S92" s="426" t="s">
        <v>227</v>
      </c>
      <c r="T92" s="426" t="s">
        <v>346</v>
      </c>
      <c r="U92" s="426" t="s">
        <v>347</v>
      </c>
      <c r="V92" s="426" t="s">
        <v>348</v>
      </c>
      <c r="W92" s="426" t="s">
        <v>349</v>
      </c>
      <c r="X92" s="426" t="s">
        <v>350</v>
      </c>
      <c r="Y92" s="426" t="s">
        <v>351</v>
      </c>
      <c r="Z92" s="426" t="s">
        <v>352</v>
      </c>
      <c r="AA92" s="426" t="s">
        <v>353</v>
      </c>
      <c r="AB92" s="426" t="s">
        <v>354</v>
      </c>
      <c r="AC92" s="426" t="s">
        <v>355</v>
      </c>
      <c r="AD92" s="426" t="s">
        <v>356</v>
      </c>
      <c r="AE92" s="426" t="s">
        <v>357</v>
      </c>
      <c r="AF92" s="426" t="s">
        <v>358</v>
      </c>
      <c r="AG92" s="425" t="s">
        <v>359</v>
      </c>
      <c r="AH92" s="425" t="s">
        <v>360</v>
      </c>
      <c r="AI92" s="425" t="s">
        <v>361</v>
      </c>
      <c r="AJ92" s="425" t="s">
        <v>362</v>
      </c>
      <c r="AK92" s="425" t="s">
        <v>363</v>
      </c>
      <c r="AL92" s="425" t="s">
        <v>364</v>
      </c>
      <c r="AM92" s="425" t="s">
        <v>365</v>
      </c>
      <c r="AN92" s="425" t="s">
        <v>366</v>
      </c>
      <c r="AO92" s="425" t="s">
        <v>367</v>
      </c>
      <c r="AP92" s="425" t="s">
        <v>368</v>
      </c>
      <c r="AQ92" s="425" t="s">
        <v>369</v>
      </c>
      <c r="AR92" s="425"/>
      <c r="AS92" s="425"/>
      <c r="AT92" s="425"/>
      <c r="AU92" s="425"/>
      <c r="AV92" s="425"/>
      <c r="AW92" s="428"/>
      <c r="AX92" s="82"/>
      <c r="AY92" s="82"/>
      <c r="AZ92" s="531"/>
      <c r="BA92" s="532"/>
      <c r="BB92" s="414" t="s">
        <v>334</v>
      </c>
      <c r="BC92" s="412" t="s">
        <v>335</v>
      </c>
      <c r="BD92" s="415" t="s">
        <v>336</v>
      </c>
      <c r="BE92" s="412" t="s">
        <v>337</v>
      </c>
      <c r="BF92" s="416" t="s">
        <v>338</v>
      </c>
      <c r="BG92" s="412" t="s">
        <v>339</v>
      </c>
      <c r="BH92" s="412" t="s">
        <v>340</v>
      </c>
      <c r="BI92" s="412" t="s">
        <v>341</v>
      </c>
      <c r="BJ92" s="412" t="s">
        <v>342</v>
      </c>
      <c r="BK92" s="412" t="s">
        <v>343</v>
      </c>
      <c r="BL92" s="416" t="s">
        <v>344</v>
      </c>
      <c r="BM92" s="412" t="s">
        <v>345</v>
      </c>
      <c r="BN92" s="415" t="s">
        <v>225</v>
      </c>
      <c r="BO92" s="415" t="s">
        <v>226</v>
      </c>
      <c r="BP92" s="415" t="s">
        <v>227</v>
      </c>
      <c r="BQ92" s="415" t="s">
        <v>346</v>
      </c>
      <c r="BR92" s="415" t="s">
        <v>347</v>
      </c>
      <c r="BS92" s="415" t="s">
        <v>348</v>
      </c>
      <c r="BT92" s="412" t="s">
        <v>349</v>
      </c>
      <c r="BU92" s="412" t="s">
        <v>350</v>
      </c>
      <c r="BV92" s="412" t="s">
        <v>351</v>
      </c>
      <c r="BW92" s="412" t="s">
        <v>352</v>
      </c>
      <c r="BX92" s="412" t="s">
        <v>353</v>
      </c>
      <c r="BY92" s="412" t="s">
        <v>354</v>
      </c>
      <c r="BZ92" s="412" t="s">
        <v>355</v>
      </c>
      <c r="CA92" s="412" t="s">
        <v>356</v>
      </c>
      <c r="CB92" s="412" t="s">
        <v>357</v>
      </c>
      <c r="CC92" s="412" t="s">
        <v>358</v>
      </c>
      <c r="CD92" s="412" t="s">
        <v>359</v>
      </c>
      <c r="CE92" s="412" t="s">
        <v>360</v>
      </c>
      <c r="CF92" s="412" t="s">
        <v>361</v>
      </c>
      <c r="CG92" s="412" t="s">
        <v>362</v>
      </c>
      <c r="CH92" s="412" t="s">
        <v>363</v>
      </c>
      <c r="CI92" s="412" t="s">
        <v>364</v>
      </c>
      <c r="CJ92" s="412" t="s">
        <v>365</v>
      </c>
      <c r="CK92" s="412" t="s">
        <v>366</v>
      </c>
      <c r="CL92" s="412" t="s">
        <v>367</v>
      </c>
      <c r="CM92" s="412" t="s">
        <v>368</v>
      </c>
      <c r="CN92" s="412" t="s">
        <v>369</v>
      </c>
      <c r="CO92" s="412"/>
      <c r="CP92" s="412"/>
      <c r="CQ92" s="412"/>
      <c r="CR92" s="412"/>
      <c r="CS92" s="412"/>
      <c r="CT92" s="413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82"/>
      <c r="DP92" s="82"/>
      <c r="DQ92" s="82"/>
      <c r="DR92" s="82"/>
      <c r="DS92" s="82"/>
      <c r="DT92" s="82"/>
      <c r="DU92" s="82"/>
      <c r="DV92" s="82"/>
      <c r="DW92" s="82"/>
      <c r="DX92" s="82"/>
      <c r="DY92" s="82"/>
      <c r="DZ92" s="82"/>
      <c r="EA92" s="269"/>
      <c r="EB92" s="269"/>
    </row>
    <row r="93" spans="1:132" ht="18" customHeight="1">
      <c r="A93" s="82"/>
      <c r="B93" s="82"/>
      <c r="C93" s="417">
        <v>0</v>
      </c>
      <c r="D93" s="418">
        <v>37995.041666666199</v>
      </c>
      <c r="E93" s="419">
        <v>100</v>
      </c>
      <c r="F93" s="420">
        <v>100</v>
      </c>
      <c r="G93" s="421">
        <v>120</v>
      </c>
      <c r="H93" s="420">
        <v>96</v>
      </c>
      <c r="I93" s="422">
        <v>90</v>
      </c>
      <c r="J93" s="420">
        <v>90</v>
      </c>
      <c r="K93" s="420">
        <v>90</v>
      </c>
      <c r="L93" s="420">
        <v>95</v>
      </c>
      <c r="M93" s="421">
        <v>90</v>
      </c>
      <c r="N93" s="420">
        <v>90</v>
      </c>
      <c r="O93" s="422">
        <v>90</v>
      </c>
      <c r="P93" s="422">
        <v>90</v>
      </c>
      <c r="Q93" s="422">
        <v>95</v>
      </c>
      <c r="R93" s="422">
        <v>95</v>
      </c>
      <c r="S93" s="422">
        <v>95</v>
      </c>
      <c r="T93" s="422">
        <v>140</v>
      </c>
      <c r="U93" s="422">
        <v>145</v>
      </c>
      <c r="V93" s="422">
        <v>100.5</v>
      </c>
      <c r="W93" s="422">
        <v>100.2</v>
      </c>
      <c r="X93" s="422">
        <v>101</v>
      </c>
      <c r="Y93" s="422">
        <v>110</v>
      </c>
      <c r="Z93" s="422">
        <v>110</v>
      </c>
      <c r="AA93" s="422">
        <v>136</v>
      </c>
      <c r="AB93" s="422">
        <v>136</v>
      </c>
      <c r="AC93" s="422">
        <v>136</v>
      </c>
      <c r="AD93" s="422">
        <v>110</v>
      </c>
      <c r="AE93" s="422">
        <v>110</v>
      </c>
      <c r="AF93" s="422">
        <v>110</v>
      </c>
      <c r="AG93" s="420">
        <v>110</v>
      </c>
      <c r="AH93" s="420">
        <v>98</v>
      </c>
      <c r="AI93" s="420">
        <v>98</v>
      </c>
      <c r="AJ93" s="420">
        <v>100.5</v>
      </c>
      <c r="AK93" s="420">
        <v>100.5</v>
      </c>
      <c r="AL93" s="420">
        <v>97.5</v>
      </c>
      <c r="AM93" s="420">
        <v>97</v>
      </c>
      <c r="AN93" s="420">
        <v>100</v>
      </c>
      <c r="AO93" s="420">
        <v>100</v>
      </c>
      <c r="AP93" s="420">
        <v>100</v>
      </c>
      <c r="AQ93" s="420">
        <v>100</v>
      </c>
      <c r="AR93" s="420"/>
      <c r="AS93" s="420"/>
      <c r="AT93" s="420"/>
      <c r="AU93" s="420"/>
      <c r="AV93" s="420"/>
      <c r="AW93" s="423"/>
      <c r="AX93" s="82"/>
      <c r="AY93" s="82"/>
      <c r="AZ93" s="417">
        <v>0</v>
      </c>
      <c r="BA93" s="418">
        <v>37995.041666666199</v>
      </c>
      <c r="BB93" s="419">
        <v>100</v>
      </c>
      <c r="BC93" s="420">
        <v>100</v>
      </c>
      <c r="BD93" s="421">
        <v>120</v>
      </c>
      <c r="BE93" s="420">
        <v>96</v>
      </c>
      <c r="BF93" s="422">
        <v>90</v>
      </c>
      <c r="BG93" s="420">
        <v>90</v>
      </c>
      <c r="BH93" s="420">
        <v>90</v>
      </c>
      <c r="BI93" s="420">
        <v>95</v>
      </c>
      <c r="BJ93" s="421">
        <v>90</v>
      </c>
      <c r="BK93" s="420">
        <v>90</v>
      </c>
      <c r="BL93" s="422">
        <v>90</v>
      </c>
      <c r="BM93" s="422">
        <v>90</v>
      </c>
      <c r="BN93" s="422">
        <v>95</v>
      </c>
      <c r="BO93" s="422">
        <v>95</v>
      </c>
      <c r="BP93" s="422">
        <v>95</v>
      </c>
      <c r="BQ93" s="422">
        <v>140</v>
      </c>
      <c r="BR93" s="422">
        <v>145</v>
      </c>
      <c r="BS93" s="422">
        <v>100.5</v>
      </c>
      <c r="BT93" s="422">
        <v>100.2</v>
      </c>
      <c r="BU93" s="422">
        <v>101</v>
      </c>
      <c r="BV93" s="422">
        <v>110</v>
      </c>
      <c r="BW93" s="422">
        <v>110</v>
      </c>
      <c r="BX93" s="422">
        <v>136</v>
      </c>
      <c r="BY93" s="422">
        <v>136</v>
      </c>
      <c r="BZ93" s="422">
        <v>136</v>
      </c>
      <c r="CA93" s="422">
        <v>110</v>
      </c>
      <c r="CB93" s="422">
        <v>110</v>
      </c>
      <c r="CC93" s="422">
        <v>110</v>
      </c>
      <c r="CD93" s="420">
        <v>110</v>
      </c>
      <c r="CE93" s="420">
        <v>98</v>
      </c>
      <c r="CF93" s="420">
        <v>98</v>
      </c>
      <c r="CG93" s="420">
        <v>100.5</v>
      </c>
      <c r="CH93" s="420">
        <v>100.5</v>
      </c>
      <c r="CI93" s="420">
        <v>97.5</v>
      </c>
      <c r="CJ93" s="420">
        <v>97</v>
      </c>
      <c r="CK93" s="420">
        <v>100</v>
      </c>
      <c r="CL93" s="420">
        <v>100</v>
      </c>
      <c r="CM93" s="420">
        <v>100</v>
      </c>
      <c r="CN93" s="420">
        <v>100</v>
      </c>
      <c r="CO93" s="420"/>
      <c r="CP93" s="420"/>
      <c r="CQ93" s="420"/>
      <c r="CR93" s="420"/>
      <c r="CS93" s="420"/>
      <c r="CT93" s="423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82"/>
      <c r="DP93" s="82"/>
      <c r="DQ93" s="82"/>
      <c r="DR93" s="82"/>
      <c r="DS93" s="82"/>
      <c r="DT93" s="82"/>
      <c r="DU93" s="82"/>
      <c r="DV93" s="82"/>
      <c r="DW93" s="82"/>
      <c r="DX93" s="82"/>
      <c r="DY93" s="82"/>
      <c r="DZ93" s="82"/>
      <c r="EA93" s="269"/>
      <c r="EB93" s="269"/>
    </row>
    <row r="94" spans="1:132" ht="18.75" customHeight="1">
      <c r="A94" s="82"/>
      <c r="B94" s="82"/>
      <c r="C94" s="394">
        <f>+D93</f>
        <v>37995.041666666199</v>
      </c>
      <c r="D94" s="401">
        <v>37995.083333332863</v>
      </c>
      <c r="E94" s="255">
        <v>100</v>
      </c>
      <c r="F94" s="123">
        <v>100</v>
      </c>
      <c r="G94" s="271">
        <v>120</v>
      </c>
      <c r="H94" s="123">
        <v>96</v>
      </c>
      <c r="I94" s="313">
        <v>90</v>
      </c>
      <c r="J94" s="123">
        <v>90</v>
      </c>
      <c r="K94" s="123">
        <v>90</v>
      </c>
      <c r="L94" s="123">
        <v>95</v>
      </c>
      <c r="M94" s="271">
        <v>90</v>
      </c>
      <c r="N94" s="123">
        <v>90</v>
      </c>
      <c r="O94" s="313">
        <v>90</v>
      </c>
      <c r="P94" s="313">
        <v>90</v>
      </c>
      <c r="Q94" s="313">
        <v>95</v>
      </c>
      <c r="R94" s="313">
        <v>95</v>
      </c>
      <c r="S94" s="313">
        <v>95</v>
      </c>
      <c r="T94" s="313">
        <v>140</v>
      </c>
      <c r="U94" s="313">
        <v>145</v>
      </c>
      <c r="V94" s="313">
        <v>100.5</v>
      </c>
      <c r="W94" s="313">
        <v>100.2</v>
      </c>
      <c r="X94" s="313">
        <v>101</v>
      </c>
      <c r="Y94" s="313">
        <v>110</v>
      </c>
      <c r="Z94" s="313">
        <v>110</v>
      </c>
      <c r="AA94" s="313">
        <v>136</v>
      </c>
      <c r="AB94" s="313">
        <v>136</v>
      </c>
      <c r="AC94" s="313">
        <v>136</v>
      </c>
      <c r="AD94" s="313">
        <v>110</v>
      </c>
      <c r="AE94" s="313">
        <v>110</v>
      </c>
      <c r="AF94" s="313">
        <v>110</v>
      </c>
      <c r="AG94" s="123">
        <v>110</v>
      </c>
      <c r="AH94" s="123">
        <v>98</v>
      </c>
      <c r="AI94" s="123">
        <v>98</v>
      </c>
      <c r="AJ94" s="123">
        <v>100.5</v>
      </c>
      <c r="AK94" s="123">
        <v>100.5</v>
      </c>
      <c r="AL94" s="123">
        <v>97.5</v>
      </c>
      <c r="AM94" s="123">
        <v>97</v>
      </c>
      <c r="AN94" s="123">
        <v>100</v>
      </c>
      <c r="AO94" s="123">
        <v>100</v>
      </c>
      <c r="AP94" s="123">
        <v>100</v>
      </c>
      <c r="AQ94" s="123">
        <v>100</v>
      </c>
      <c r="AR94" s="123"/>
      <c r="AS94" s="123"/>
      <c r="AT94" s="123"/>
      <c r="AU94" s="123"/>
      <c r="AV94" s="123"/>
      <c r="AW94" s="354"/>
      <c r="AX94" s="82"/>
      <c r="AY94" s="82"/>
      <c r="AZ94" s="394">
        <f>+BA93</f>
        <v>37995.041666666199</v>
      </c>
      <c r="BA94" s="401">
        <v>37995.083333332863</v>
      </c>
      <c r="BB94" s="255">
        <v>100</v>
      </c>
      <c r="BC94" s="123">
        <v>100</v>
      </c>
      <c r="BD94" s="271">
        <v>120</v>
      </c>
      <c r="BE94" s="123">
        <v>96</v>
      </c>
      <c r="BF94" s="313">
        <v>90</v>
      </c>
      <c r="BG94" s="123">
        <v>90</v>
      </c>
      <c r="BH94" s="123">
        <v>90</v>
      </c>
      <c r="BI94" s="123">
        <v>95</v>
      </c>
      <c r="BJ94" s="271">
        <v>90</v>
      </c>
      <c r="BK94" s="123">
        <v>90</v>
      </c>
      <c r="BL94" s="313">
        <v>90</v>
      </c>
      <c r="BM94" s="313">
        <v>90</v>
      </c>
      <c r="BN94" s="313">
        <v>95</v>
      </c>
      <c r="BO94" s="313">
        <v>95</v>
      </c>
      <c r="BP94" s="313">
        <v>95</v>
      </c>
      <c r="BQ94" s="313">
        <v>140</v>
      </c>
      <c r="BR94" s="313">
        <v>145</v>
      </c>
      <c r="BS94" s="313">
        <v>100.5</v>
      </c>
      <c r="BT94" s="313">
        <v>100.2</v>
      </c>
      <c r="BU94" s="313">
        <v>101</v>
      </c>
      <c r="BV94" s="313">
        <v>110</v>
      </c>
      <c r="BW94" s="313">
        <v>110</v>
      </c>
      <c r="BX94" s="313">
        <v>136</v>
      </c>
      <c r="BY94" s="313">
        <v>136</v>
      </c>
      <c r="BZ94" s="313">
        <v>136</v>
      </c>
      <c r="CA94" s="313">
        <v>110</v>
      </c>
      <c r="CB94" s="313">
        <v>110</v>
      </c>
      <c r="CC94" s="313">
        <v>110</v>
      </c>
      <c r="CD94" s="123">
        <v>110</v>
      </c>
      <c r="CE94" s="123">
        <v>98</v>
      </c>
      <c r="CF94" s="123">
        <v>98</v>
      </c>
      <c r="CG94" s="123">
        <v>100.5</v>
      </c>
      <c r="CH94" s="123">
        <v>100.5</v>
      </c>
      <c r="CI94" s="123">
        <v>97.5</v>
      </c>
      <c r="CJ94" s="123">
        <v>97</v>
      </c>
      <c r="CK94" s="123">
        <v>100</v>
      </c>
      <c r="CL94" s="123">
        <v>100</v>
      </c>
      <c r="CM94" s="123">
        <v>100</v>
      </c>
      <c r="CN94" s="123">
        <v>100</v>
      </c>
      <c r="CO94" s="123"/>
      <c r="CP94" s="123"/>
      <c r="CQ94" s="123"/>
      <c r="CR94" s="123"/>
      <c r="CS94" s="123"/>
      <c r="CT94" s="354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82"/>
      <c r="DP94" s="82"/>
      <c r="DQ94" s="82"/>
      <c r="DR94" s="82"/>
      <c r="DS94" s="82"/>
      <c r="DT94" s="82"/>
      <c r="DU94" s="82"/>
      <c r="DV94" s="82"/>
      <c r="DW94" s="82"/>
      <c r="DX94" s="82"/>
      <c r="DY94" s="82"/>
      <c r="DZ94" s="82"/>
      <c r="EA94" s="269"/>
      <c r="EB94" s="269"/>
    </row>
    <row r="95" spans="1:132" ht="15">
      <c r="A95" s="82"/>
      <c r="B95" s="82"/>
      <c r="C95" s="394">
        <v>37995.083333332863</v>
      </c>
      <c r="D95" s="401">
        <v>37995.124999999527</v>
      </c>
      <c r="E95" s="255">
        <v>100</v>
      </c>
      <c r="F95" s="123">
        <v>100</v>
      </c>
      <c r="G95" s="271">
        <v>120</v>
      </c>
      <c r="H95" s="123">
        <v>96</v>
      </c>
      <c r="I95" s="313">
        <v>90</v>
      </c>
      <c r="J95" s="123">
        <v>90</v>
      </c>
      <c r="K95" s="123">
        <v>90</v>
      </c>
      <c r="L95" s="123">
        <v>95</v>
      </c>
      <c r="M95" s="271">
        <v>90</v>
      </c>
      <c r="N95" s="123">
        <v>90</v>
      </c>
      <c r="O95" s="313">
        <v>90</v>
      </c>
      <c r="P95" s="313">
        <v>90</v>
      </c>
      <c r="Q95" s="313">
        <v>95</v>
      </c>
      <c r="R95" s="313">
        <v>95</v>
      </c>
      <c r="S95" s="313">
        <v>95</v>
      </c>
      <c r="T95" s="313">
        <v>140</v>
      </c>
      <c r="U95" s="313">
        <v>145</v>
      </c>
      <c r="V95" s="313">
        <v>100.5</v>
      </c>
      <c r="W95" s="313">
        <v>100.2</v>
      </c>
      <c r="X95" s="313">
        <v>101</v>
      </c>
      <c r="Y95" s="313">
        <v>110</v>
      </c>
      <c r="Z95" s="313">
        <v>110</v>
      </c>
      <c r="AA95" s="313">
        <v>136</v>
      </c>
      <c r="AB95" s="313">
        <v>136</v>
      </c>
      <c r="AC95" s="313">
        <v>136</v>
      </c>
      <c r="AD95" s="313">
        <v>110</v>
      </c>
      <c r="AE95" s="313">
        <v>110</v>
      </c>
      <c r="AF95" s="313">
        <v>110</v>
      </c>
      <c r="AG95" s="123">
        <v>110</v>
      </c>
      <c r="AH95" s="123">
        <v>98</v>
      </c>
      <c r="AI95" s="123">
        <v>98</v>
      </c>
      <c r="AJ95" s="123">
        <v>100.5</v>
      </c>
      <c r="AK95" s="123">
        <v>100.5</v>
      </c>
      <c r="AL95" s="123">
        <v>97.5</v>
      </c>
      <c r="AM95" s="123">
        <v>97</v>
      </c>
      <c r="AN95" s="123">
        <v>100</v>
      </c>
      <c r="AO95" s="123">
        <v>100</v>
      </c>
      <c r="AP95" s="123">
        <v>100</v>
      </c>
      <c r="AQ95" s="123">
        <v>100</v>
      </c>
      <c r="AR95" s="123"/>
      <c r="AS95" s="123"/>
      <c r="AT95" s="123"/>
      <c r="AU95" s="123"/>
      <c r="AV95" s="123"/>
      <c r="AW95" s="354"/>
      <c r="AX95" s="82"/>
      <c r="AY95" s="82"/>
      <c r="AZ95" s="394">
        <v>37995.083333332863</v>
      </c>
      <c r="BA95" s="401">
        <v>37995.124999999527</v>
      </c>
      <c r="BB95" s="255">
        <v>100</v>
      </c>
      <c r="BC95" s="123">
        <v>100</v>
      </c>
      <c r="BD95" s="271">
        <v>120</v>
      </c>
      <c r="BE95" s="123">
        <v>96</v>
      </c>
      <c r="BF95" s="313">
        <v>90</v>
      </c>
      <c r="BG95" s="123">
        <v>90</v>
      </c>
      <c r="BH95" s="123">
        <v>90</v>
      </c>
      <c r="BI95" s="123">
        <v>95</v>
      </c>
      <c r="BJ95" s="271">
        <v>90</v>
      </c>
      <c r="BK95" s="123">
        <v>90</v>
      </c>
      <c r="BL95" s="313">
        <v>90</v>
      </c>
      <c r="BM95" s="313">
        <v>90</v>
      </c>
      <c r="BN95" s="313">
        <v>95</v>
      </c>
      <c r="BO95" s="313">
        <v>95</v>
      </c>
      <c r="BP95" s="313">
        <v>95</v>
      </c>
      <c r="BQ95" s="313">
        <v>140</v>
      </c>
      <c r="BR95" s="313">
        <v>145</v>
      </c>
      <c r="BS95" s="313">
        <v>100.5</v>
      </c>
      <c r="BT95" s="313">
        <v>100.2</v>
      </c>
      <c r="BU95" s="313">
        <v>101</v>
      </c>
      <c r="BV95" s="313">
        <v>110</v>
      </c>
      <c r="BW95" s="313">
        <v>110</v>
      </c>
      <c r="BX95" s="313">
        <v>136</v>
      </c>
      <c r="BY95" s="313">
        <v>136</v>
      </c>
      <c r="BZ95" s="313">
        <v>136</v>
      </c>
      <c r="CA95" s="313">
        <v>110</v>
      </c>
      <c r="CB95" s="313">
        <v>110</v>
      </c>
      <c r="CC95" s="313">
        <v>110</v>
      </c>
      <c r="CD95" s="123">
        <v>110</v>
      </c>
      <c r="CE95" s="123">
        <v>98</v>
      </c>
      <c r="CF95" s="123">
        <v>98</v>
      </c>
      <c r="CG95" s="123">
        <v>100.5</v>
      </c>
      <c r="CH95" s="123">
        <v>100.5</v>
      </c>
      <c r="CI95" s="123">
        <v>97.5</v>
      </c>
      <c r="CJ95" s="123">
        <v>97</v>
      </c>
      <c r="CK95" s="123">
        <v>100</v>
      </c>
      <c r="CL95" s="123">
        <v>100</v>
      </c>
      <c r="CM95" s="123">
        <v>100</v>
      </c>
      <c r="CN95" s="123">
        <v>100</v>
      </c>
      <c r="CO95" s="123"/>
      <c r="CP95" s="123"/>
      <c r="CQ95" s="123"/>
      <c r="CR95" s="123"/>
      <c r="CS95" s="123"/>
      <c r="CT95" s="354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82"/>
      <c r="DT95" s="82"/>
      <c r="DU95" s="82"/>
      <c r="DV95" s="82"/>
      <c r="DW95" s="82"/>
      <c r="DX95" s="82"/>
      <c r="DY95" s="82"/>
      <c r="DZ95" s="82"/>
      <c r="EA95" s="269"/>
      <c r="EB95" s="269"/>
    </row>
    <row r="96" spans="1:132" ht="15">
      <c r="A96" s="82"/>
      <c r="B96" s="82"/>
      <c r="C96" s="394">
        <v>37995.124999999527</v>
      </c>
      <c r="D96" s="401">
        <v>37995.166666666191</v>
      </c>
      <c r="E96" s="255">
        <v>100</v>
      </c>
      <c r="F96" s="123">
        <v>100</v>
      </c>
      <c r="G96" s="271">
        <v>120</v>
      </c>
      <c r="H96" s="123">
        <v>96</v>
      </c>
      <c r="I96" s="313">
        <v>90</v>
      </c>
      <c r="J96" s="123">
        <v>90</v>
      </c>
      <c r="K96" s="123">
        <v>90</v>
      </c>
      <c r="L96" s="123">
        <v>95</v>
      </c>
      <c r="M96" s="271">
        <v>90</v>
      </c>
      <c r="N96" s="123">
        <v>90</v>
      </c>
      <c r="O96" s="313">
        <v>90</v>
      </c>
      <c r="P96" s="313">
        <v>90</v>
      </c>
      <c r="Q96" s="313">
        <v>95</v>
      </c>
      <c r="R96" s="313">
        <v>95</v>
      </c>
      <c r="S96" s="313">
        <v>95</v>
      </c>
      <c r="T96" s="313">
        <v>140</v>
      </c>
      <c r="U96" s="313">
        <v>145</v>
      </c>
      <c r="V96" s="313">
        <v>100.5</v>
      </c>
      <c r="W96" s="313">
        <v>100.2</v>
      </c>
      <c r="X96" s="313">
        <v>101</v>
      </c>
      <c r="Y96" s="313">
        <v>110</v>
      </c>
      <c r="Z96" s="313">
        <v>110</v>
      </c>
      <c r="AA96" s="313">
        <v>136</v>
      </c>
      <c r="AB96" s="313">
        <v>136</v>
      </c>
      <c r="AC96" s="313">
        <v>136</v>
      </c>
      <c r="AD96" s="313">
        <v>110</v>
      </c>
      <c r="AE96" s="313">
        <v>110</v>
      </c>
      <c r="AF96" s="313">
        <v>110</v>
      </c>
      <c r="AG96" s="123">
        <v>110</v>
      </c>
      <c r="AH96" s="123">
        <v>98</v>
      </c>
      <c r="AI96" s="123">
        <v>98</v>
      </c>
      <c r="AJ96" s="123">
        <v>100.5</v>
      </c>
      <c r="AK96" s="123">
        <v>100.5</v>
      </c>
      <c r="AL96" s="123">
        <v>97.5</v>
      </c>
      <c r="AM96" s="123">
        <v>97</v>
      </c>
      <c r="AN96" s="123">
        <v>100</v>
      </c>
      <c r="AO96" s="123">
        <v>100</v>
      </c>
      <c r="AP96" s="123">
        <v>100</v>
      </c>
      <c r="AQ96" s="123">
        <v>100</v>
      </c>
      <c r="AR96" s="123"/>
      <c r="AS96" s="123"/>
      <c r="AT96" s="123"/>
      <c r="AU96" s="123"/>
      <c r="AV96" s="123"/>
      <c r="AW96" s="354"/>
      <c r="AX96" s="82"/>
      <c r="AY96" s="82"/>
      <c r="AZ96" s="394">
        <v>37995.124999999527</v>
      </c>
      <c r="BA96" s="401">
        <v>37995.166666666191</v>
      </c>
      <c r="BB96" s="255">
        <v>100</v>
      </c>
      <c r="BC96" s="123">
        <v>100</v>
      </c>
      <c r="BD96" s="271">
        <v>120</v>
      </c>
      <c r="BE96" s="123">
        <v>96</v>
      </c>
      <c r="BF96" s="313">
        <v>90</v>
      </c>
      <c r="BG96" s="123">
        <v>90</v>
      </c>
      <c r="BH96" s="123">
        <v>90</v>
      </c>
      <c r="BI96" s="123">
        <v>95</v>
      </c>
      <c r="BJ96" s="271">
        <v>90</v>
      </c>
      <c r="BK96" s="123">
        <v>90</v>
      </c>
      <c r="BL96" s="313">
        <v>90</v>
      </c>
      <c r="BM96" s="313">
        <v>90</v>
      </c>
      <c r="BN96" s="313">
        <v>95</v>
      </c>
      <c r="BO96" s="313">
        <v>95</v>
      </c>
      <c r="BP96" s="313">
        <v>95</v>
      </c>
      <c r="BQ96" s="313">
        <v>140</v>
      </c>
      <c r="BR96" s="313">
        <v>145</v>
      </c>
      <c r="BS96" s="313">
        <v>100.5</v>
      </c>
      <c r="BT96" s="313">
        <v>100.2</v>
      </c>
      <c r="BU96" s="313">
        <v>101</v>
      </c>
      <c r="BV96" s="313">
        <v>110</v>
      </c>
      <c r="BW96" s="313">
        <v>110</v>
      </c>
      <c r="BX96" s="313">
        <v>136</v>
      </c>
      <c r="BY96" s="313">
        <v>136</v>
      </c>
      <c r="BZ96" s="313">
        <v>136</v>
      </c>
      <c r="CA96" s="313">
        <v>110</v>
      </c>
      <c r="CB96" s="313">
        <v>110</v>
      </c>
      <c r="CC96" s="313">
        <v>110</v>
      </c>
      <c r="CD96" s="123">
        <v>110</v>
      </c>
      <c r="CE96" s="123">
        <v>98</v>
      </c>
      <c r="CF96" s="123">
        <v>98</v>
      </c>
      <c r="CG96" s="123">
        <v>100.5</v>
      </c>
      <c r="CH96" s="123">
        <v>100.5</v>
      </c>
      <c r="CI96" s="123">
        <v>97.5</v>
      </c>
      <c r="CJ96" s="123">
        <v>97</v>
      </c>
      <c r="CK96" s="123">
        <v>100</v>
      </c>
      <c r="CL96" s="123">
        <v>100</v>
      </c>
      <c r="CM96" s="123">
        <v>100</v>
      </c>
      <c r="CN96" s="123">
        <v>100</v>
      </c>
      <c r="CO96" s="123"/>
      <c r="CP96" s="123"/>
      <c r="CQ96" s="123"/>
      <c r="CR96" s="123"/>
      <c r="CS96" s="123"/>
      <c r="CT96" s="354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82"/>
      <c r="DN96" s="82"/>
      <c r="DO96" s="82"/>
      <c r="DP96" s="82"/>
      <c r="DQ96" s="82"/>
      <c r="DR96" s="82"/>
      <c r="DS96" s="82"/>
      <c r="DT96" s="82"/>
      <c r="DU96" s="82"/>
      <c r="DV96" s="82"/>
      <c r="DW96" s="82"/>
      <c r="DX96" s="82"/>
      <c r="DY96" s="82"/>
      <c r="DZ96" s="82"/>
      <c r="EA96" s="269"/>
      <c r="EB96" s="269"/>
    </row>
    <row r="97" spans="1:132" ht="15">
      <c r="A97" s="82"/>
      <c r="B97" s="82"/>
      <c r="C97" s="394">
        <v>37995.166666666191</v>
      </c>
      <c r="D97" s="401">
        <v>37995.208333332856</v>
      </c>
      <c r="E97" s="255">
        <v>100</v>
      </c>
      <c r="F97" s="123">
        <v>100</v>
      </c>
      <c r="G97" s="271">
        <v>120</v>
      </c>
      <c r="H97" s="123">
        <v>96</v>
      </c>
      <c r="I97" s="313">
        <v>90</v>
      </c>
      <c r="J97" s="123">
        <v>90</v>
      </c>
      <c r="K97" s="123">
        <v>90</v>
      </c>
      <c r="L97" s="123">
        <v>95</v>
      </c>
      <c r="M97" s="271">
        <v>90</v>
      </c>
      <c r="N97" s="123">
        <v>90</v>
      </c>
      <c r="O97" s="313">
        <v>90</v>
      </c>
      <c r="P97" s="313">
        <v>90</v>
      </c>
      <c r="Q97" s="313">
        <v>95</v>
      </c>
      <c r="R97" s="313">
        <v>95</v>
      </c>
      <c r="S97" s="313">
        <v>95</v>
      </c>
      <c r="T97" s="313">
        <v>140</v>
      </c>
      <c r="U97" s="313">
        <v>145</v>
      </c>
      <c r="V97" s="313">
        <v>100.5</v>
      </c>
      <c r="W97" s="313">
        <v>100.2</v>
      </c>
      <c r="X97" s="313">
        <v>101</v>
      </c>
      <c r="Y97" s="313">
        <v>110</v>
      </c>
      <c r="Z97" s="313">
        <v>110</v>
      </c>
      <c r="AA97" s="313">
        <v>136</v>
      </c>
      <c r="AB97" s="313">
        <v>136</v>
      </c>
      <c r="AC97" s="313">
        <v>136</v>
      </c>
      <c r="AD97" s="313">
        <v>110</v>
      </c>
      <c r="AE97" s="313">
        <v>110</v>
      </c>
      <c r="AF97" s="313">
        <v>110</v>
      </c>
      <c r="AG97" s="123">
        <v>110</v>
      </c>
      <c r="AH97" s="123">
        <v>98</v>
      </c>
      <c r="AI97" s="123">
        <v>98</v>
      </c>
      <c r="AJ97" s="123">
        <v>100.5</v>
      </c>
      <c r="AK97" s="123">
        <v>100.5</v>
      </c>
      <c r="AL97" s="123">
        <v>97.5</v>
      </c>
      <c r="AM97" s="123">
        <v>97</v>
      </c>
      <c r="AN97" s="123">
        <v>100</v>
      </c>
      <c r="AO97" s="123">
        <v>100</v>
      </c>
      <c r="AP97" s="123">
        <v>100</v>
      </c>
      <c r="AQ97" s="123">
        <v>100</v>
      </c>
      <c r="AR97" s="123"/>
      <c r="AS97" s="123"/>
      <c r="AT97" s="123"/>
      <c r="AU97" s="123"/>
      <c r="AV97" s="123"/>
      <c r="AW97" s="354"/>
      <c r="AX97" s="82"/>
      <c r="AY97" s="82"/>
      <c r="AZ97" s="394">
        <v>37995.166666666191</v>
      </c>
      <c r="BA97" s="401">
        <v>37995.208333332856</v>
      </c>
      <c r="BB97" s="255">
        <v>100</v>
      </c>
      <c r="BC97" s="123">
        <v>100</v>
      </c>
      <c r="BD97" s="271">
        <v>120</v>
      </c>
      <c r="BE97" s="123">
        <v>96</v>
      </c>
      <c r="BF97" s="313">
        <v>90</v>
      </c>
      <c r="BG97" s="123">
        <v>90</v>
      </c>
      <c r="BH97" s="123">
        <v>90</v>
      </c>
      <c r="BI97" s="123">
        <v>95</v>
      </c>
      <c r="BJ97" s="271">
        <v>90</v>
      </c>
      <c r="BK97" s="123">
        <v>90</v>
      </c>
      <c r="BL97" s="313">
        <v>90</v>
      </c>
      <c r="BM97" s="313">
        <v>90</v>
      </c>
      <c r="BN97" s="313">
        <v>95</v>
      </c>
      <c r="BO97" s="313">
        <v>95</v>
      </c>
      <c r="BP97" s="313">
        <v>95</v>
      </c>
      <c r="BQ97" s="313">
        <v>140</v>
      </c>
      <c r="BR97" s="313">
        <v>145</v>
      </c>
      <c r="BS97" s="313">
        <v>100.5</v>
      </c>
      <c r="BT97" s="313">
        <v>100.2</v>
      </c>
      <c r="BU97" s="313">
        <v>101</v>
      </c>
      <c r="BV97" s="313">
        <v>110</v>
      </c>
      <c r="BW97" s="313">
        <v>110</v>
      </c>
      <c r="BX97" s="313">
        <v>136</v>
      </c>
      <c r="BY97" s="313">
        <v>136</v>
      </c>
      <c r="BZ97" s="313">
        <v>136</v>
      </c>
      <c r="CA97" s="313">
        <v>110</v>
      </c>
      <c r="CB97" s="313">
        <v>110</v>
      </c>
      <c r="CC97" s="313">
        <v>110</v>
      </c>
      <c r="CD97" s="123">
        <v>110</v>
      </c>
      <c r="CE97" s="123">
        <v>98</v>
      </c>
      <c r="CF97" s="123">
        <v>98</v>
      </c>
      <c r="CG97" s="123">
        <v>100.5</v>
      </c>
      <c r="CH97" s="123">
        <v>100.5</v>
      </c>
      <c r="CI97" s="123">
        <v>97.5</v>
      </c>
      <c r="CJ97" s="123">
        <v>97</v>
      </c>
      <c r="CK97" s="123">
        <v>100</v>
      </c>
      <c r="CL97" s="123">
        <v>100</v>
      </c>
      <c r="CM97" s="123">
        <v>100</v>
      </c>
      <c r="CN97" s="123">
        <v>100</v>
      </c>
      <c r="CO97" s="123"/>
      <c r="CP97" s="123"/>
      <c r="CQ97" s="123"/>
      <c r="CR97" s="123"/>
      <c r="CS97" s="123"/>
      <c r="CT97" s="354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82"/>
      <c r="DN97" s="82"/>
      <c r="DO97" s="82"/>
      <c r="DP97" s="82"/>
      <c r="DQ97" s="82"/>
      <c r="DR97" s="82"/>
      <c r="DS97" s="82"/>
      <c r="DT97" s="82"/>
      <c r="DU97" s="82"/>
      <c r="DV97" s="82"/>
      <c r="DW97" s="82"/>
      <c r="DX97" s="82"/>
      <c r="DY97" s="82"/>
      <c r="DZ97" s="82"/>
      <c r="EA97" s="269"/>
      <c r="EB97" s="269"/>
    </row>
    <row r="98" spans="1:132" ht="15">
      <c r="A98" s="82"/>
      <c r="B98" s="82"/>
      <c r="C98" s="394">
        <v>37995.208333332856</v>
      </c>
      <c r="D98" s="401">
        <v>37995.24999999952</v>
      </c>
      <c r="E98" s="255">
        <v>100</v>
      </c>
      <c r="F98" s="123">
        <v>100</v>
      </c>
      <c r="G98" s="271">
        <v>120</v>
      </c>
      <c r="H98" s="123">
        <v>96</v>
      </c>
      <c r="I98" s="313">
        <v>90</v>
      </c>
      <c r="J98" s="123">
        <v>90</v>
      </c>
      <c r="K98" s="123">
        <v>90</v>
      </c>
      <c r="L98" s="123">
        <v>95</v>
      </c>
      <c r="M98" s="271">
        <v>90</v>
      </c>
      <c r="N98" s="123">
        <v>90</v>
      </c>
      <c r="O98" s="313">
        <v>90</v>
      </c>
      <c r="P98" s="313">
        <v>90</v>
      </c>
      <c r="Q98" s="313">
        <v>95</v>
      </c>
      <c r="R98" s="313">
        <v>95</v>
      </c>
      <c r="S98" s="313">
        <v>95</v>
      </c>
      <c r="T98" s="313">
        <v>140</v>
      </c>
      <c r="U98" s="313">
        <v>145</v>
      </c>
      <c r="V98" s="313">
        <v>100.5</v>
      </c>
      <c r="W98" s="313">
        <v>100.2</v>
      </c>
      <c r="X98" s="313">
        <v>101</v>
      </c>
      <c r="Y98" s="313">
        <v>110</v>
      </c>
      <c r="Z98" s="313">
        <v>110</v>
      </c>
      <c r="AA98" s="313">
        <v>136</v>
      </c>
      <c r="AB98" s="313">
        <v>136</v>
      </c>
      <c r="AC98" s="313">
        <v>136</v>
      </c>
      <c r="AD98" s="313">
        <v>110</v>
      </c>
      <c r="AE98" s="313">
        <v>110</v>
      </c>
      <c r="AF98" s="313">
        <v>110</v>
      </c>
      <c r="AG98" s="123">
        <v>110</v>
      </c>
      <c r="AH98" s="123">
        <v>98</v>
      </c>
      <c r="AI98" s="123">
        <v>98</v>
      </c>
      <c r="AJ98" s="123">
        <v>100.5</v>
      </c>
      <c r="AK98" s="123">
        <v>100.5</v>
      </c>
      <c r="AL98" s="123">
        <v>97.5</v>
      </c>
      <c r="AM98" s="123">
        <v>97</v>
      </c>
      <c r="AN98" s="123">
        <v>100</v>
      </c>
      <c r="AO98" s="123">
        <v>100</v>
      </c>
      <c r="AP98" s="123">
        <v>100</v>
      </c>
      <c r="AQ98" s="123">
        <v>100</v>
      </c>
      <c r="AR98" s="123"/>
      <c r="AS98" s="123"/>
      <c r="AT98" s="123"/>
      <c r="AU98" s="123"/>
      <c r="AV98" s="123"/>
      <c r="AW98" s="354"/>
      <c r="AX98" s="82"/>
      <c r="AY98" s="82"/>
      <c r="AZ98" s="394">
        <v>37995.208333332856</v>
      </c>
      <c r="BA98" s="401">
        <v>37995.24999999952</v>
      </c>
      <c r="BB98" s="255">
        <v>100</v>
      </c>
      <c r="BC98" s="123">
        <v>100</v>
      </c>
      <c r="BD98" s="271">
        <v>120</v>
      </c>
      <c r="BE98" s="123">
        <v>96</v>
      </c>
      <c r="BF98" s="313">
        <v>90</v>
      </c>
      <c r="BG98" s="123">
        <v>90</v>
      </c>
      <c r="BH98" s="123">
        <v>90</v>
      </c>
      <c r="BI98" s="123">
        <v>95</v>
      </c>
      <c r="BJ98" s="271">
        <v>90</v>
      </c>
      <c r="BK98" s="123">
        <v>90</v>
      </c>
      <c r="BL98" s="313">
        <v>90</v>
      </c>
      <c r="BM98" s="313">
        <v>90</v>
      </c>
      <c r="BN98" s="313">
        <v>95</v>
      </c>
      <c r="BO98" s="313">
        <v>95</v>
      </c>
      <c r="BP98" s="313">
        <v>95</v>
      </c>
      <c r="BQ98" s="313">
        <v>140</v>
      </c>
      <c r="BR98" s="313">
        <v>145</v>
      </c>
      <c r="BS98" s="313">
        <v>100.5</v>
      </c>
      <c r="BT98" s="313">
        <v>100.2</v>
      </c>
      <c r="BU98" s="313">
        <v>101</v>
      </c>
      <c r="BV98" s="313">
        <v>110</v>
      </c>
      <c r="BW98" s="313">
        <v>110</v>
      </c>
      <c r="BX98" s="313">
        <v>136</v>
      </c>
      <c r="BY98" s="313">
        <v>136</v>
      </c>
      <c r="BZ98" s="313">
        <v>136</v>
      </c>
      <c r="CA98" s="313">
        <v>110</v>
      </c>
      <c r="CB98" s="313">
        <v>110</v>
      </c>
      <c r="CC98" s="313">
        <v>110</v>
      </c>
      <c r="CD98" s="123">
        <v>110</v>
      </c>
      <c r="CE98" s="123">
        <v>98</v>
      </c>
      <c r="CF98" s="123">
        <v>98</v>
      </c>
      <c r="CG98" s="123">
        <v>100.5</v>
      </c>
      <c r="CH98" s="123">
        <v>100.5</v>
      </c>
      <c r="CI98" s="123">
        <v>97.5</v>
      </c>
      <c r="CJ98" s="123">
        <v>97</v>
      </c>
      <c r="CK98" s="123">
        <v>100</v>
      </c>
      <c r="CL98" s="123">
        <v>100</v>
      </c>
      <c r="CM98" s="123">
        <v>100</v>
      </c>
      <c r="CN98" s="123">
        <v>100</v>
      </c>
      <c r="CO98" s="123"/>
      <c r="CP98" s="123"/>
      <c r="CQ98" s="123"/>
      <c r="CR98" s="123"/>
      <c r="CS98" s="123"/>
      <c r="CT98" s="354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82"/>
      <c r="DN98" s="82"/>
      <c r="DO98" s="82"/>
      <c r="DP98" s="82"/>
      <c r="DQ98" s="82"/>
      <c r="DR98" s="82"/>
      <c r="DS98" s="82"/>
      <c r="DT98" s="82"/>
      <c r="DU98" s="82"/>
      <c r="DV98" s="82"/>
      <c r="DW98" s="82"/>
      <c r="DX98" s="82"/>
      <c r="DY98" s="82"/>
      <c r="DZ98" s="82"/>
      <c r="EA98" s="269"/>
      <c r="EB98" s="269"/>
    </row>
    <row r="99" spans="1:132" ht="15">
      <c r="A99" s="82"/>
      <c r="B99" s="82"/>
      <c r="C99" s="396">
        <v>37995.24999999952</v>
      </c>
      <c r="D99" s="402">
        <v>37995.291666666184</v>
      </c>
      <c r="E99" s="258">
        <v>100</v>
      </c>
      <c r="F99" s="124">
        <v>100</v>
      </c>
      <c r="G99" s="272">
        <v>120</v>
      </c>
      <c r="H99" s="124">
        <v>96</v>
      </c>
      <c r="I99" s="314">
        <v>90</v>
      </c>
      <c r="J99" s="124">
        <v>90</v>
      </c>
      <c r="K99" s="124">
        <v>90</v>
      </c>
      <c r="L99" s="124">
        <v>95</v>
      </c>
      <c r="M99" s="272">
        <v>90</v>
      </c>
      <c r="N99" s="124">
        <v>90</v>
      </c>
      <c r="O99" s="314">
        <v>90</v>
      </c>
      <c r="P99" s="314">
        <v>90</v>
      </c>
      <c r="Q99" s="314">
        <v>95</v>
      </c>
      <c r="R99" s="314">
        <v>95</v>
      </c>
      <c r="S99" s="314">
        <v>95</v>
      </c>
      <c r="T99" s="314">
        <v>140</v>
      </c>
      <c r="U99" s="314">
        <v>145</v>
      </c>
      <c r="V99" s="314">
        <v>100.5</v>
      </c>
      <c r="W99" s="314">
        <v>100.2</v>
      </c>
      <c r="X99" s="314">
        <v>101</v>
      </c>
      <c r="Y99" s="314">
        <v>110</v>
      </c>
      <c r="Z99" s="314">
        <v>110</v>
      </c>
      <c r="AA99" s="314">
        <v>136</v>
      </c>
      <c r="AB99" s="314">
        <v>136</v>
      </c>
      <c r="AC99" s="314">
        <v>136</v>
      </c>
      <c r="AD99" s="314">
        <v>110</v>
      </c>
      <c r="AE99" s="314">
        <v>110</v>
      </c>
      <c r="AF99" s="314">
        <v>110</v>
      </c>
      <c r="AG99" s="124">
        <v>110</v>
      </c>
      <c r="AH99" s="124">
        <v>98</v>
      </c>
      <c r="AI99" s="124">
        <v>98</v>
      </c>
      <c r="AJ99" s="124">
        <v>100.5</v>
      </c>
      <c r="AK99" s="124">
        <v>100.5</v>
      </c>
      <c r="AL99" s="124">
        <v>97.5</v>
      </c>
      <c r="AM99" s="124">
        <v>97</v>
      </c>
      <c r="AN99" s="124">
        <v>100</v>
      </c>
      <c r="AO99" s="124">
        <v>100</v>
      </c>
      <c r="AP99" s="124">
        <v>100</v>
      </c>
      <c r="AQ99" s="124">
        <v>100</v>
      </c>
      <c r="AR99" s="124"/>
      <c r="AS99" s="124"/>
      <c r="AT99" s="124"/>
      <c r="AU99" s="124"/>
      <c r="AV99" s="124"/>
      <c r="AW99" s="355"/>
      <c r="AX99" s="82"/>
      <c r="AY99" s="82"/>
      <c r="AZ99" s="396">
        <v>37995.24999999952</v>
      </c>
      <c r="BA99" s="402">
        <v>37995.291666666184</v>
      </c>
      <c r="BB99" s="258">
        <v>100</v>
      </c>
      <c r="BC99" s="124">
        <v>100</v>
      </c>
      <c r="BD99" s="272">
        <v>120</v>
      </c>
      <c r="BE99" s="124">
        <v>96</v>
      </c>
      <c r="BF99" s="314">
        <v>90</v>
      </c>
      <c r="BG99" s="124">
        <v>90</v>
      </c>
      <c r="BH99" s="124">
        <v>90</v>
      </c>
      <c r="BI99" s="124">
        <v>95</v>
      </c>
      <c r="BJ99" s="272">
        <v>90</v>
      </c>
      <c r="BK99" s="124">
        <v>90</v>
      </c>
      <c r="BL99" s="314">
        <v>90</v>
      </c>
      <c r="BM99" s="314">
        <v>90</v>
      </c>
      <c r="BN99" s="314">
        <v>95</v>
      </c>
      <c r="BO99" s="314">
        <v>95</v>
      </c>
      <c r="BP99" s="314">
        <v>95</v>
      </c>
      <c r="BQ99" s="314">
        <v>140</v>
      </c>
      <c r="BR99" s="314">
        <v>145</v>
      </c>
      <c r="BS99" s="314">
        <v>100.5</v>
      </c>
      <c r="BT99" s="314">
        <v>100.2</v>
      </c>
      <c r="BU99" s="314">
        <v>101</v>
      </c>
      <c r="BV99" s="314">
        <v>110</v>
      </c>
      <c r="BW99" s="314">
        <v>110</v>
      </c>
      <c r="BX99" s="314">
        <v>136</v>
      </c>
      <c r="BY99" s="314">
        <v>136</v>
      </c>
      <c r="BZ99" s="314">
        <v>136</v>
      </c>
      <c r="CA99" s="314">
        <v>110</v>
      </c>
      <c r="CB99" s="314">
        <v>110</v>
      </c>
      <c r="CC99" s="314">
        <v>110</v>
      </c>
      <c r="CD99" s="124">
        <v>110</v>
      </c>
      <c r="CE99" s="124">
        <v>98</v>
      </c>
      <c r="CF99" s="124">
        <v>98</v>
      </c>
      <c r="CG99" s="124">
        <v>100.5</v>
      </c>
      <c r="CH99" s="124">
        <v>100.5</v>
      </c>
      <c r="CI99" s="124">
        <v>97.5</v>
      </c>
      <c r="CJ99" s="124">
        <v>97</v>
      </c>
      <c r="CK99" s="124">
        <v>100</v>
      </c>
      <c r="CL99" s="124">
        <v>100</v>
      </c>
      <c r="CM99" s="124">
        <v>100</v>
      </c>
      <c r="CN99" s="124">
        <v>100</v>
      </c>
      <c r="CO99" s="124"/>
      <c r="CP99" s="124"/>
      <c r="CQ99" s="124"/>
      <c r="CR99" s="124"/>
      <c r="CS99" s="124"/>
      <c r="CT99" s="355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82"/>
      <c r="DN99" s="82"/>
      <c r="DO99" s="82"/>
      <c r="DP99" s="82"/>
      <c r="DQ99" s="82"/>
      <c r="DR99" s="82"/>
      <c r="DS99" s="82"/>
      <c r="DT99" s="82"/>
      <c r="DU99" s="82"/>
      <c r="DV99" s="82"/>
      <c r="DW99" s="82"/>
      <c r="DX99" s="82"/>
      <c r="DY99" s="82"/>
      <c r="DZ99" s="82"/>
      <c r="EA99" s="269"/>
      <c r="EB99" s="269"/>
    </row>
    <row r="100" spans="1:132" ht="15">
      <c r="A100" s="82"/>
      <c r="B100" s="82"/>
      <c r="C100" s="396">
        <v>37995.291666666184</v>
      </c>
      <c r="D100" s="402">
        <v>37995.333333332848</v>
      </c>
      <c r="E100" s="258">
        <v>100</v>
      </c>
      <c r="F100" s="124">
        <v>100</v>
      </c>
      <c r="G100" s="272">
        <v>120</v>
      </c>
      <c r="H100" s="124">
        <v>96</v>
      </c>
      <c r="I100" s="314">
        <v>90</v>
      </c>
      <c r="J100" s="124">
        <v>90</v>
      </c>
      <c r="K100" s="124">
        <v>90</v>
      </c>
      <c r="L100" s="124">
        <v>95</v>
      </c>
      <c r="M100" s="272">
        <v>90</v>
      </c>
      <c r="N100" s="124">
        <v>90</v>
      </c>
      <c r="O100" s="314">
        <v>90</v>
      </c>
      <c r="P100" s="314">
        <v>90</v>
      </c>
      <c r="Q100" s="314">
        <v>95</v>
      </c>
      <c r="R100" s="314">
        <v>95</v>
      </c>
      <c r="S100" s="314">
        <v>95</v>
      </c>
      <c r="T100" s="314">
        <v>140</v>
      </c>
      <c r="U100" s="314">
        <v>145</v>
      </c>
      <c r="V100" s="314">
        <v>100.5</v>
      </c>
      <c r="W100" s="314">
        <v>100.2</v>
      </c>
      <c r="X100" s="314">
        <v>101</v>
      </c>
      <c r="Y100" s="314">
        <v>110</v>
      </c>
      <c r="Z100" s="314">
        <v>110</v>
      </c>
      <c r="AA100" s="314">
        <v>136</v>
      </c>
      <c r="AB100" s="314">
        <v>136</v>
      </c>
      <c r="AC100" s="314">
        <v>136</v>
      </c>
      <c r="AD100" s="314">
        <v>110</v>
      </c>
      <c r="AE100" s="314">
        <v>110</v>
      </c>
      <c r="AF100" s="314">
        <v>110</v>
      </c>
      <c r="AG100" s="124">
        <v>110</v>
      </c>
      <c r="AH100" s="124">
        <v>98</v>
      </c>
      <c r="AI100" s="124">
        <v>98</v>
      </c>
      <c r="AJ100" s="124">
        <v>100.5</v>
      </c>
      <c r="AK100" s="124">
        <v>100.5</v>
      </c>
      <c r="AL100" s="124">
        <v>97.5</v>
      </c>
      <c r="AM100" s="124">
        <v>97</v>
      </c>
      <c r="AN100" s="124">
        <v>100</v>
      </c>
      <c r="AO100" s="124">
        <v>100</v>
      </c>
      <c r="AP100" s="124">
        <v>100</v>
      </c>
      <c r="AQ100" s="124">
        <v>100</v>
      </c>
      <c r="AR100" s="124"/>
      <c r="AS100" s="124"/>
      <c r="AT100" s="124"/>
      <c r="AU100" s="124"/>
      <c r="AV100" s="124"/>
      <c r="AW100" s="355"/>
      <c r="AX100" s="82"/>
      <c r="AY100" s="82"/>
      <c r="AZ100" s="396">
        <v>37995.291666666184</v>
      </c>
      <c r="BA100" s="402">
        <v>37995.333333332848</v>
      </c>
      <c r="BB100" s="258">
        <v>100</v>
      </c>
      <c r="BC100" s="124">
        <v>100</v>
      </c>
      <c r="BD100" s="272">
        <v>120</v>
      </c>
      <c r="BE100" s="124">
        <v>96</v>
      </c>
      <c r="BF100" s="314">
        <v>90</v>
      </c>
      <c r="BG100" s="124">
        <v>90</v>
      </c>
      <c r="BH100" s="124">
        <v>90</v>
      </c>
      <c r="BI100" s="124">
        <v>95</v>
      </c>
      <c r="BJ100" s="272">
        <v>90</v>
      </c>
      <c r="BK100" s="124">
        <v>90</v>
      </c>
      <c r="BL100" s="314">
        <v>90</v>
      </c>
      <c r="BM100" s="314">
        <v>90</v>
      </c>
      <c r="BN100" s="314">
        <v>95</v>
      </c>
      <c r="BO100" s="314">
        <v>95</v>
      </c>
      <c r="BP100" s="314">
        <v>95</v>
      </c>
      <c r="BQ100" s="314">
        <v>140</v>
      </c>
      <c r="BR100" s="314">
        <v>145</v>
      </c>
      <c r="BS100" s="314">
        <v>100.5</v>
      </c>
      <c r="BT100" s="314">
        <v>100.2</v>
      </c>
      <c r="BU100" s="314">
        <v>101</v>
      </c>
      <c r="BV100" s="314">
        <v>110</v>
      </c>
      <c r="BW100" s="314">
        <v>110</v>
      </c>
      <c r="BX100" s="314">
        <v>136</v>
      </c>
      <c r="BY100" s="314">
        <v>136</v>
      </c>
      <c r="BZ100" s="314">
        <v>136</v>
      </c>
      <c r="CA100" s="314">
        <v>110</v>
      </c>
      <c r="CB100" s="314">
        <v>110</v>
      </c>
      <c r="CC100" s="314">
        <v>110</v>
      </c>
      <c r="CD100" s="124">
        <v>110</v>
      </c>
      <c r="CE100" s="124">
        <v>98</v>
      </c>
      <c r="CF100" s="124">
        <v>98</v>
      </c>
      <c r="CG100" s="124">
        <v>100.5</v>
      </c>
      <c r="CH100" s="124">
        <v>100.5</v>
      </c>
      <c r="CI100" s="124">
        <v>97.5</v>
      </c>
      <c r="CJ100" s="124">
        <v>97</v>
      </c>
      <c r="CK100" s="124">
        <v>100</v>
      </c>
      <c r="CL100" s="124">
        <v>100</v>
      </c>
      <c r="CM100" s="124">
        <v>100</v>
      </c>
      <c r="CN100" s="124">
        <v>100</v>
      </c>
      <c r="CO100" s="124"/>
      <c r="CP100" s="124"/>
      <c r="CQ100" s="124"/>
      <c r="CR100" s="124"/>
      <c r="CS100" s="124"/>
      <c r="CT100" s="355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82"/>
      <c r="DN100" s="82"/>
      <c r="DO100" s="82"/>
      <c r="DP100" s="82"/>
      <c r="DQ100" s="82"/>
      <c r="DR100" s="82"/>
      <c r="DS100" s="82"/>
      <c r="DT100" s="82"/>
      <c r="DU100" s="82"/>
      <c r="DV100" s="82"/>
      <c r="DW100" s="82"/>
      <c r="DX100" s="82"/>
      <c r="DY100" s="82"/>
      <c r="DZ100" s="82"/>
      <c r="EA100" s="269"/>
      <c r="EB100" s="269"/>
    </row>
    <row r="101" spans="1:132" ht="15">
      <c r="A101" s="82"/>
      <c r="B101" s="82"/>
      <c r="C101" s="396">
        <v>37995.333333332848</v>
      </c>
      <c r="D101" s="402">
        <v>37995.374999999513</v>
      </c>
      <c r="E101" s="258">
        <v>100</v>
      </c>
      <c r="F101" s="124">
        <v>100</v>
      </c>
      <c r="G101" s="272">
        <v>120</v>
      </c>
      <c r="H101" s="124">
        <v>96</v>
      </c>
      <c r="I101" s="314">
        <v>90</v>
      </c>
      <c r="J101" s="124">
        <v>90</v>
      </c>
      <c r="K101" s="124">
        <v>90</v>
      </c>
      <c r="L101" s="124">
        <v>95</v>
      </c>
      <c r="M101" s="272">
        <v>90</v>
      </c>
      <c r="N101" s="124">
        <v>90</v>
      </c>
      <c r="O101" s="314">
        <v>90</v>
      </c>
      <c r="P101" s="314">
        <v>90</v>
      </c>
      <c r="Q101" s="314">
        <v>95</v>
      </c>
      <c r="R101" s="314">
        <v>95</v>
      </c>
      <c r="S101" s="314">
        <v>95</v>
      </c>
      <c r="T101" s="314">
        <v>140</v>
      </c>
      <c r="U101" s="314">
        <v>145</v>
      </c>
      <c r="V101" s="314">
        <v>100.5</v>
      </c>
      <c r="W101" s="314">
        <v>100.2</v>
      </c>
      <c r="X101" s="314">
        <v>101</v>
      </c>
      <c r="Y101" s="314">
        <v>110</v>
      </c>
      <c r="Z101" s="314">
        <v>110</v>
      </c>
      <c r="AA101" s="314">
        <v>136</v>
      </c>
      <c r="AB101" s="314">
        <v>136</v>
      </c>
      <c r="AC101" s="314">
        <v>136</v>
      </c>
      <c r="AD101" s="314">
        <v>110</v>
      </c>
      <c r="AE101" s="314">
        <v>110</v>
      </c>
      <c r="AF101" s="314">
        <v>110</v>
      </c>
      <c r="AG101" s="124">
        <v>110</v>
      </c>
      <c r="AH101" s="124">
        <v>98</v>
      </c>
      <c r="AI101" s="124">
        <v>98</v>
      </c>
      <c r="AJ101" s="124">
        <v>100.5</v>
      </c>
      <c r="AK101" s="124">
        <v>100.5</v>
      </c>
      <c r="AL101" s="124">
        <v>97.5</v>
      </c>
      <c r="AM101" s="124">
        <v>97</v>
      </c>
      <c r="AN101" s="124">
        <v>100</v>
      </c>
      <c r="AO101" s="124">
        <v>100</v>
      </c>
      <c r="AP101" s="124">
        <v>100</v>
      </c>
      <c r="AQ101" s="124">
        <v>100</v>
      </c>
      <c r="AR101" s="124"/>
      <c r="AS101" s="124"/>
      <c r="AT101" s="124"/>
      <c r="AU101" s="124"/>
      <c r="AV101" s="124"/>
      <c r="AW101" s="355"/>
      <c r="AX101" s="82"/>
      <c r="AY101" s="82"/>
      <c r="AZ101" s="396">
        <v>37995.333333332848</v>
      </c>
      <c r="BA101" s="402">
        <v>37995.374999999513</v>
      </c>
      <c r="BB101" s="258">
        <v>100</v>
      </c>
      <c r="BC101" s="124">
        <v>100</v>
      </c>
      <c r="BD101" s="272">
        <v>120</v>
      </c>
      <c r="BE101" s="124">
        <v>96</v>
      </c>
      <c r="BF101" s="314">
        <v>90</v>
      </c>
      <c r="BG101" s="124">
        <v>90</v>
      </c>
      <c r="BH101" s="124">
        <v>90</v>
      </c>
      <c r="BI101" s="124">
        <v>95</v>
      </c>
      <c r="BJ101" s="272">
        <v>90</v>
      </c>
      <c r="BK101" s="124">
        <v>90</v>
      </c>
      <c r="BL101" s="314">
        <v>90</v>
      </c>
      <c r="BM101" s="314">
        <v>90</v>
      </c>
      <c r="BN101" s="314">
        <v>95</v>
      </c>
      <c r="BO101" s="314">
        <v>95</v>
      </c>
      <c r="BP101" s="314">
        <v>95</v>
      </c>
      <c r="BQ101" s="314">
        <v>140</v>
      </c>
      <c r="BR101" s="314">
        <v>145</v>
      </c>
      <c r="BS101" s="314">
        <v>100.5</v>
      </c>
      <c r="BT101" s="314">
        <v>100.2</v>
      </c>
      <c r="BU101" s="314">
        <v>101</v>
      </c>
      <c r="BV101" s="314">
        <v>110</v>
      </c>
      <c r="BW101" s="314">
        <v>110</v>
      </c>
      <c r="BX101" s="314">
        <v>136</v>
      </c>
      <c r="BY101" s="314">
        <v>136</v>
      </c>
      <c r="BZ101" s="314">
        <v>136</v>
      </c>
      <c r="CA101" s="314">
        <v>110</v>
      </c>
      <c r="CB101" s="314">
        <v>110</v>
      </c>
      <c r="CC101" s="314">
        <v>110</v>
      </c>
      <c r="CD101" s="124">
        <v>110</v>
      </c>
      <c r="CE101" s="124">
        <v>98</v>
      </c>
      <c r="CF101" s="124">
        <v>98</v>
      </c>
      <c r="CG101" s="124">
        <v>100.5</v>
      </c>
      <c r="CH101" s="124">
        <v>100.5</v>
      </c>
      <c r="CI101" s="124">
        <v>97.5</v>
      </c>
      <c r="CJ101" s="124">
        <v>97</v>
      </c>
      <c r="CK101" s="124">
        <v>100</v>
      </c>
      <c r="CL101" s="124">
        <v>100</v>
      </c>
      <c r="CM101" s="124">
        <v>100</v>
      </c>
      <c r="CN101" s="124">
        <v>100</v>
      </c>
      <c r="CO101" s="124"/>
      <c r="CP101" s="124"/>
      <c r="CQ101" s="124"/>
      <c r="CR101" s="124"/>
      <c r="CS101" s="124"/>
      <c r="CT101" s="355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82"/>
      <c r="DN101" s="82"/>
      <c r="DO101" s="82"/>
      <c r="DP101" s="82"/>
      <c r="DQ101" s="82"/>
      <c r="DR101" s="82"/>
      <c r="DS101" s="82"/>
      <c r="DT101" s="82"/>
      <c r="DU101" s="82"/>
      <c r="DV101" s="82"/>
      <c r="DW101" s="82"/>
      <c r="DX101" s="82"/>
      <c r="DY101" s="82"/>
      <c r="DZ101" s="82"/>
      <c r="EA101" s="269"/>
      <c r="EB101" s="269"/>
    </row>
    <row r="102" spans="1:132" ht="15">
      <c r="A102" s="82"/>
      <c r="B102" s="82"/>
      <c r="C102" s="396">
        <v>37995.374999999513</v>
      </c>
      <c r="D102" s="402">
        <v>37995.416666666177</v>
      </c>
      <c r="E102" s="258">
        <v>100</v>
      </c>
      <c r="F102" s="124">
        <v>100</v>
      </c>
      <c r="G102" s="272">
        <v>120</v>
      </c>
      <c r="H102" s="124">
        <v>96</v>
      </c>
      <c r="I102" s="314">
        <v>90</v>
      </c>
      <c r="J102" s="124">
        <v>90</v>
      </c>
      <c r="K102" s="124">
        <v>90</v>
      </c>
      <c r="L102" s="124">
        <v>95</v>
      </c>
      <c r="M102" s="272">
        <v>90</v>
      </c>
      <c r="N102" s="124">
        <v>90</v>
      </c>
      <c r="O102" s="314">
        <v>90</v>
      </c>
      <c r="P102" s="314">
        <v>90</v>
      </c>
      <c r="Q102" s="314">
        <v>95</v>
      </c>
      <c r="R102" s="314">
        <v>95</v>
      </c>
      <c r="S102" s="314">
        <v>95</v>
      </c>
      <c r="T102" s="314">
        <v>140</v>
      </c>
      <c r="U102" s="314">
        <v>145</v>
      </c>
      <c r="V102" s="314">
        <v>100.5</v>
      </c>
      <c r="W102" s="314">
        <v>100.2</v>
      </c>
      <c r="X102" s="314">
        <v>101</v>
      </c>
      <c r="Y102" s="314">
        <v>110</v>
      </c>
      <c r="Z102" s="314">
        <v>110</v>
      </c>
      <c r="AA102" s="314">
        <v>136</v>
      </c>
      <c r="AB102" s="314">
        <v>136</v>
      </c>
      <c r="AC102" s="314">
        <v>136</v>
      </c>
      <c r="AD102" s="314">
        <v>110</v>
      </c>
      <c r="AE102" s="314">
        <v>110</v>
      </c>
      <c r="AF102" s="314">
        <v>110</v>
      </c>
      <c r="AG102" s="124">
        <v>110</v>
      </c>
      <c r="AH102" s="124">
        <v>98</v>
      </c>
      <c r="AI102" s="124">
        <v>98</v>
      </c>
      <c r="AJ102" s="124">
        <v>100.5</v>
      </c>
      <c r="AK102" s="124">
        <v>100.5</v>
      </c>
      <c r="AL102" s="124">
        <v>97.5</v>
      </c>
      <c r="AM102" s="124">
        <v>97</v>
      </c>
      <c r="AN102" s="124">
        <v>100</v>
      </c>
      <c r="AO102" s="124">
        <v>100</v>
      </c>
      <c r="AP102" s="124">
        <v>100</v>
      </c>
      <c r="AQ102" s="124">
        <v>100</v>
      </c>
      <c r="AR102" s="124"/>
      <c r="AS102" s="124"/>
      <c r="AT102" s="124"/>
      <c r="AU102" s="124"/>
      <c r="AV102" s="124"/>
      <c r="AW102" s="355"/>
      <c r="AX102" s="82"/>
      <c r="AY102" s="82"/>
      <c r="AZ102" s="396">
        <v>37995.374999999513</v>
      </c>
      <c r="BA102" s="402">
        <v>37995.416666666177</v>
      </c>
      <c r="BB102" s="258">
        <v>100</v>
      </c>
      <c r="BC102" s="124">
        <v>100</v>
      </c>
      <c r="BD102" s="272">
        <v>120</v>
      </c>
      <c r="BE102" s="124">
        <v>96</v>
      </c>
      <c r="BF102" s="314">
        <v>90</v>
      </c>
      <c r="BG102" s="124">
        <v>90</v>
      </c>
      <c r="BH102" s="124">
        <v>90</v>
      </c>
      <c r="BI102" s="124">
        <v>95</v>
      </c>
      <c r="BJ102" s="272">
        <v>90</v>
      </c>
      <c r="BK102" s="124">
        <v>90</v>
      </c>
      <c r="BL102" s="314">
        <v>90</v>
      </c>
      <c r="BM102" s="314">
        <v>90</v>
      </c>
      <c r="BN102" s="314">
        <v>95</v>
      </c>
      <c r="BO102" s="314">
        <v>95</v>
      </c>
      <c r="BP102" s="314">
        <v>95</v>
      </c>
      <c r="BQ102" s="314">
        <v>140</v>
      </c>
      <c r="BR102" s="314">
        <v>145</v>
      </c>
      <c r="BS102" s="314">
        <v>100.5</v>
      </c>
      <c r="BT102" s="314">
        <v>100.2</v>
      </c>
      <c r="BU102" s="314">
        <v>101</v>
      </c>
      <c r="BV102" s="314">
        <v>110</v>
      </c>
      <c r="BW102" s="314">
        <v>110</v>
      </c>
      <c r="BX102" s="314">
        <v>136</v>
      </c>
      <c r="BY102" s="314">
        <v>136</v>
      </c>
      <c r="BZ102" s="314">
        <v>136</v>
      </c>
      <c r="CA102" s="314">
        <v>110</v>
      </c>
      <c r="CB102" s="314">
        <v>110</v>
      </c>
      <c r="CC102" s="314">
        <v>110</v>
      </c>
      <c r="CD102" s="124">
        <v>110</v>
      </c>
      <c r="CE102" s="124">
        <v>98</v>
      </c>
      <c r="CF102" s="124">
        <v>98</v>
      </c>
      <c r="CG102" s="124">
        <v>100.5</v>
      </c>
      <c r="CH102" s="124">
        <v>100.5</v>
      </c>
      <c r="CI102" s="124">
        <v>97.5</v>
      </c>
      <c r="CJ102" s="124">
        <v>97</v>
      </c>
      <c r="CK102" s="124">
        <v>100</v>
      </c>
      <c r="CL102" s="124">
        <v>100</v>
      </c>
      <c r="CM102" s="124">
        <v>100</v>
      </c>
      <c r="CN102" s="124">
        <v>100</v>
      </c>
      <c r="CO102" s="124"/>
      <c r="CP102" s="124"/>
      <c r="CQ102" s="124"/>
      <c r="CR102" s="124"/>
      <c r="CS102" s="124"/>
      <c r="CT102" s="355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82"/>
      <c r="DN102" s="82"/>
      <c r="DO102" s="82"/>
      <c r="DP102" s="82"/>
      <c r="DQ102" s="82"/>
      <c r="DR102" s="82"/>
      <c r="DS102" s="82"/>
      <c r="DT102" s="82"/>
      <c r="DU102" s="82"/>
      <c r="DV102" s="82"/>
      <c r="DW102" s="82"/>
      <c r="DX102" s="82"/>
      <c r="DY102" s="82"/>
      <c r="DZ102" s="82"/>
      <c r="EA102" s="269"/>
      <c r="EB102" s="269"/>
    </row>
    <row r="103" spans="1:132" ht="15">
      <c r="A103" s="82"/>
      <c r="B103" s="82"/>
      <c r="C103" s="398">
        <v>37995.416666666177</v>
      </c>
      <c r="D103" s="403">
        <v>37995.458333332841</v>
      </c>
      <c r="E103" s="261">
        <v>100</v>
      </c>
      <c r="F103" s="125">
        <v>100</v>
      </c>
      <c r="G103" s="273">
        <v>120</v>
      </c>
      <c r="H103" s="125">
        <v>96</v>
      </c>
      <c r="I103" s="315">
        <v>90</v>
      </c>
      <c r="J103" s="125">
        <v>90</v>
      </c>
      <c r="K103" s="125">
        <v>90</v>
      </c>
      <c r="L103" s="125">
        <v>95</v>
      </c>
      <c r="M103" s="273">
        <v>90</v>
      </c>
      <c r="N103" s="125">
        <v>90</v>
      </c>
      <c r="O103" s="315">
        <v>90</v>
      </c>
      <c r="P103" s="315">
        <v>90</v>
      </c>
      <c r="Q103" s="315">
        <v>95</v>
      </c>
      <c r="R103" s="315">
        <v>95</v>
      </c>
      <c r="S103" s="315">
        <v>95</v>
      </c>
      <c r="T103" s="315">
        <v>140</v>
      </c>
      <c r="U103" s="315">
        <v>145</v>
      </c>
      <c r="V103" s="315">
        <v>100.5</v>
      </c>
      <c r="W103" s="315">
        <v>100.2</v>
      </c>
      <c r="X103" s="315">
        <v>101</v>
      </c>
      <c r="Y103" s="315">
        <v>110</v>
      </c>
      <c r="Z103" s="315">
        <v>110</v>
      </c>
      <c r="AA103" s="315">
        <v>136</v>
      </c>
      <c r="AB103" s="315">
        <v>136</v>
      </c>
      <c r="AC103" s="315">
        <v>136</v>
      </c>
      <c r="AD103" s="315">
        <v>110</v>
      </c>
      <c r="AE103" s="315">
        <v>110</v>
      </c>
      <c r="AF103" s="315">
        <v>110</v>
      </c>
      <c r="AG103" s="315">
        <v>110</v>
      </c>
      <c r="AH103" s="125">
        <v>98</v>
      </c>
      <c r="AI103" s="125">
        <v>98</v>
      </c>
      <c r="AJ103" s="125">
        <v>100.5</v>
      </c>
      <c r="AK103" s="125">
        <v>100.5</v>
      </c>
      <c r="AL103" s="125">
        <v>97.5</v>
      </c>
      <c r="AM103" s="125">
        <v>97</v>
      </c>
      <c r="AN103" s="125">
        <v>100</v>
      </c>
      <c r="AO103" s="125">
        <v>100</v>
      </c>
      <c r="AP103" s="125">
        <v>100</v>
      </c>
      <c r="AQ103" s="125">
        <v>100</v>
      </c>
      <c r="AR103" s="125"/>
      <c r="AS103" s="125"/>
      <c r="AT103" s="125"/>
      <c r="AU103" s="125"/>
      <c r="AV103" s="125"/>
      <c r="AW103" s="356"/>
      <c r="AX103" s="82"/>
      <c r="AY103" s="82"/>
      <c r="AZ103" s="398">
        <v>37995.416666666177</v>
      </c>
      <c r="BA103" s="403">
        <v>37995.458333332841</v>
      </c>
      <c r="BB103" s="261">
        <v>100</v>
      </c>
      <c r="BC103" s="125">
        <v>100</v>
      </c>
      <c r="BD103" s="273">
        <v>120</v>
      </c>
      <c r="BE103" s="125">
        <v>96</v>
      </c>
      <c r="BF103" s="315">
        <v>90</v>
      </c>
      <c r="BG103" s="125">
        <v>90</v>
      </c>
      <c r="BH103" s="125">
        <v>90</v>
      </c>
      <c r="BI103" s="125">
        <v>95</v>
      </c>
      <c r="BJ103" s="273">
        <v>90</v>
      </c>
      <c r="BK103" s="125">
        <v>90</v>
      </c>
      <c r="BL103" s="315">
        <v>90</v>
      </c>
      <c r="BM103" s="315">
        <v>90</v>
      </c>
      <c r="BN103" s="315">
        <v>95</v>
      </c>
      <c r="BO103" s="315">
        <v>95</v>
      </c>
      <c r="BP103" s="315">
        <v>95</v>
      </c>
      <c r="BQ103" s="315">
        <v>140</v>
      </c>
      <c r="BR103" s="315">
        <v>145</v>
      </c>
      <c r="BS103" s="315">
        <v>100.5</v>
      </c>
      <c r="BT103" s="315">
        <v>100.2</v>
      </c>
      <c r="BU103" s="315">
        <v>101</v>
      </c>
      <c r="BV103" s="315">
        <v>110</v>
      </c>
      <c r="BW103" s="315">
        <v>110</v>
      </c>
      <c r="BX103" s="315">
        <v>136</v>
      </c>
      <c r="BY103" s="315">
        <v>136</v>
      </c>
      <c r="BZ103" s="315">
        <v>136</v>
      </c>
      <c r="CA103" s="315">
        <v>110</v>
      </c>
      <c r="CB103" s="315">
        <v>110</v>
      </c>
      <c r="CC103" s="315">
        <v>110</v>
      </c>
      <c r="CD103" s="315">
        <v>110</v>
      </c>
      <c r="CE103" s="125">
        <v>98</v>
      </c>
      <c r="CF103" s="125">
        <v>98</v>
      </c>
      <c r="CG103" s="125">
        <v>100.5</v>
      </c>
      <c r="CH103" s="125">
        <v>100.5</v>
      </c>
      <c r="CI103" s="125">
        <v>97.5</v>
      </c>
      <c r="CJ103" s="125">
        <v>97</v>
      </c>
      <c r="CK103" s="125">
        <v>100</v>
      </c>
      <c r="CL103" s="125">
        <v>100</v>
      </c>
      <c r="CM103" s="125">
        <v>100</v>
      </c>
      <c r="CN103" s="125">
        <v>100</v>
      </c>
      <c r="CO103" s="125"/>
      <c r="CP103" s="125"/>
      <c r="CQ103" s="125"/>
      <c r="CR103" s="125"/>
      <c r="CS103" s="125"/>
      <c r="CT103" s="356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82"/>
      <c r="DN103" s="82"/>
      <c r="DO103" s="82"/>
      <c r="DP103" s="82"/>
      <c r="DQ103" s="82"/>
      <c r="DR103" s="82"/>
      <c r="DS103" s="82"/>
      <c r="DT103" s="82"/>
      <c r="DU103" s="82"/>
      <c r="DV103" s="82"/>
      <c r="DW103" s="82"/>
      <c r="DX103" s="82"/>
      <c r="DY103" s="82"/>
      <c r="DZ103" s="82"/>
      <c r="EA103" s="269"/>
      <c r="EB103" s="269"/>
    </row>
    <row r="104" spans="1:132" ht="15">
      <c r="A104" s="82"/>
      <c r="B104" s="82"/>
      <c r="C104" s="398">
        <v>37995.458333332841</v>
      </c>
      <c r="D104" s="403">
        <v>37995.499999999505</v>
      </c>
      <c r="E104" s="261">
        <v>100</v>
      </c>
      <c r="F104" s="125">
        <v>100</v>
      </c>
      <c r="G104" s="273">
        <v>120</v>
      </c>
      <c r="H104" s="125">
        <v>96</v>
      </c>
      <c r="I104" s="315">
        <v>90</v>
      </c>
      <c r="J104" s="125">
        <v>90</v>
      </c>
      <c r="K104" s="125">
        <v>90</v>
      </c>
      <c r="L104" s="125">
        <v>95</v>
      </c>
      <c r="M104" s="273">
        <v>90</v>
      </c>
      <c r="N104" s="125">
        <v>90</v>
      </c>
      <c r="O104" s="315">
        <v>90</v>
      </c>
      <c r="P104" s="315">
        <v>90</v>
      </c>
      <c r="Q104" s="315">
        <v>95</v>
      </c>
      <c r="R104" s="315">
        <v>95</v>
      </c>
      <c r="S104" s="315">
        <v>95</v>
      </c>
      <c r="T104" s="315">
        <v>140</v>
      </c>
      <c r="U104" s="315">
        <v>145</v>
      </c>
      <c r="V104" s="315">
        <v>100.5</v>
      </c>
      <c r="W104" s="315">
        <v>100.2</v>
      </c>
      <c r="X104" s="315">
        <v>101</v>
      </c>
      <c r="Y104" s="315">
        <v>110</v>
      </c>
      <c r="Z104" s="315">
        <v>110</v>
      </c>
      <c r="AA104" s="315">
        <v>136</v>
      </c>
      <c r="AB104" s="315">
        <v>136</v>
      </c>
      <c r="AC104" s="315">
        <v>136</v>
      </c>
      <c r="AD104" s="315">
        <v>110</v>
      </c>
      <c r="AE104" s="315">
        <v>110</v>
      </c>
      <c r="AF104" s="315">
        <v>110</v>
      </c>
      <c r="AG104" s="315">
        <v>110</v>
      </c>
      <c r="AH104" s="125">
        <v>98</v>
      </c>
      <c r="AI104" s="125">
        <v>98</v>
      </c>
      <c r="AJ104" s="125">
        <v>100.5</v>
      </c>
      <c r="AK104" s="125">
        <v>100.5</v>
      </c>
      <c r="AL104" s="125">
        <v>97.5</v>
      </c>
      <c r="AM104" s="125">
        <v>97</v>
      </c>
      <c r="AN104" s="125">
        <v>100</v>
      </c>
      <c r="AO104" s="125">
        <v>100</v>
      </c>
      <c r="AP104" s="125">
        <v>100</v>
      </c>
      <c r="AQ104" s="125">
        <v>100</v>
      </c>
      <c r="AR104" s="125"/>
      <c r="AS104" s="125"/>
      <c r="AT104" s="125"/>
      <c r="AU104" s="125"/>
      <c r="AV104" s="125"/>
      <c r="AW104" s="356"/>
      <c r="AX104" s="82"/>
      <c r="AY104" s="82"/>
      <c r="AZ104" s="398">
        <v>37995.458333332841</v>
      </c>
      <c r="BA104" s="403">
        <v>37995.499999999505</v>
      </c>
      <c r="BB104" s="261">
        <v>100</v>
      </c>
      <c r="BC104" s="125">
        <v>100</v>
      </c>
      <c r="BD104" s="273">
        <v>120</v>
      </c>
      <c r="BE104" s="125">
        <v>96</v>
      </c>
      <c r="BF104" s="315">
        <v>90</v>
      </c>
      <c r="BG104" s="125">
        <v>90</v>
      </c>
      <c r="BH104" s="125">
        <v>90</v>
      </c>
      <c r="BI104" s="125">
        <v>95</v>
      </c>
      <c r="BJ104" s="273">
        <v>90</v>
      </c>
      <c r="BK104" s="125">
        <v>90</v>
      </c>
      <c r="BL104" s="315">
        <v>90</v>
      </c>
      <c r="BM104" s="315">
        <v>90</v>
      </c>
      <c r="BN104" s="315">
        <v>95</v>
      </c>
      <c r="BO104" s="315">
        <v>95</v>
      </c>
      <c r="BP104" s="315">
        <v>95</v>
      </c>
      <c r="BQ104" s="315">
        <v>140</v>
      </c>
      <c r="BR104" s="315">
        <v>145</v>
      </c>
      <c r="BS104" s="315">
        <v>100.5</v>
      </c>
      <c r="BT104" s="315">
        <v>100.2</v>
      </c>
      <c r="BU104" s="315">
        <v>101</v>
      </c>
      <c r="BV104" s="315">
        <v>110</v>
      </c>
      <c r="BW104" s="315">
        <v>110</v>
      </c>
      <c r="BX104" s="315">
        <v>136</v>
      </c>
      <c r="BY104" s="315">
        <v>136</v>
      </c>
      <c r="BZ104" s="315">
        <v>136</v>
      </c>
      <c r="CA104" s="315">
        <v>110</v>
      </c>
      <c r="CB104" s="315">
        <v>110</v>
      </c>
      <c r="CC104" s="315">
        <v>110</v>
      </c>
      <c r="CD104" s="315">
        <v>110</v>
      </c>
      <c r="CE104" s="125">
        <v>98</v>
      </c>
      <c r="CF104" s="125">
        <v>98</v>
      </c>
      <c r="CG104" s="125">
        <v>100.5</v>
      </c>
      <c r="CH104" s="125">
        <v>100.5</v>
      </c>
      <c r="CI104" s="125">
        <v>97.5</v>
      </c>
      <c r="CJ104" s="125">
        <v>97</v>
      </c>
      <c r="CK104" s="125">
        <v>100</v>
      </c>
      <c r="CL104" s="125">
        <v>100</v>
      </c>
      <c r="CM104" s="125">
        <v>100</v>
      </c>
      <c r="CN104" s="125">
        <v>100</v>
      </c>
      <c r="CO104" s="125"/>
      <c r="CP104" s="125"/>
      <c r="CQ104" s="125"/>
      <c r="CR104" s="125"/>
      <c r="CS104" s="125"/>
      <c r="CT104" s="356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82"/>
      <c r="DP104" s="82"/>
      <c r="DQ104" s="82"/>
      <c r="DR104" s="82"/>
      <c r="DS104" s="82"/>
      <c r="DT104" s="82"/>
      <c r="DU104" s="82"/>
      <c r="DV104" s="82"/>
      <c r="DW104" s="82"/>
      <c r="DX104" s="82"/>
      <c r="DY104" s="82"/>
      <c r="DZ104" s="82"/>
      <c r="EA104" s="269"/>
      <c r="EB104" s="269"/>
    </row>
    <row r="105" spans="1:132" ht="15">
      <c r="A105" s="82"/>
      <c r="B105" s="82"/>
      <c r="C105" s="398">
        <v>37995.499999999505</v>
      </c>
      <c r="D105" s="403">
        <v>37995.541666666169</v>
      </c>
      <c r="E105" s="261">
        <v>100</v>
      </c>
      <c r="F105" s="125">
        <v>100</v>
      </c>
      <c r="G105" s="273">
        <v>120</v>
      </c>
      <c r="H105" s="125">
        <v>96</v>
      </c>
      <c r="I105" s="315">
        <v>90</v>
      </c>
      <c r="J105" s="125">
        <v>90</v>
      </c>
      <c r="K105" s="125">
        <v>90</v>
      </c>
      <c r="L105" s="125">
        <v>95</v>
      </c>
      <c r="M105" s="273">
        <v>90</v>
      </c>
      <c r="N105" s="125">
        <v>90</v>
      </c>
      <c r="O105" s="315">
        <v>90</v>
      </c>
      <c r="P105" s="315">
        <v>90</v>
      </c>
      <c r="Q105" s="315">
        <v>95</v>
      </c>
      <c r="R105" s="315">
        <v>95</v>
      </c>
      <c r="S105" s="315">
        <v>95</v>
      </c>
      <c r="T105" s="315">
        <v>140</v>
      </c>
      <c r="U105" s="315">
        <v>145</v>
      </c>
      <c r="V105" s="315">
        <v>100.5</v>
      </c>
      <c r="W105" s="315">
        <v>100.2</v>
      </c>
      <c r="X105" s="315">
        <v>101</v>
      </c>
      <c r="Y105" s="315">
        <v>110</v>
      </c>
      <c r="Z105" s="315">
        <v>110</v>
      </c>
      <c r="AA105" s="315">
        <v>136</v>
      </c>
      <c r="AB105" s="315">
        <v>136</v>
      </c>
      <c r="AC105" s="315">
        <v>136</v>
      </c>
      <c r="AD105" s="315">
        <v>110</v>
      </c>
      <c r="AE105" s="315">
        <v>110</v>
      </c>
      <c r="AF105" s="315">
        <v>110</v>
      </c>
      <c r="AG105" s="315">
        <v>110</v>
      </c>
      <c r="AH105" s="125">
        <v>98</v>
      </c>
      <c r="AI105" s="125">
        <v>98</v>
      </c>
      <c r="AJ105" s="125">
        <v>100.5</v>
      </c>
      <c r="AK105" s="125">
        <v>100.5</v>
      </c>
      <c r="AL105" s="125">
        <v>97.5</v>
      </c>
      <c r="AM105" s="125">
        <v>97</v>
      </c>
      <c r="AN105" s="125">
        <v>100</v>
      </c>
      <c r="AO105" s="125">
        <v>100</v>
      </c>
      <c r="AP105" s="125">
        <v>100</v>
      </c>
      <c r="AQ105" s="125">
        <v>100</v>
      </c>
      <c r="AR105" s="125"/>
      <c r="AS105" s="125"/>
      <c r="AT105" s="125"/>
      <c r="AU105" s="125"/>
      <c r="AV105" s="125"/>
      <c r="AW105" s="356"/>
      <c r="AX105" s="82"/>
      <c r="AY105" s="82"/>
      <c r="AZ105" s="398">
        <v>37995.499999999505</v>
      </c>
      <c r="BA105" s="403">
        <v>37995.541666666169</v>
      </c>
      <c r="BB105" s="261">
        <v>100</v>
      </c>
      <c r="BC105" s="125">
        <v>100</v>
      </c>
      <c r="BD105" s="273">
        <v>120</v>
      </c>
      <c r="BE105" s="125">
        <v>96</v>
      </c>
      <c r="BF105" s="315">
        <v>90</v>
      </c>
      <c r="BG105" s="125">
        <v>90</v>
      </c>
      <c r="BH105" s="125">
        <v>90</v>
      </c>
      <c r="BI105" s="125">
        <v>95</v>
      </c>
      <c r="BJ105" s="273">
        <v>90</v>
      </c>
      <c r="BK105" s="125">
        <v>90</v>
      </c>
      <c r="BL105" s="315">
        <v>90</v>
      </c>
      <c r="BM105" s="315">
        <v>90</v>
      </c>
      <c r="BN105" s="315">
        <v>95</v>
      </c>
      <c r="BO105" s="315">
        <v>95</v>
      </c>
      <c r="BP105" s="315">
        <v>95</v>
      </c>
      <c r="BQ105" s="315">
        <v>140</v>
      </c>
      <c r="BR105" s="315">
        <v>145</v>
      </c>
      <c r="BS105" s="315">
        <v>100.5</v>
      </c>
      <c r="BT105" s="315">
        <v>100.2</v>
      </c>
      <c r="BU105" s="315">
        <v>101</v>
      </c>
      <c r="BV105" s="315">
        <v>110</v>
      </c>
      <c r="BW105" s="315">
        <v>110</v>
      </c>
      <c r="BX105" s="315">
        <v>136</v>
      </c>
      <c r="BY105" s="315">
        <v>136</v>
      </c>
      <c r="BZ105" s="315">
        <v>136</v>
      </c>
      <c r="CA105" s="315">
        <v>110</v>
      </c>
      <c r="CB105" s="315">
        <v>110</v>
      </c>
      <c r="CC105" s="315">
        <v>110</v>
      </c>
      <c r="CD105" s="315">
        <v>110</v>
      </c>
      <c r="CE105" s="125">
        <v>98</v>
      </c>
      <c r="CF105" s="125">
        <v>98</v>
      </c>
      <c r="CG105" s="125">
        <v>100.5</v>
      </c>
      <c r="CH105" s="125">
        <v>100.5</v>
      </c>
      <c r="CI105" s="125">
        <v>97.5</v>
      </c>
      <c r="CJ105" s="125">
        <v>97</v>
      </c>
      <c r="CK105" s="125">
        <v>100</v>
      </c>
      <c r="CL105" s="125">
        <v>100</v>
      </c>
      <c r="CM105" s="125">
        <v>100</v>
      </c>
      <c r="CN105" s="125">
        <v>100</v>
      </c>
      <c r="CO105" s="125"/>
      <c r="CP105" s="125"/>
      <c r="CQ105" s="125"/>
      <c r="CR105" s="125"/>
      <c r="CS105" s="125"/>
      <c r="CT105" s="356"/>
      <c r="CU105" s="82"/>
      <c r="CV105" s="82"/>
      <c r="CW105" s="82"/>
      <c r="CX105" s="82"/>
      <c r="CY105" s="82"/>
      <c r="CZ105" s="82"/>
      <c r="DA105" s="82"/>
      <c r="DB105" s="82"/>
      <c r="DC105" s="82"/>
      <c r="DD105" s="82"/>
      <c r="DE105" s="82"/>
      <c r="DF105" s="82"/>
      <c r="DG105" s="82"/>
      <c r="DH105" s="82"/>
      <c r="DI105" s="82"/>
      <c r="DJ105" s="82"/>
      <c r="DK105" s="82"/>
      <c r="DL105" s="82"/>
      <c r="DM105" s="82"/>
      <c r="DN105" s="82"/>
      <c r="DO105" s="82"/>
      <c r="DP105" s="82"/>
      <c r="DQ105" s="82"/>
      <c r="DR105" s="82"/>
      <c r="DS105" s="82"/>
      <c r="DT105" s="82"/>
      <c r="DU105" s="82"/>
      <c r="DV105" s="82"/>
      <c r="DW105" s="82"/>
      <c r="DX105" s="82"/>
      <c r="DY105" s="82"/>
      <c r="DZ105" s="82"/>
      <c r="EA105" s="269"/>
      <c r="EB105" s="269"/>
    </row>
    <row r="106" spans="1:132" ht="15">
      <c r="A106" s="82"/>
      <c r="B106" s="82"/>
      <c r="C106" s="396">
        <v>37995.541666666169</v>
      </c>
      <c r="D106" s="402">
        <v>37995.583333332834</v>
      </c>
      <c r="E106" s="258">
        <v>100</v>
      </c>
      <c r="F106" s="124">
        <v>100</v>
      </c>
      <c r="G106" s="272">
        <v>120</v>
      </c>
      <c r="H106" s="124">
        <v>96</v>
      </c>
      <c r="I106" s="314">
        <v>90</v>
      </c>
      <c r="J106" s="124">
        <v>90</v>
      </c>
      <c r="K106" s="124">
        <v>90</v>
      </c>
      <c r="L106" s="124">
        <v>95</v>
      </c>
      <c r="M106" s="272">
        <v>90</v>
      </c>
      <c r="N106" s="124">
        <v>90</v>
      </c>
      <c r="O106" s="314">
        <v>90</v>
      </c>
      <c r="P106" s="314">
        <v>90</v>
      </c>
      <c r="Q106" s="314">
        <v>95</v>
      </c>
      <c r="R106" s="314">
        <v>95</v>
      </c>
      <c r="S106" s="314">
        <v>95</v>
      </c>
      <c r="T106" s="314">
        <v>140</v>
      </c>
      <c r="U106" s="314">
        <v>145</v>
      </c>
      <c r="V106" s="314">
        <v>100.5</v>
      </c>
      <c r="W106" s="314">
        <v>100.2</v>
      </c>
      <c r="X106" s="314">
        <v>101</v>
      </c>
      <c r="Y106" s="314">
        <v>110</v>
      </c>
      <c r="Z106" s="314">
        <v>110</v>
      </c>
      <c r="AA106" s="314">
        <v>136</v>
      </c>
      <c r="AB106" s="314">
        <v>136</v>
      </c>
      <c r="AC106" s="314">
        <v>136</v>
      </c>
      <c r="AD106" s="314">
        <v>110</v>
      </c>
      <c r="AE106" s="314">
        <v>110</v>
      </c>
      <c r="AF106" s="314">
        <v>110</v>
      </c>
      <c r="AG106" s="124">
        <v>110</v>
      </c>
      <c r="AH106" s="124">
        <v>98</v>
      </c>
      <c r="AI106" s="124">
        <v>98</v>
      </c>
      <c r="AJ106" s="124">
        <v>100.5</v>
      </c>
      <c r="AK106" s="124">
        <v>100.5</v>
      </c>
      <c r="AL106" s="124">
        <v>97.5</v>
      </c>
      <c r="AM106" s="124">
        <v>97</v>
      </c>
      <c r="AN106" s="124">
        <v>100</v>
      </c>
      <c r="AO106" s="124">
        <v>100</v>
      </c>
      <c r="AP106" s="124">
        <v>100</v>
      </c>
      <c r="AQ106" s="124">
        <v>100</v>
      </c>
      <c r="AR106" s="124"/>
      <c r="AS106" s="124"/>
      <c r="AT106" s="124"/>
      <c r="AU106" s="124"/>
      <c r="AV106" s="124"/>
      <c r="AW106" s="355"/>
      <c r="AX106" s="82"/>
      <c r="AY106" s="82"/>
      <c r="AZ106" s="396">
        <v>37995.541666666169</v>
      </c>
      <c r="BA106" s="402">
        <v>37995.583333332834</v>
      </c>
      <c r="BB106" s="258">
        <v>100</v>
      </c>
      <c r="BC106" s="124">
        <v>100</v>
      </c>
      <c r="BD106" s="272">
        <v>120</v>
      </c>
      <c r="BE106" s="124">
        <v>96</v>
      </c>
      <c r="BF106" s="314">
        <v>90</v>
      </c>
      <c r="BG106" s="124">
        <v>90</v>
      </c>
      <c r="BH106" s="124">
        <v>90</v>
      </c>
      <c r="BI106" s="124">
        <v>95</v>
      </c>
      <c r="BJ106" s="272">
        <v>90</v>
      </c>
      <c r="BK106" s="124">
        <v>90</v>
      </c>
      <c r="BL106" s="314">
        <v>90</v>
      </c>
      <c r="BM106" s="314">
        <v>90</v>
      </c>
      <c r="BN106" s="314">
        <v>95</v>
      </c>
      <c r="BO106" s="314">
        <v>95</v>
      </c>
      <c r="BP106" s="314">
        <v>95</v>
      </c>
      <c r="BQ106" s="314">
        <v>140</v>
      </c>
      <c r="BR106" s="314">
        <v>145</v>
      </c>
      <c r="BS106" s="314">
        <v>100.5</v>
      </c>
      <c r="BT106" s="314">
        <v>100.2</v>
      </c>
      <c r="BU106" s="314">
        <v>101</v>
      </c>
      <c r="BV106" s="314">
        <v>110</v>
      </c>
      <c r="BW106" s="314">
        <v>110</v>
      </c>
      <c r="BX106" s="314">
        <v>136</v>
      </c>
      <c r="BY106" s="314">
        <v>136</v>
      </c>
      <c r="BZ106" s="314">
        <v>136</v>
      </c>
      <c r="CA106" s="314">
        <v>110</v>
      </c>
      <c r="CB106" s="314">
        <v>110</v>
      </c>
      <c r="CC106" s="314">
        <v>110</v>
      </c>
      <c r="CD106" s="124">
        <v>110</v>
      </c>
      <c r="CE106" s="124">
        <v>98</v>
      </c>
      <c r="CF106" s="124">
        <v>98</v>
      </c>
      <c r="CG106" s="124">
        <v>100.5</v>
      </c>
      <c r="CH106" s="124">
        <v>100.5</v>
      </c>
      <c r="CI106" s="124">
        <v>97.5</v>
      </c>
      <c r="CJ106" s="124">
        <v>97</v>
      </c>
      <c r="CK106" s="124">
        <v>100</v>
      </c>
      <c r="CL106" s="124">
        <v>100</v>
      </c>
      <c r="CM106" s="124">
        <v>100</v>
      </c>
      <c r="CN106" s="124">
        <v>100</v>
      </c>
      <c r="CO106" s="124"/>
      <c r="CP106" s="124"/>
      <c r="CQ106" s="124"/>
      <c r="CR106" s="124"/>
      <c r="CS106" s="124"/>
      <c r="CT106" s="355"/>
      <c r="CU106" s="82"/>
      <c r="CV106" s="82"/>
      <c r="CW106" s="82"/>
      <c r="CX106" s="82"/>
      <c r="CY106" s="82"/>
      <c r="CZ106" s="82"/>
      <c r="DA106" s="82"/>
      <c r="DB106" s="82"/>
      <c r="DC106" s="82"/>
      <c r="DD106" s="82"/>
      <c r="DE106" s="82"/>
      <c r="DF106" s="82"/>
      <c r="DG106" s="82"/>
      <c r="DH106" s="82"/>
      <c r="DI106" s="82"/>
      <c r="DJ106" s="82"/>
      <c r="DK106" s="82"/>
      <c r="DL106" s="82"/>
      <c r="DM106" s="82"/>
      <c r="DN106" s="82"/>
      <c r="DO106" s="82"/>
      <c r="DP106" s="82"/>
      <c r="DQ106" s="82"/>
      <c r="DR106" s="82"/>
      <c r="DS106" s="82"/>
      <c r="DT106" s="82"/>
      <c r="DU106" s="82"/>
      <c r="DV106" s="82"/>
      <c r="DW106" s="82"/>
      <c r="DX106" s="82"/>
      <c r="DY106" s="82"/>
      <c r="DZ106" s="82"/>
      <c r="EA106" s="269"/>
      <c r="EB106" s="269"/>
    </row>
    <row r="107" spans="1:132" ht="15">
      <c r="A107" s="82"/>
      <c r="B107" s="82"/>
      <c r="C107" s="396">
        <v>37995.583333332834</v>
      </c>
      <c r="D107" s="402">
        <v>37995.624999999498</v>
      </c>
      <c r="E107" s="258">
        <v>100</v>
      </c>
      <c r="F107" s="124">
        <v>100</v>
      </c>
      <c r="G107" s="272">
        <v>120</v>
      </c>
      <c r="H107" s="124">
        <v>96</v>
      </c>
      <c r="I107" s="314">
        <v>90</v>
      </c>
      <c r="J107" s="124">
        <v>90</v>
      </c>
      <c r="K107" s="124">
        <v>90</v>
      </c>
      <c r="L107" s="124">
        <v>95</v>
      </c>
      <c r="M107" s="272">
        <v>90</v>
      </c>
      <c r="N107" s="124">
        <v>90</v>
      </c>
      <c r="O107" s="314">
        <v>90</v>
      </c>
      <c r="P107" s="314">
        <v>90</v>
      </c>
      <c r="Q107" s="314">
        <v>95</v>
      </c>
      <c r="R107" s="314">
        <v>95</v>
      </c>
      <c r="S107" s="314">
        <v>95</v>
      </c>
      <c r="T107" s="314">
        <v>140</v>
      </c>
      <c r="U107" s="314">
        <v>145</v>
      </c>
      <c r="V107" s="314">
        <v>100.5</v>
      </c>
      <c r="W107" s="314">
        <v>100.2</v>
      </c>
      <c r="X107" s="314">
        <v>101</v>
      </c>
      <c r="Y107" s="314">
        <v>110</v>
      </c>
      <c r="Z107" s="314">
        <v>110</v>
      </c>
      <c r="AA107" s="314">
        <v>136</v>
      </c>
      <c r="AB107" s="314">
        <v>136</v>
      </c>
      <c r="AC107" s="314">
        <v>136</v>
      </c>
      <c r="AD107" s="314">
        <v>110</v>
      </c>
      <c r="AE107" s="314">
        <v>110</v>
      </c>
      <c r="AF107" s="314">
        <v>110</v>
      </c>
      <c r="AG107" s="124">
        <v>110</v>
      </c>
      <c r="AH107" s="124">
        <v>98</v>
      </c>
      <c r="AI107" s="124">
        <v>98</v>
      </c>
      <c r="AJ107" s="124">
        <v>100.5</v>
      </c>
      <c r="AK107" s="124">
        <v>100.5</v>
      </c>
      <c r="AL107" s="124">
        <v>97.5</v>
      </c>
      <c r="AM107" s="124">
        <v>97</v>
      </c>
      <c r="AN107" s="124">
        <v>100</v>
      </c>
      <c r="AO107" s="124">
        <v>100</v>
      </c>
      <c r="AP107" s="124">
        <v>100</v>
      </c>
      <c r="AQ107" s="124">
        <v>100</v>
      </c>
      <c r="AR107" s="124"/>
      <c r="AS107" s="124"/>
      <c r="AT107" s="124"/>
      <c r="AU107" s="124"/>
      <c r="AV107" s="124"/>
      <c r="AW107" s="355"/>
      <c r="AX107" s="82"/>
      <c r="AY107" s="82"/>
      <c r="AZ107" s="396">
        <v>37995.583333332834</v>
      </c>
      <c r="BA107" s="402">
        <v>37995.624999999498</v>
      </c>
      <c r="BB107" s="258">
        <v>100</v>
      </c>
      <c r="BC107" s="124">
        <v>100</v>
      </c>
      <c r="BD107" s="272">
        <v>120</v>
      </c>
      <c r="BE107" s="124">
        <v>96</v>
      </c>
      <c r="BF107" s="314">
        <v>90</v>
      </c>
      <c r="BG107" s="124">
        <v>90</v>
      </c>
      <c r="BH107" s="124">
        <v>90</v>
      </c>
      <c r="BI107" s="124">
        <v>95</v>
      </c>
      <c r="BJ107" s="272">
        <v>90</v>
      </c>
      <c r="BK107" s="124">
        <v>90</v>
      </c>
      <c r="BL107" s="314">
        <v>90</v>
      </c>
      <c r="BM107" s="314">
        <v>90</v>
      </c>
      <c r="BN107" s="314">
        <v>95</v>
      </c>
      <c r="BO107" s="314">
        <v>95</v>
      </c>
      <c r="BP107" s="314">
        <v>95</v>
      </c>
      <c r="BQ107" s="314">
        <v>140</v>
      </c>
      <c r="BR107" s="314">
        <v>145</v>
      </c>
      <c r="BS107" s="314">
        <v>100.5</v>
      </c>
      <c r="BT107" s="314">
        <v>100.2</v>
      </c>
      <c r="BU107" s="314">
        <v>101</v>
      </c>
      <c r="BV107" s="314">
        <v>110</v>
      </c>
      <c r="BW107" s="314">
        <v>110</v>
      </c>
      <c r="BX107" s="314">
        <v>136</v>
      </c>
      <c r="BY107" s="314">
        <v>136</v>
      </c>
      <c r="BZ107" s="314">
        <v>136</v>
      </c>
      <c r="CA107" s="314">
        <v>110</v>
      </c>
      <c r="CB107" s="314">
        <v>110</v>
      </c>
      <c r="CC107" s="314">
        <v>110</v>
      </c>
      <c r="CD107" s="124">
        <v>110</v>
      </c>
      <c r="CE107" s="124">
        <v>98</v>
      </c>
      <c r="CF107" s="124">
        <v>98</v>
      </c>
      <c r="CG107" s="124">
        <v>100.5</v>
      </c>
      <c r="CH107" s="124">
        <v>100.5</v>
      </c>
      <c r="CI107" s="124">
        <v>97.5</v>
      </c>
      <c r="CJ107" s="124">
        <v>97</v>
      </c>
      <c r="CK107" s="124">
        <v>100</v>
      </c>
      <c r="CL107" s="124">
        <v>100</v>
      </c>
      <c r="CM107" s="124">
        <v>100</v>
      </c>
      <c r="CN107" s="124">
        <v>100</v>
      </c>
      <c r="CO107" s="124"/>
      <c r="CP107" s="124"/>
      <c r="CQ107" s="124"/>
      <c r="CR107" s="124"/>
      <c r="CS107" s="124"/>
      <c r="CT107" s="355"/>
      <c r="CU107" s="82"/>
      <c r="CV107" s="82"/>
      <c r="CW107" s="82"/>
      <c r="CX107" s="82"/>
      <c r="CY107" s="82"/>
      <c r="CZ107" s="82"/>
      <c r="DA107" s="82"/>
      <c r="DB107" s="82"/>
      <c r="DC107" s="82"/>
      <c r="DD107" s="82"/>
      <c r="DE107" s="82"/>
      <c r="DF107" s="82"/>
      <c r="DG107" s="82"/>
      <c r="DH107" s="82"/>
      <c r="DI107" s="82"/>
      <c r="DJ107" s="82"/>
      <c r="DK107" s="82"/>
      <c r="DL107" s="82"/>
      <c r="DM107" s="82"/>
      <c r="DN107" s="82"/>
      <c r="DO107" s="82"/>
      <c r="DP107" s="82"/>
      <c r="DQ107" s="82"/>
      <c r="DR107" s="82"/>
      <c r="DS107" s="82"/>
      <c r="DT107" s="82"/>
      <c r="DU107" s="82"/>
      <c r="DV107" s="82"/>
      <c r="DW107" s="82"/>
      <c r="DX107" s="82"/>
      <c r="DY107" s="82"/>
      <c r="DZ107" s="82"/>
      <c r="EA107" s="269"/>
      <c r="EB107" s="269"/>
    </row>
    <row r="108" spans="1:132" ht="15">
      <c r="A108" s="82"/>
      <c r="B108" s="82"/>
      <c r="C108" s="396">
        <v>37995.624999999498</v>
      </c>
      <c r="D108" s="402">
        <v>37995.666666666162</v>
      </c>
      <c r="E108" s="258">
        <v>100</v>
      </c>
      <c r="F108" s="124">
        <v>100</v>
      </c>
      <c r="G108" s="272">
        <v>120</v>
      </c>
      <c r="H108" s="124">
        <v>96</v>
      </c>
      <c r="I108" s="314">
        <v>90</v>
      </c>
      <c r="J108" s="124">
        <v>90</v>
      </c>
      <c r="K108" s="124">
        <v>90</v>
      </c>
      <c r="L108" s="124">
        <v>95</v>
      </c>
      <c r="M108" s="272">
        <v>90</v>
      </c>
      <c r="N108" s="124">
        <v>90</v>
      </c>
      <c r="O108" s="314">
        <v>90</v>
      </c>
      <c r="P108" s="314">
        <v>90</v>
      </c>
      <c r="Q108" s="314">
        <v>95</v>
      </c>
      <c r="R108" s="314">
        <v>95</v>
      </c>
      <c r="S108" s="314">
        <v>95</v>
      </c>
      <c r="T108" s="314">
        <v>140</v>
      </c>
      <c r="U108" s="314">
        <v>145</v>
      </c>
      <c r="V108" s="314">
        <v>100.5</v>
      </c>
      <c r="W108" s="314">
        <v>100.2</v>
      </c>
      <c r="X108" s="314">
        <v>101</v>
      </c>
      <c r="Y108" s="314">
        <v>110</v>
      </c>
      <c r="Z108" s="314">
        <v>110</v>
      </c>
      <c r="AA108" s="314">
        <v>136</v>
      </c>
      <c r="AB108" s="314">
        <v>136</v>
      </c>
      <c r="AC108" s="314">
        <v>136</v>
      </c>
      <c r="AD108" s="314">
        <v>110</v>
      </c>
      <c r="AE108" s="314">
        <v>110</v>
      </c>
      <c r="AF108" s="314">
        <v>110</v>
      </c>
      <c r="AG108" s="124">
        <v>110</v>
      </c>
      <c r="AH108" s="124">
        <v>98</v>
      </c>
      <c r="AI108" s="124">
        <v>98</v>
      </c>
      <c r="AJ108" s="124">
        <v>100.5</v>
      </c>
      <c r="AK108" s="124">
        <v>100.5</v>
      </c>
      <c r="AL108" s="124">
        <v>97.5</v>
      </c>
      <c r="AM108" s="124">
        <v>97</v>
      </c>
      <c r="AN108" s="124">
        <v>100</v>
      </c>
      <c r="AO108" s="124">
        <v>100</v>
      </c>
      <c r="AP108" s="124">
        <v>100</v>
      </c>
      <c r="AQ108" s="124">
        <v>100</v>
      </c>
      <c r="AR108" s="124"/>
      <c r="AS108" s="124"/>
      <c r="AT108" s="124"/>
      <c r="AU108" s="124"/>
      <c r="AV108" s="124"/>
      <c r="AW108" s="355"/>
      <c r="AX108" s="82"/>
      <c r="AY108" s="82"/>
      <c r="AZ108" s="396">
        <v>37995.624999999498</v>
      </c>
      <c r="BA108" s="402">
        <v>37995.666666666162</v>
      </c>
      <c r="BB108" s="258">
        <v>100</v>
      </c>
      <c r="BC108" s="124">
        <v>100</v>
      </c>
      <c r="BD108" s="272">
        <v>120</v>
      </c>
      <c r="BE108" s="124">
        <v>96</v>
      </c>
      <c r="BF108" s="314">
        <v>90</v>
      </c>
      <c r="BG108" s="124">
        <v>90</v>
      </c>
      <c r="BH108" s="124">
        <v>90</v>
      </c>
      <c r="BI108" s="124">
        <v>95</v>
      </c>
      <c r="BJ108" s="272">
        <v>90</v>
      </c>
      <c r="BK108" s="124">
        <v>90</v>
      </c>
      <c r="BL108" s="314">
        <v>90</v>
      </c>
      <c r="BM108" s="314">
        <v>90</v>
      </c>
      <c r="BN108" s="314">
        <v>95</v>
      </c>
      <c r="BO108" s="314">
        <v>95</v>
      </c>
      <c r="BP108" s="314">
        <v>95</v>
      </c>
      <c r="BQ108" s="314">
        <v>140</v>
      </c>
      <c r="BR108" s="314">
        <v>145</v>
      </c>
      <c r="BS108" s="314">
        <v>100.5</v>
      </c>
      <c r="BT108" s="314">
        <v>100.2</v>
      </c>
      <c r="BU108" s="314">
        <v>101</v>
      </c>
      <c r="BV108" s="314">
        <v>110</v>
      </c>
      <c r="BW108" s="314">
        <v>110</v>
      </c>
      <c r="BX108" s="314">
        <v>136</v>
      </c>
      <c r="BY108" s="314">
        <v>136</v>
      </c>
      <c r="BZ108" s="314">
        <v>136</v>
      </c>
      <c r="CA108" s="314">
        <v>110</v>
      </c>
      <c r="CB108" s="314">
        <v>110</v>
      </c>
      <c r="CC108" s="314">
        <v>110</v>
      </c>
      <c r="CD108" s="124">
        <v>110</v>
      </c>
      <c r="CE108" s="124">
        <v>98</v>
      </c>
      <c r="CF108" s="124">
        <v>98</v>
      </c>
      <c r="CG108" s="124">
        <v>100.5</v>
      </c>
      <c r="CH108" s="124">
        <v>100.5</v>
      </c>
      <c r="CI108" s="124">
        <v>97.5</v>
      </c>
      <c r="CJ108" s="124">
        <v>97</v>
      </c>
      <c r="CK108" s="124">
        <v>100</v>
      </c>
      <c r="CL108" s="124">
        <v>100</v>
      </c>
      <c r="CM108" s="124">
        <v>100</v>
      </c>
      <c r="CN108" s="124">
        <v>100</v>
      </c>
      <c r="CO108" s="124"/>
      <c r="CP108" s="124"/>
      <c r="CQ108" s="124"/>
      <c r="CR108" s="124"/>
      <c r="CS108" s="124"/>
      <c r="CT108" s="355"/>
      <c r="CU108" s="82"/>
      <c r="CV108" s="82"/>
      <c r="CW108" s="82"/>
      <c r="CX108" s="82"/>
      <c r="CY108" s="82"/>
      <c r="CZ108" s="82"/>
      <c r="DA108" s="82"/>
      <c r="DB108" s="82"/>
      <c r="DC108" s="82"/>
      <c r="DD108" s="82"/>
      <c r="DE108" s="82"/>
      <c r="DF108" s="82"/>
      <c r="DG108" s="82"/>
      <c r="DH108" s="82"/>
      <c r="DI108" s="82"/>
      <c r="DJ108" s="82"/>
      <c r="DK108" s="82"/>
      <c r="DL108" s="82"/>
      <c r="DM108" s="82"/>
      <c r="DN108" s="82"/>
      <c r="DO108" s="82"/>
      <c r="DP108" s="82"/>
      <c r="DQ108" s="82"/>
      <c r="DR108" s="82"/>
      <c r="DS108" s="82"/>
      <c r="DT108" s="82"/>
      <c r="DU108" s="82"/>
      <c r="DV108" s="82"/>
      <c r="DW108" s="82"/>
      <c r="DX108" s="82"/>
      <c r="DY108" s="82"/>
      <c r="DZ108" s="82"/>
      <c r="EA108" s="269"/>
      <c r="EB108" s="269"/>
    </row>
    <row r="109" spans="1:132" ht="15">
      <c r="A109" s="82"/>
      <c r="B109" s="82"/>
      <c r="C109" s="396">
        <v>37995.666666666162</v>
      </c>
      <c r="D109" s="402">
        <v>37995.708333332826</v>
      </c>
      <c r="E109" s="258">
        <v>100</v>
      </c>
      <c r="F109" s="124">
        <v>100</v>
      </c>
      <c r="G109" s="272">
        <v>120</v>
      </c>
      <c r="H109" s="124">
        <v>96</v>
      </c>
      <c r="I109" s="314">
        <v>90</v>
      </c>
      <c r="J109" s="124">
        <v>90</v>
      </c>
      <c r="K109" s="124">
        <v>90</v>
      </c>
      <c r="L109" s="124">
        <v>95</v>
      </c>
      <c r="M109" s="272">
        <v>90</v>
      </c>
      <c r="N109" s="124">
        <v>90</v>
      </c>
      <c r="O109" s="314">
        <v>90</v>
      </c>
      <c r="P109" s="314">
        <v>90</v>
      </c>
      <c r="Q109" s="314">
        <v>95</v>
      </c>
      <c r="R109" s="314">
        <v>95</v>
      </c>
      <c r="S109" s="314">
        <v>95</v>
      </c>
      <c r="T109" s="314">
        <v>140</v>
      </c>
      <c r="U109" s="314">
        <v>145</v>
      </c>
      <c r="V109" s="314">
        <v>100.5</v>
      </c>
      <c r="W109" s="314">
        <v>100.2</v>
      </c>
      <c r="X109" s="314">
        <v>101</v>
      </c>
      <c r="Y109" s="314">
        <v>110</v>
      </c>
      <c r="Z109" s="314">
        <v>110</v>
      </c>
      <c r="AA109" s="314">
        <v>136</v>
      </c>
      <c r="AB109" s="314">
        <v>136</v>
      </c>
      <c r="AC109" s="314">
        <v>136</v>
      </c>
      <c r="AD109" s="314">
        <v>110</v>
      </c>
      <c r="AE109" s="314">
        <v>110</v>
      </c>
      <c r="AF109" s="314">
        <v>110</v>
      </c>
      <c r="AG109" s="124">
        <v>110</v>
      </c>
      <c r="AH109" s="124">
        <v>98</v>
      </c>
      <c r="AI109" s="124">
        <v>98</v>
      </c>
      <c r="AJ109" s="124">
        <v>100.5</v>
      </c>
      <c r="AK109" s="124">
        <v>100.5</v>
      </c>
      <c r="AL109" s="124">
        <v>97.5</v>
      </c>
      <c r="AM109" s="124">
        <v>97</v>
      </c>
      <c r="AN109" s="124">
        <v>100</v>
      </c>
      <c r="AO109" s="124">
        <v>100</v>
      </c>
      <c r="AP109" s="124">
        <v>100</v>
      </c>
      <c r="AQ109" s="124">
        <v>100</v>
      </c>
      <c r="AR109" s="124"/>
      <c r="AS109" s="124"/>
      <c r="AT109" s="124"/>
      <c r="AU109" s="124"/>
      <c r="AV109" s="124"/>
      <c r="AW109" s="355"/>
      <c r="AX109" s="82"/>
      <c r="AY109" s="82"/>
      <c r="AZ109" s="396">
        <v>37995.666666666162</v>
      </c>
      <c r="BA109" s="402">
        <v>37995.708333332826</v>
      </c>
      <c r="BB109" s="258">
        <v>100</v>
      </c>
      <c r="BC109" s="124">
        <v>100</v>
      </c>
      <c r="BD109" s="272">
        <v>120</v>
      </c>
      <c r="BE109" s="124">
        <v>96</v>
      </c>
      <c r="BF109" s="314">
        <v>90</v>
      </c>
      <c r="BG109" s="124">
        <v>90</v>
      </c>
      <c r="BH109" s="124">
        <v>90</v>
      </c>
      <c r="BI109" s="124">
        <v>95</v>
      </c>
      <c r="BJ109" s="272">
        <v>90</v>
      </c>
      <c r="BK109" s="124">
        <v>90</v>
      </c>
      <c r="BL109" s="314">
        <v>90</v>
      </c>
      <c r="BM109" s="314">
        <v>90</v>
      </c>
      <c r="BN109" s="314">
        <v>95</v>
      </c>
      <c r="BO109" s="314">
        <v>95</v>
      </c>
      <c r="BP109" s="314">
        <v>95</v>
      </c>
      <c r="BQ109" s="314">
        <v>140</v>
      </c>
      <c r="BR109" s="314">
        <v>145</v>
      </c>
      <c r="BS109" s="314">
        <v>100.5</v>
      </c>
      <c r="BT109" s="314">
        <v>100.2</v>
      </c>
      <c r="BU109" s="314">
        <v>101</v>
      </c>
      <c r="BV109" s="314">
        <v>110</v>
      </c>
      <c r="BW109" s="314">
        <v>110</v>
      </c>
      <c r="BX109" s="314">
        <v>136</v>
      </c>
      <c r="BY109" s="314">
        <v>136</v>
      </c>
      <c r="BZ109" s="314">
        <v>136</v>
      </c>
      <c r="CA109" s="314">
        <v>110</v>
      </c>
      <c r="CB109" s="314">
        <v>110</v>
      </c>
      <c r="CC109" s="314">
        <v>110</v>
      </c>
      <c r="CD109" s="124">
        <v>110</v>
      </c>
      <c r="CE109" s="124">
        <v>98</v>
      </c>
      <c r="CF109" s="124">
        <v>98</v>
      </c>
      <c r="CG109" s="124">
        <v>100.5</v>
      </c>
      <c r="CH109" s="124">
        <v>100.5</v>
      </c>
      <c r="CI109" s="124">
        <v>97.5</v>
      </c>
      <c r="CJ109" s="124">
        <v>97</v>
      </c>
      <c r="CK109" s="124">
        <v>100</v>
      </c>
      <c r="CL109" s="124">
        <v>100</v>
      </c>
      <c r="CM109" s="124">
        <v>100</v>
      </c>
      <c r="CN109" s="124">
        <v>100</v>
      </c>
      <c r="CO109" s="124"/>
      <c r="CP109" s="124"/>
      <c r="CQ109" s="124"/>
      <c r="CR109" s="124"/>
      <c r="CS109" s="124"/>
      <c r="CT109" s="355"/>
      <c r="CU109" s="82"/>
      <c r="CV109" s="82"/>
      <c r="CW109" s="82"/>
      <c r="CX109" s="82"/>
      <c r="CY109" s="82"/>
      <c r="CZ109" s="82"/>
      <c r="DA109" s="82"/>
      <c r="DB109" s="82"/>
      <c r="DC109" s="82"/>
      <c r="DD109" s="82"/>
      <c r="DE109" s="82"/>
      <c r="DF109" s="82"/>
      <c r="DG109" s="82"/>
      <c r="DH109" s="82"/>
      <c r="DI109" s="82"/>
      <c r="DJ109" s="82"/>
      <c r="DK109" s="82"/>
      <c r="DL109" s="82"/>
      <c r="DM109" s="82"/>
      <c r="DN109" s="82"/>
      <c r="DO109" s="82"/>
      <c r="DP109" s="82"/>
      <c r="DQ109" s="82"/>
      <c r="DR109" s="82"/>
      <c r="DS109" s="82"/>
      <c r="DT109" s="82"/>
      <c r="DU109" s="82"/>
      <c r="DV109" s="82"/>
      <c r="DW109" s="82"/>
      <c r="DX109" s="82"/>
      <c r="DY109" s="82"/>
      <c r="DZ109" s="82"/>
      <c r="EA109" s="269"/>
      <c r="EB109" s="269"/>
    </row>
    <row r="110" spans="1:132" ht="15">
      <c r="A110" s="82"/>
      <c r="B110" s="82"/>
      <c r="C110" s="396">
        <v>37995.708333332826</v>
      </c>
      <c r="D110" s="402">
        <v>37995.749999999491</v>
      </c>
      <c r="E110" s="258">
        <v>100</v>
      </c>
      <c r="F110" s="124">
        <v>100</v>
      </c>
      <c r="G110" s="272">
        <v>120</v>
      </c>
      <c r="H110" s="124">
        <v>96</v>
      </c>
      <c r="I110" s="314">
        <v>90</v>
      </c>
      <c r="J110" s="124">
        <v>90</v>
      </c>
      <c r="K110" s="124">
        <v>90</v>
      </c>
      <c r="L110" s="124">
        <v>95</v>
      </c>
      <c r="M110" s="272">
        <v>90</v>
      </c>
      <c r="N110" s="124">
        <v>90</v>
      </c>
      <c r="O110" s="314">
        <v>90</v>
      </c>
      <c r="P110" s="314">
        <v>90</v>
      </c>
      <c r="Q110" s="314">
        <v>95</v>
      </c>
      <c r="R110" s="314">
        <v>95</v>
      </c>
      <c r="S110" s="314">
        <v>95</v>
      </c>
      <c r="T110" s="314">
        <v>140</v>
      </c>
      <c r="U110" s="314">
        <v>145</v>
      </c>
      <c r="V110" s="314">
        <v>100.5</v>
      </c>
      <c r="W110" s="314">
        <v>100.2</v>
      </c>
      <c r="X110" s="314">
        <v>101</v>
      </c>
      <c r="Y110" s="314">
        <v>110</v>
      </c>
      <c r="Z110" s="314">
        <v>110</v>
      </c>
      <c r="AA110" s="314">
        <v>136</v>
      </c>
      <c r="AB110" s="314">
        <v>136</v>
      </c>
      <c r="AC110" s="314">
        <v>136</v>
      </c>
      <c r="AD110" s="314">
        <v>110</v>
      </c>
      <c r="AE110" s="314">
        <v>110</v>
      </c>
      <c r="AF110" s="314">
        <v>110</v>
      </c>
      <c r="AG110" s="124">
        <v>110</v>
      </c>
      <c r="AH110" s="124">
        <v>98</v>
      </c>
      <c r="AI110" s="124">
        <v>98</v>
      </c>
      <c r="AJ110" s="124">
        <v>100.5</v>
      </c>
      <c r="AK110" s="124">
        <v>100.5</v>
      </c>
      <c r="AL110" s="124">
        <v>97.5</v>
      </c>
      <c r="AM110" s="124">
        <v>97</v>
      </c>
      <c r="AN110" s="124">
        <v>100</v>
      </c>
      <c r="AO110" s="124">
        <v>100</v>
      </c>
      <c r="AP110" s="124">
        <v>100</v>
      </c>
      <c r="AQ110" s="124">
        <v>100</v>
      </c>
      <c r="AR110" s="124"/>
      <c r="AS110" s="124"/>
      <c r="AT110" s="124"/>
      <c r="AU110" s="124"/>
      <c r="AV110" s="124"/>
      <c r="AW110" s="355"/>
      <c r="AX110" s="82"/>
      <c r="AY110" s="82"/>
      <c r="AZ110" s="396">
        <v>37995.708333332826</v>
      </c>
      <c r="BA110" s="402">
        <v>37995.749999999491</v>
      </c>
      <c r="BB110" s="258">
        <v>100</v>
      </c>
      <c r="BC110" s="124">
        <v>100</v>
      </c>
      <c r="BD110" s="272">
        <v>120</v>
      </c>
      <c r="BE110" s="124">
        <v>96</v>
      </c>
      <c r="BF110" s="314">
        <v>90</v>
      </c>
      <c r="BG110" s="124">
        <v>90</v>
      </c>
      <c r="BH110" s="124">
        <v>90</v>
      </c>
      <c r="BI110" s="124">
        <v>95</v>
      </c>
      <c r="BJ110" s="272">
        <v>90</v>
      </c>
      <c r="BK110" s="124">
        <v>90</v>
      </c>
      <c r="BL110" s="314">
        <v>90</v>
      </c>
      <c r="BM110" s="314">
        <v>90</v>
      </c>
      <c r="BN110" s="314">
        <v>95</v>
      </c>
      <c r="BO110" s="314">
        <v>95</v>
      </c>
      <c r="BP110" s="314">
        <v>95</v>
      </c>
      <c r="BQ110" s="314">
        <v>140</v>
      </c>
      <c r="BR110" s="314">
        <v>145</v>
      </c>
      <c r="BS110" s="314">
        <v>100.5</v>
      </c>
      <c r="BT110" s="314">
        <v>100.2</v>
      </c>
      <c r="BU110" s="314">
        <v>101</v>
      </c>
      <c r="BV110" s="314">
        <v>110</v>
      </c>
      <c r="BW110" s="314">
        <v>110</v>
      </c>
      <c r="BX110" s="314">
        <v>136</v>
      </c>
      <c r="BY110" s="314">
        <v>136</v>
      </c>
      <c r="BZ110" s="314">
        <v>136</v>
      </c>
      <c r="CA110" s="314">
        <v>110</v>
      </c>
      <c r="CB110" s="314">
        <v>110</v>
      </c>
      <c r="CC110" s="314">
        <v>110</v>
      </c>
      <c r="CD110" s="124">
        <v>110</v>
      </c>
      <c r="CE110" s="124">
        <v>98</v>
      </c>
      <c r="CF110" s="124">
        <v>98</v>
      </c>
      <c r="CG110" s="124">
        <v>100.5</v>
      </c>
      <c r="CH110" s="124">
        <v>100.5</v>
      </c>
      <c r="CI110" s="124">
        <v>97.5</v>
      </c>
      <c r="CJ110" s="124">
        <v>97</v>
      </c>
      <c r="CK110" s="124">
        <v>100</v>
      </c>
      <c r="CL110" s="124">
        <v>100</v>
      </c>
      <c r="CM110" s="124">
        <v>100</v>
      </c>
      <c r="CN110" s="124">
        <v>100</v>
      </c>
      <c r="CO110" s="124"/>
      <c r="CP110" s="124"/>
      <c r="CQ110" s="124"/>
      <c r="CR110" s="124"/>
      <c r="CS110" s="124"/>
      <c r="CT110" s="355"/>
      <c r="CU110" s="82"/>
      <c r="CV110" s="82"/>
      <c r="CW110" s="82"/>
      <c r="CX110" s="82"/>
      <c r="CY110" s="82"/>
      <c r="CZ110" s="82"/>
      <c r="DA110" s="82"/>
      <c r="DB110" s="82"/>
      <c r="DC110" s="82"/>
      <c r="DD110" s="82"/>
      <c r="DE110" s="82"/>
      <c r="DF110" s="82"/>
      <c r="DG110" s="82"/>
      <c r="DH110" s="82"/>
      <c r="DI110" s="82"/>
      <c r="DJ110" s="82"/>
      <c r="DK110" s="82"/>
      <c r="DL110" s="82"/>
      <c r="DM110" s="82"/>
      <c r="DN110" s="82"/>
      <c r="DO110" s="82"/>
      <c r="DP110" s="82"/>
      <c r="DQ110" s="82"/>
      <c r="DR110" s="82"/>
      <c r="DS110" s="82"/>
      <c r="DT110" s="82"/>
      <c r="DU110" s="82"/>
      <c r="DV110" s="82"/>
      <c r="DW110" s="82"/>
      <c r="DX110" s="82"/>
      <c r="DY110" s="82"/>
      <c r="DZ110" s="82"/>
      <c r="EA110" s="269"/>
      <c r="EB110" s="269"/>
    </row>
    <row r="111" spans="1:132" ht="15">
      <c r="A111" s="82"/>
      <c r="B111" s="82"/>
      <c r="C111" s="398">
        <v>37995.749999999491</v>
      </c>
      <c r="D111" s="403">
        <v>37995.791666666155</v>
      </c>
      <c r="E111" s="261">
        <v>100</v>
      </c>
      <c r="F111" s="125">
        <v>100</v>
      </c>
      <c r="G111" s="273">
        <v>120</v>
      </c>
      <c r="H111" s="125">
        <v>96</v>
      </c>
      <c r="I111" s="315">
        <v>90</v>
      </c>
      <c r="J111" s="125">
        <v>90</v>
      </c>
      <c r="K111" s="125">
        <v>90</v>
      </c>
      <c r="L111" s="125">
        <v>95</v>
      </c>
      <c r="M111" s="273">
        <v>90</v>
      </c>
      <c r="N111" s="125">
        <v>90</v>
      </c>
      <c r="O111" s="315">
        <v>90</v>
      </c>
      <c r="P111" s="315">
        <v>90</v>
      </c>
      <c r="Q111" s="315">
        <v>95</v>
      </c>
      <c r="R111" s="315">
        <v>95</v>
      </c>
      <c r="S111" s="315">
        <v>95</v>
      </c>
      <c r="T111" s="315">
        <v>140</v>
      </c>
      <c r="U111" s="315">
        <v>145</v>
      </c>
      <c r="V111" s="315">
        <v>100.5</v>
      </c>
      <c r="W111" s="315">
        <v>100.2</v>
      </c>
      <c r="X111" s="315">
        <v>101</v>
      </c>
      <c r="Y111" s="315">
        <v>110</v>
      </c>
      <c r="Z111" s="315">
        <v>110</v>
      </c>
      <c r="AA111" s="315">
        <v>136</v>
      </c>
      <c r="AB111" s="315">
        <v>136</v>
      </c>
      <c r="AC111" s="315">
        <v>136</v>
      </c>
      <c r="AD111" s="315">
        <v>110</v>
      </c>
      <c r="AE111" s="315">
        <v>110</v>
      </c>
      <c r="AF111" s="315">
        <v>110</v>
      </c>
      <c r="AG111" s="315">
        <v>110</v>
      </c>
      <c r="AH111" s="125">
        <v>98</v>
      </c>
      <c r="AI111" s="125">
        <v>98</v>
      </c>
      <c r="AJ111" s="125">
        <v>100.5</v>
      </c>
      <c r="AK111" s="125">
        <v>100.5</v>
      </c>
      <c r="AL111" s="125">
        <v>97.5</v>
      </c>
      <c r="AM111" s="125">
        <v>97</v>
      </c>
      <c r="AN111" s="125">
        <v>100</v>
      </c>
      <c r="AO111" s="125">
        <v>100</v>
      </c>
      <c r="AP111" s="125">
        <v>100</v>
      </c>
      <c r="AQ111" s="125">
        <v>100</v>
      </c>
      <c r="AR111" s="125"/>
      <c r="AS111" s="125"/>
      <c r="AT111" s="125"/>
      <c r="AU111" s="125"/>
      <c r="AV111" s="125"/>
      <c r="AW111" s="356"/>
      <c r="AX111" s="82"/>
      <c r="AY111" s="82"/>
      <c r="AZ111" s="398">
        <v>37995.749999999491</v>
      </c>
      <c r="BA111" s="403">
        <v>37995.791666666155</v>
      </c>
      <c r="BB111" s="261">
        <v>100</v>
      </c>
      <c r="BC111" s="125">
        <v>100</v>
      </c>
      <c r="BD111" s="273">
        <v>120</v>
      </c>
      <c r="BE111" s="125">
        <v>96</v>
      </c>
      <c r="BF111" s="315">
        <v>90</v>
      </c>
      <c r="BG111" s="125">
        <v>90</v>
      </c>
      <c r="BH111" s="125">
        <v>90</v>
      </c>
      <c r="BI111" s="125">
        <v>95</v>
      </c>
      <c r="BJ111" s="273">
        <v>90</v>
      </c>
      <c r="BK111" s="125">
        <v>90</v>
      </c>
      <c r="BL111" s="315">
        <v>90</v>
      </c>
      <c r="BM111" s="315">
        <v>90</v>
      </c>
      <c r="BN111" s="315">
        <v>95</v>
      </c>
      <c r="BO111" s="315">
        <v>95</v>
      </c>
      <c r="BP111" s="315">
        <v>95</v>
      </c>
      <c r="BQ111" s="315">
        <v>140</v>
      </c>
      <c r="BR111" s="315">
        <v>145</v>
      </c>
      <c r="BS111" s="315">
        <v>100.5</v>
      </c>
      <c r="BT111" s="315">
        <v>100.2</v>
      </c>
      <c r="BU111" s="315">
        <v>101</v>
      </c>
      <c r="BV111" s="315">
        <v>110</v>
      </c>
      <c r="BW111" s="315">
        <v>110</v>
      </c>
      <c r="BX111" s="315">
        <v>136</v>
      </c>
      <c r="BY111" s="315">
        <v>136</v>
      </c>
      <c r="BZ111" s="315">
        <v>136</v>
      </c>
      <c r="CA111" s="315">
        <v>110</v>
      </c>
      <c r="CB111" s="315">
        <v>110</v>
      </c>
      <c r="CC111" s="315">
        <v>110</v>
      </c>
      <c r="CD111" s="315">
        <v>110</v>
      </c>
      <c r="CE111" s="125">
        <v>98</v>
      </c>
      <c r="CF111" s="125">
        <v>98</v>
      </c>
      <c r="CG111" s="125">
        <v>100.5</v>
      </c>
      <c r="CH111" s="125">
        <v>100.5</v>
      </c>
      <c r="CI111" s="125">
        <v>97.5</v>
      </c>
      <c r="CJ111" s="125">
        <v>97</v>
      </c>
      <c r="CK111" s="125">
        <v>100</v>
      </c>
      <c r="CL111" s="125">
        <v>100</v>
      </c>
      <c r="CM111" s="125">
        <v>100</v>
      </c>
      <c r="CN111" s="125">
        <v>100</v>
      </c>
      <c r="CO111" s="125"/>
      <c r="CP111" s="125"/>
      <c r="CQ111" s="125"/>
      <c r="CR111" s="125"/>
      <c r="CS111" s="125"/>
      <c r="CT111" s="356"/>
      <c r="CU111" s="82"/>
      <c r="CV111" s="82"/>
      <c r="CW111" s="82"/>
      <c r="CX111" s="82"/>
      <c r="CY111" s="82"/>
      <c r="CZ111" s="82"/>
      <c r="DA111" s="82"/>
      <c r="DB111" s="82"/>
      <c r="DC111" s="82"/>
      <c r="DD111" s="82"/>
      <c r="DE111" s="82"/>
      <c r="DF111" s="82"/>
      <c r="DG111" s="82"/>
      <c r="DH111" s="82"/>
      <c r="DI111" s="82"/>
      <c r="DJ111" s="82"/>
      <c r="DK111" s="82"/>
      <c r="DL111" s="82"/>
      <c r="DM111" s="82"/>
      <c r="DN111" s="82"/>
      <c r="DO111" s="82"/>
      <c r="DP111" s="82"/>
      <c r="DQ111" s="82"/>
      <c r="DR111" s="82"/>
      <c r="DS111" s="82"/>
      <c r="DT111" s="82"/>
      <c r="DU111" s="82"/>
      <c r="DV111" s="82"/>
      <c r="DW111" s="82"/>
      <c r="DX111" s="82"/>
      <c r="DY111" s="82"/>
      <c r="DZ111" s="82"/>
      <c r="EA111" s="269"/>
      <c r="EB111" s="269"/>
    </row>
    <row r="112" spans="1:132" ht="15">
      <c r="A112" s="82"/>
      <c r="B112" s="82"/>
      <c r="C112" s="398">
        <v>37995.791666666155</v>
      </c>
      <c r="D112" s="403">
        <v>37995.833333332819</v>
      </c>
      <c r="E112" s="261">
        <v>100</v>
      </c>
      <c r="F112" s="125">
        <v>100</v>
      </c>
      <c r="G112" s="273">
        <v>120</v>
      </c>
      <c r="H112" s="125">
        <v>96</v>
      </c>
      <c r="I112" s="315">
        <v>90</v>
      </c>
      <c r="J112" s="125">
        <v>90</v>
      </c>
      <c r="K112" s="125">
        <v>90</v>
      </c>
      <c r="L112" s="125">
        <v>95</v>
      </c>
      <c r="M112" s="273">
        <v>90</v>
      </c>
      <c r="N112" s="125">
        <v>90</v>
      </c>
      <c r="O112" s="315">
        <v>90</v>
      </c>
      <c r="P112" s="315">
        <v>90</v>
      </c>
      <c r="Q112" s="315">
        <v>95</v>
      </c>
      <c r="R112" s="315">
        <v>95</v>
      </c>
      <c r="S112" s="315">
        <v>95</v>
      </c>
      <c r="T112" s="315">
        <v>140</v>
      </c>
      <c r="U112" s="315">
        <v>145</v>
      </c>
      <c r="V112" s="315">
        <v>100.5</v>
      </c>
      <c r="W112" s="315">
        <v>100.2</v>
      </c>
      <c r="X112" s="315">
        <v>101</v>
      </c>
      <c r="Y112" s="315">
        <v>110</v>
      </c>
      <c r="Z112" s="315">
        <v>110</v>
      </c>
      <c r="AA112" s="315">
        <v>136</v>
      </c>
      <c r="AB112" s="315">
        <v>136</v>
      </c>
      <c r="AC112" s="315">
        <v>136</v>
      </c>
      <c r="AD112" s="315">
        <v>110</v>
      </c>
      <c r="AE112" s="315">
        <v>110</v>
      </c>
      <c r="AF112" s="315">
        <v>110</v>
      </c>
      <c r="AG112" s="315">
        <v>110</v>
      </c>
      <c r="AH112" s="125">
        <v>98</v>
      </c>
      <c r="AI112" s="125">
        <v>98</v>
      </c>
      <c r="AJ112" s="125">
        <v>100.5</v>
      </c>
      <c r="AK112" s="125">
        <v>100.5</v>
      </c>
      <c r="AL112" s="125">
        <v>97.5</v>
      </c>
      <c r="AM112" s="125">
        <v>97</v>
      </c>
      <c r="AN112" s="125">
        <v>100</v>
      </c>
      <c r="AO112" s="125">
        <v>100</v>
      </c>
      <c r="AP112" s="125">
        <v>100</v>
      </c>
      <c r="AQ112" s="125">
        <v>100</v>
      </c>
      <c r="AR112" s="125"/>
      <c r="AS112" s="125"/>
      <c r="AT112" s="125"/>
      <c r="AU112" s="125"/>
      <c r="AV112" s="125"/>
      <c r="AW112" s="356"/>
      <c r="AX112" s="82"/>
      <c r="AY112" s="82"/>
      <c r="AZ112" s="398">
        <v>37995.791666666155</v>
      </c>
      <c r="BA112" s="403">
        <v>37995.833333332819</v>
      </c>
      <c r="BB112" s="261">
        <v>100</v>
      </c>
      <c r="BC112" s="125">
        <v>100</v>
      </c>
      <c r="BD112" s="273">
        <v>120</v>
      </c>
      <c r="BE112" s="125">
        <v>96</v>
      </c>
      <c r="BF112" s="315">
        <v>90</v>
      </c>
      <c r="BG112" s="125">
        <v>90</v>
      </c>
      <c r="BH112" s="125">
        <v>90</v>
      </c>
      <c r="BI112" s="125">
        <v>95</v>
      </c>
      <c r="BJ112" s="273">
        <v>90</v>
      </c>
      <c r="BK112" s="125">
        <v>90</v>
      </c>
      <c r="BL112" s="315">
        <v>90</v>
      </c>
      <c r="BM112" s="315">
        <v>90</v>
      </c>
      <c r="BN112" s="315">
        <v>95</v>
      </c>
      <c r="BO112" s="315">
        <v>95</v>
      </c>
      <c r="BP112" s="315">
        <v>95</v>
      </c>
      <c r="BQ112" s="315">
        <v>140</v>
      </c>
      <c r="BR112" s="315">
        <v>145</v>
      </c>
      <c r="BS112" s="315">
        <v>100.5</v>
      </c>
      <c r="BT112" s="315">
        <v>100.2</v>
      </c>
      <c r="BU112" s="315">
        <v>101</v>
      </c>
      <c r="BV112" s="315">
        <v>110</v>
      </c>
      <c r="BW112" s="315">
        <v>110</v>
      </c>
      <c r="BX112" s="315">
        <v>136</v>
      </c>
      <c r="BY112" s="315">
        <v>136</v>
      </c>
      <c r="BZ112" s="315">
        <v>136</v>
      </c>
      <c r="CA112" s="315">
        <v>110</v>
      </c>
      <c r="CB112" s="315">
        <v>110</v>
      </c>
      <c r="CC112" s="315">
        <v>110</v>
      </c>
      <c r="CD112" s="315">
        <v>110</v>
      </c>
      <c r="CE112" s="125">
        <v>98</v>
      </c>
      <c r="CF112" s="125">
        <v>98</v>
      </c>
      <c r="CG112" s="125">
        <v>100.5</v>
      </c>
      <c r="CH112" s="125">
        <v>100.5</v>
      </c>
      <c r="CI112" s="125">
        <v>97.5</v>
      </c>
      <c r="CJ112" s="125">
        <v>97</v>
      </c>
      <c r="CK112" s="125">
        <v>100</v>
      </c>
      <c r="CL112" s="125">
        <v>100</v>
      </c>
      <c r="CM112" s="125">
        <v>100</v>
      </c>
      <c r="CN112" s="125">
        <v>100</v>
      </c>
      <c r="CO112" s="125"/>
      <c r="CP112" s="125"/>
      <c r="CQ112" s="125"/>
      <c r="CR112" s="125"/>
      <c r="CS112" s="125"/>
      <c r="CT112" s="356"/>
      <c r="CU112" s="82"/>
      <c r="CV112" s="82"/>
      <c r="CW112" s="82"/>
      <c r="CX112" s="82"/>
      <c r="CY112" s="82"/>
      <c r="CZ112" s="82"/>
      <c r="DA112" s="82"/>
      <c r="DB112" s="82"/>
      <c r="DC112" s="82"/>
      <c r="DD112" s="82"/>
      <c r="DE112" s="82"/>
      <c r="DF112" s="82"/>
      <c r="DG112" s="82"/>
      <c r="DH112" s="82"/>
      <c r="DI112" s="82"/>
      <c r="DJ112" s="82"/>
      <c r="DK112" s="82"/>
      <c r="DL112" s="82"/>
      <c r="DM112" s="82"/>
      <c r="DN112" s="82"/>
      <c r="DO112" s="82"/>
      <c r="DP112" s="82"/>
      <c r="DQ112" s="82"/>
      <c r="DR112" s="82"/>
      <c r="DS112" s="82"/>
      <c r="DT112" s="82"/>
      <c r="DU112" s="82"/>
      <c r="DV112" s="82"/>
      <c r="DW112" s="82"/>
      <c r="DX112" s="82"/>
      <c r="DY112" s="82"/>
      <c r="DZ112" s="82"/>
      <c r="EA112" s="269"/>
      <c r="EB112" s="269"/>
    </row>
    <row r="113" spans="1:132" ht="15">
      <c r="A113" s="82"/>
      <c r="B113" s="82"/>
      <c r="C113" s="398">
        <v>37995.833333332819</v>
      </c>
      <c r="D113" s="403">
        <v>37995.874999999483</v>
      </c>
      <c r="E113" s="261">
        <v>100</v>
      </c>
      <c r="F113" s="125">
        <v>100</v>
      </c>
      <c r="G113" s="273">
        <v>120</v>
      </c>
      <c r="H113" s="125">
        <v>96</v>
      </c>
      <c r="I113" s="315">
        <v>90</v>
      </c>
      <c r="J113" s="125">
        <v>90</v>
      </c>
      <c r="K113" s="125">
        <v>90</v>
      </c>
      <c r="L113" s="125">
        <v>95</v>
      </c>
      <c r="M113" s="273">
        <v>90</v>
      </c>
      <c r="N113" s="125">
        <v>90</v>
      </c>
      <c r="O113" s="315">
        <v>90</v>
      </c>
      <c r="P113" s="315">
        <v>90</v>
      </c>
      <c r="Q113" s="315">
        <v>95</v>
      </c>
      <c r="R113" s="315">
        <v>95</v>
      </c>
      <c r="S113" s="315">
        <v>95</v>
      </c>
      <c r="T113" s="315">
        <v>140</v>
      </c>
      <c r="U113" s="315">
        <v>145</v>
      </c>
      <c r="V113" s="315">
        <v>100.5</v>
      </c>
      <c r="W113" s="315">
        <v>100.2</v>
      </c>
      <c r="X113" s="315">
        <v>101</v>
      </c>
      <c r="Y113" s="315">
        <v>110</v>
      </c>
      <c r="Z113" s="315">
        <v>110</v>
      </c>
      <c r="AA113" s="315">
        <v>136</v>
      </c>
      <c r="AB113" s="315">
        <v>136</v>
      </c>
      <c r="AC113" s="315">
        <v>136</v>
      </c>
      <c r="AD113" s="315">
        <v>110</v>
      </c>
      <c r="AE113" s="315">
        <v>110</v>
      </c>
      <c r="AF113" s="315">
        <v>110</v>
      </c>
      <c r="AG113" s="315">
        <v>110</v>
      </c>
      <c r="AH113" s="125">
        <v>98</v>
      </c>
      <c r="AI113" s="125">
        <v>98</v>
      </c>
      <c r="AJ113" s="125">
        <v>100.5</v>
      </c>
      <c r="AK113" s="125">
        <v>100.5</v>
      </c>
      <c r="AL113" s="125">
        <v>97.5</v>
      </c>
      <c r="AM113" s="125">
        <v>97</v>
      </c>
      <c r="AN113" s="125">
        <v>100</v>
      </c>
      <c r="AO113" s="125">
        <v>100</v>
      </c>
      <c r="AP113" s="125">
        <v>100</v>
      </c>
      <c r="AQ113" s="125">
        <v>100</v>
      </c>
      <c r="AR113" s="125"/>
      <c r="AS113" s="125"/>
      <c r="AT113" s="125"/>
      <c r="AU113" s="125"/>
      <c r="AV113" s="125"/>
      <c r="AW113" s="356"/>
      <c r="AX113" s="82"/>
      <c r="AY113" s="82"/>
      <c r="AZ113" s="398">
        <v>37995.833333332819</v>
      </c>
      <c r="BA113" s="403">
        <v>37995.874999999483</v>
      </c>
      <c r="BB113" s="261">
        <v>100</v>
      </c>
      <c r="BC113" s="125">
        <v>100</v>
      </c>
      <c r="BD113" s="273">
        <v>120</v>
      </c>
      <c r="BE113" s="125">
        <v>96</v>
      </c>
      <c r="BF113" s="315">
        <v>90</v>
      </c>
      <c r="BG113" s="125">
        <v>90</v>
      </c>
      <c r="BH113" s="125">
        <v>90</v>
      </c>
      <c r="BI113" s="125">
        <v>95</v>
      </c>
      <c r="BJ113" s="273">
        <v>90</v>
      </c>
      <c r="BK113" s="125">
        <v>90</v>
      </c>
      <c r="BL113" s="315">
        <v>90</v>
      </c>
      <c r="BM113" s="315">
        <v>90</v>
      </c>
      <c r="BN113" s="315">
        <v>95</v>
      </c>
      <c r="BO113" s="315">
        <v>95</v>
      </c>
      <c r="BP113" s="315">
        <v>95</v>
      </c>
      <c r="BQ113" s="315">
        <v>140</v>
      </c>
      <c r="BR113" s="315">
        <v>145</v>
      </c>
      <c r="BS113" s="315">
        <v>100.5</v>
      </c>
      <c r="BT113" s="315">
        <v>100.2</v>
      </c>
      <c r="BU113" s="315">
        <v>101</v>
      </c>
      <c r="BV113" s="315">
        <v>110</v>
      </c>
      <c r="BW113" s="315">
        <v>110</v>
      </c>
      <c r="BX113" s="315">
        <v>136</v>
      </c>
      <c r="BY113" s="315">
        <v>136</v>
      </c>
      <c r="BZ113" s="315">
        <v>136</v>
      </c>
      <c r="CA113" s="315">
        <v>110</v>
      </c>
      <c r="CB113" s="315">
        <v>110</v>
      </c>
      <c r="CC113" s="315">
        <v>110</v>
      </c>
      <c r="CD113" s="315">
        <v>110</v>
      </c>
      <c r="CE113" s="125">
        <v>98</v>
      </c>
      <c r="CF113" s="125">
        <v>98</v>
      </c>
      <c r="CG113" s="125">
        <v>100.5</v>
      </c>
      <c r="CH113" s="125">
        <v>100.5</v>
      </c>
      <c r="CI113" s="125">
        <v>97.5</v>
      </c>
      <c r="CJ113" s="125">
        <v>97</v>
      </c>
      <c r="CK113" s="125">
        <v>100</v>
      </c>
      <c r="CL113" s="125">
        <v>100</v>
      </c>
      <c r="CM113" s="125">
        <v>100</v>
      </c>
      <c r="CN113" s="125">
        <v>100</v>
      </c>
      <c r="CO113" s="125"/>
      <c r="CP113" s="125"/>
      <c r="CQ113" s="125"/>
      <c r="CR113" s="125"/>
      <c r="CS113" s="125"/>
      <c r="CT113" s="356"/>
      <c r="CU113" s="82"/>
      <c r="CV113" s="82"/>
      <c r="CW113" s="82"/>
      <c r="CX113" s="82"/>
      <c r="CY113" s="82"/>
      <c r="CZ113" s="82"/>
      <c r="DA113" s="82"/>
      <c r="DB113" s="82"/>
      <c r="DC113" s="82"/>
      <c r="DD113" s="82"/>
      <c r="DE113" s="82"/>
      <c r="DF113" s="82"/>
      <c r="DG113" s="82"/>
      <c r="DH113" s="82"/>
      <c r="DI113" s="82"/>
      <c r="DJ113" s="82"/>
      <c r="DK113" s="82"/>
      <c r="DL113" s="82"/>
      <c r="DM113" s="82"/>
      <c r="DN113" s="82"/>
      <c r="DO113" s="82"/>
      <c r="DP113" s="82"/>
      <c r="DQ113" s="82"/>
      <c r="DR113" s="82"/>
      <c r="DS113" s="82"/>
      <c r="DT113" s="82"/>
      <c r="DU113" s="82"/>
      <c r="DV113" s="82"/>
      <c r="DW113" s="82"/>
      <c r="DX113" s="82"/>
      <c r="DY113" s="82"/>
      <c r="DZ113" s="82"/>
      <c r="EA113" s="269"/>
      <c r="EB113" s="269"/>
    </row>
    <row r="114" spans="1:132" ht="15">
      <c r="A114" s="82"/>
      <c r="B114" s="82"/>
      <c r="C114" s="396">
        <v>37995.874999999483</v>
      </c>
      <c r="D114" s="402">
        <v>37995.916666666148</v>
      </c>
      <c r="E114" s="258">
        <v>100</v>
      </c>
      <c r="F114" s="124">
        <v>100</v>
      </c>
      <c r="G114" s="272">
        <v>120</v>
      </c>
      <c r="H114" s="124">
        <v>96</v>
      </c>
      <c r="I114" s="314">
        <v>90</v>
      </c>
      <c r="J114" s="124">
        <v>90</v>
      </c>
      <c r="K114" s="124">
        <v>90</v>
      </c>
      <c r="L114" s="124">
        <v>95</v>
      </c>
      <c r="M114" s="272">
        <v>90</v>
      </c>
      <c r="N114" s="124">
        <v>90</v>
      </c>
      <c r="O114" s="314">
        <v>90</v>
      </c>
      <c r="P114" s="314">
        <v>90</v>
      </c>
      <c r="Q114" s="314">
        <v>95</v>
      </c>
      <c r="R114" s="314">
        <v>95</v>
      </c>
      <c r="S114" s="314">
        <v>95</v>
      </c>
      <c r="T114" s="314">
        <v>140</v>
      </c>
      <c r="U114" s="314">
        <v>145</v>
      </c>
      <c r="V114" s="314">
        <v>100.5</v>
      </c>
      <c r="W114" s="314">
        <v>100.2</v>
      </c>
      <c r="X114" s="314">
        <v>101</v>
      </c>
      <c r="Y114" s="314">
        <v>110</v>
      </c>
      <c r="Z114" s="314">
        <v>110</v>
      </c>
      <c r="AA114" s="314">
        <v>136</v>
      </c>
      <c r="AB114" s="314">
        <v>136</v>
      </c>
      <c r="AC114" s="314">
        <v>136</v>
      </c>
      <c r="AD114" s="314">
        <v>110</v>
      </c>
      <c r="AE114" s="314">
        <v>110</v>
      </c>
      <c r="AF114" s="314">
        <v>110</v>
      </c>
      <c r="AG114" s="124">
        <v>110</v>
      </c>
      <c r="AH114" s="124">
        <v>98</v>
      </c>
      <c r="AI114" s="124">
        <v>98</v>
      </c>
      <c r="AJ114" s="124">
        <v>100.5</v>
      </c>
      <c r="AK114" s="124">
        <v>100.5</v>
      </c>
      <c r="AL114" s="124">
        <v>97.5</v>
      </c>
      <c r="AM114" s="124">
        <v>97</v>
      </c>
      <c r="AN114" s="124">
        <v>100</v>
      </c>
      <c r="AO114" s="124">
        <v>100</v>
      </c>
      <c r="AP114" s="124">
        <v>100</v>
      </c>
      <c r="AQ114" s="124">
        <v>100</v>
      </c>
      <c r="AR114" s="124"/>
      <c r="AS114" s="124"/>
      <c r="AT114" s="124"/>
      <c r="AU114" s="124"/>
      <c r="AV114" s="124"/>
      <c r="AW114" s="355"/>
      <c r="AX114" s="82"/>
      <c r="AY114" s="82"/>
      <c r="AZ114" s="396">
        <v>37995.874999999483</v>
      </c>
      <c r="BA114" s="402">
        <v>37995.916666666148</v>
      </c>
      <c r="BB114" s="258">
        <v>100</v>
      </c>
      <c r="BC114" s="124">
        <v>100</v>
      </c>
      <c r="BD114" s="272">
        <v>120</v>
      </c>
      <c r="BE114" s="124">
        <v>96</v>
      </c>
      <c r="BF114" s="314">
        <v>90</v>
      </c>
      <c r="BG114" s="124">
        <v>90</v>
      </c>
      <c r="BH114" s="124">
        <v>90</v>
      </c>
      <c r="BI114" s="124">
        <v>95</v>
      </c>
      <c r="BJ114" s="272">
        <v>90</v>
      </c>
      <c r="BK114" s="124">
        <v>90</v>
      </c>
      <c r="BL114" s="314">
        <v>90</v>
      </c>
      <c r="BM114" s="314">
        <v>90</v>
      </c>
      <c r="BN114" s="314">
        <v>95</v>
      </c>
      <c r="BO114" s="314">
        <v>95</v>
      </c>
      <c r="BP114" s="314">
        <v>95</v>
      </c>
      <c r="BQ114" s="314">
        <v>140</v>
      </c>
      <c r="BR114" s="314">
        <v>145</v>
      </c>
      <c r="BS114" s="314">
        <v>100.5</v>
      </c>
      <c r="BT114" s="314">
        <v>100.2</v>
      </c>
      <c r="BU114" s="314">
        <v>101</v>
      </c>
      <c r="BV114" s="314">
        <v>110</v>
      </c>
      <c r="BW114" s="314">
        <v>110</v>
      </c>
      <c r="BX114" s="314">
        <v>136</v>
      </c>
      <c r="BY114" s="314">
        <v>136</v>
      </c>
      <c r="BZ114" s="314">
        <v>136</v>
      </c>
      <c r="CA114" s="314">
        <v>110</v>
      </c>
      <c r="CB114" s="314">
        <v>110</v>
      </c>
      <c r="CC114" s="314">
        <v>110</v>
      </c>
      <c r="CD114" s="124">
        <v>110</v>
      </c>
      <c r="CE114" s="124">
        <v>98</v>
      </c>
      <c r="CF114" s="124">
        <v>98</v>
      </c>
      <c r="CG114" s="124">
        <v>100.5</v>
      </c>
      <c r="CH114" s="124">
        <v>100.5</v>
      </c>
      <c r="CI114" s="124">
        <v>97.5</v>
      </c>
      <c r="CJ114" s="124">
        <v>97</v>
      </c>
      <c r="CK114" s="124">
        <v>100</v>
      </c>
      <c r="CL114" s="124">
        <v>100</v>
      </c>
      <c r="CM114" s="124">
        <v>100</v>
      </c>
      <c r="CN114" s="124">
        <v>100</v>
      </c>
      <c r="CO114" s="124"/>
      <c r="CP114" s="124"/>
      <c r="CQ114" s="124"/>
      <c r="CR114" s="124"/>
      <c r="CS114" s="124"/>
      <c r="CT114" s="355"/>
      <c r="CU114" s="82"/>
      <c r="CV114" s="82"/>
      <c r="CW114" s="82"/>
      <c r="CX114" s="82"/>
      <c r="CY114" s="82"/>
      <c r="CZ114" s="82"/>
      <c r="DA114" s="82"/>
      <c r="DB114" s="82"/>
      <c r="DC114" s="82"/>
      <c r="DD114" s="82"/>
      <c r="DE114" s="82"/>
      <c r="DF114" s="82"/>
      <c r="DG114" s="82"/>
      <c r="DH114" s="82"/>
      <c r="DI114" s="82"/>
      <c r="DJ114" s="82"/>
      <c r="DK114" s="82"/>
      <c r="DL114" s="82"/>
      <c r="DM114" s="82"/>
      <c r="DN114" s="82"/>
      <c r="DO114" s="82"/>
      <c r="DP114" s="82"/>
      <c r="DQ114" s="82"/>
      <c r="DR114" s="82"/>
      <c r="DS114" s="82"/>
      <c r="DT114" s="82"/>
      <c r="DU114" s="82"/>
      <c r="DV114" s="82"/>
      <c r="DW114" s="82"/>
      <c r="DX114" s="82"/>
      <c r="DY114" s="82"/>
      <c r="DZ114" s="82"/>
      <c r="EA114" s="269"/>
      <c r="EB114" s="269"/>
    </row>
    <row r="115" spans="1:132" ht="15">
      <c r="A115" s="82"/>
      <c r="B115" s="82"/>
      <c r="C115" s="396">
        <v>37995.916666666148</v>
      </c>
      <c r="D115" s="402">
        <v>37995.958333332812</v>
      </c>
      <c r="E115" s="258">
        <v>100</v>
      </c>
      <c r="F115" s="124">
        <v>100</v>
      </c>
      <c r="G115" s="272">
        <v>120</v>
      </c>
      <c r="H115" s="124">
        <v>96</v>
      </c>
      <c r="I115" s="314">
        <v>90</v>
      </c>
      <c r="J115" s="124">
        <v>90</v>
      </c>
      <c r="K115" s="124">
        <v>90</v>
      </c>
      <c r="L115" s="124">
        <v>95</v>
      </c>
      <c r="M115" s="272">
        <v>90</v>
      </c>
      <c r="N115" s="124">
        <v>90</v>
      </c>
      <c r="O115" s="314">
        <v>90</v>
      </c>
      <c r="P115" s="314">
        <v>90</v>
      </c>
      <c r="Q115" s="314">
        <v>95</v>
      </c>
      <c r="R115" s="314">
        <v>95</v>
      </c>
      <c r="S115" s="314">
        <v>95</v>
      </c>
      <c r="T115" s="314">
        <v>140</v>
      </c>
      <c r="U115" s="314">
        <v>145</v>
      </c>
      <c r="V115" s="314">
        <v>100.5</v>
      </c>
      <c r="W115" s="314">
        <v>100.2</v>
      </c>
      <c r="X115" s="314">
        <v>101</v>
      </c>
      <c r="Y115" s="314">
        <v>110</v>
      </c>
      <c r="Z115" s="314">
        <v>110</v>
      </c>
      <c r="AA115" s="314">
        <v>136</v>
      </c>
      <c r="AB115" s="314">
        <v>136</v>
      </c>
      <c r="AC115" s="314">
        <v>136</v>
      </c>
      <c r="AD115" s="314">
        <v>110</v>
      </c>
      <c r="AE115" s="314">
        <v>110</v>
      </c>
      <c r="AF115" s="314">
        <v>110</v>
      </c>
      <c r="AG115" s="124">
        <v>110</v>
      </c>
      <c r="AH115" s="124">
        <v>98</v>
      </c>
      <c r="AI115" s="124">
        <v>98</v>
      </c>
      <c r="AJ115" s="124">
        <v>100.5</v>
      </c>
      <c r="AK115" s="124">
        <v>100.5</v>
      </c>
      <c r="AL115" s="124">
        <v>97.5</v>
      </c>
      <c r="AM115" s="124">
        <v>97</v>
      </c>
      <c r="AN115" s="124">
        <v>100</v>
      </c>
      <c r="AO115" s="124">
        <v>100</v>
      </c>
      <c r="AP115" s="124">
        <v>100</v>
      </c>
      <c r="AQ115" s="124">
        <v>100</v>
      </c>
      <c r="AR115" s="124"/>
      <c r="AS115" s="124"/>
      <c r="AT115" s="124"/>
      <c r="AU115" s="124"/>
      <c r="AV115" s="124"/>
      <c r="AW115" s="355"/>
      <c r="AX115" s="82"/>
      <c r="AY115" s="82"/>
      <c r="AZ115" s="396">
        <v>37995.916666666148</v>
      </c>
      <c r="BA115" s="402">
        <v>37995.958333332812</v>
      </c>
      <c r="BB115" s="258">
        <v>100</v>
      </c>
      <c r="BC115" s="124">
        <v>100</v>
      </c>
      <c r="BD115" s="272">
        <v>120</v>
      </c>
      <c r="BE115" s="124">
        <v>96</v>
      </c>
      <c r="BF115" s="314">
        <v>90</v>
      </c>
      <c r="BG115" s="124">
        <v>90</v>
      </c>
      <c r="BH115" s="124">
        <v>90</v>
      </c>
      <c r="BI115" s="124">
        <v>95</v>
      </c>
      <c r="BJ115" s="272">
        <v>90</v>
      </c>
      <c r="BK115" s="124">
        <v>90</v>
      </c>
      <c r="BL115" s="314">
        <v>90</v>
      </c>
      <c r="BM115" s="314">
        <v>90</v>
      </c>
      <c r="BN115" s="314">
        <v>95</v>
      </c>
      <c r="BO115" s="314">
        <v>95</v>
      </c>
      <c r="BP115" s="314">
        <v>95</v>
      </c>
      <c r="BQ115" s="314">
        <v>140</v>
      </c>
      <c r="BR115" s="314">
        <v>145</v>
      </c>
      <c r="BS115" s="314">
        <v>100.5</v>
      </c>
      <c r="BT115" s="314">
        <v>100.2</v>
      </c>
      <c r="BU115" s="314">
        <v>101</v>
      </c>
      <c r="BV115" s="314">
        <v>110</v>
      </c>
      <c r="BW115" s="314">
        <v>110</v>
      </c>
      <c r="BX115" s="314">
        <v>136</v>
      </c>
      <c r="BY115" s="314">
        <v>136</v>
      </c>
      <c r="BZ115" s="314">
        <v>136</v>
      </c>
      <c r="CA115" s="314">
        <v>110</v>
      </c>
      <c r="CB115" s="314">
        <v>110</v>
      </c>
      <c r="CC115" s="314">
        <v>110</v>
      </c>
      <c r="CD115" s="124">
        <v>110</v>
      </c>
      <c r="CE115" s="124">
        <v>98</v>
      </c>
      <c r="CF115" s="124">
        <v>98</v>
      </c>
      <c r="CG115" s="124">
        <v>100.5</v>
      </c>
      <c r="CH115" s="124">
        <v>100.5</v>
      </c>
      <c r="CI115" s="124">
        <v>97.5</v>
      </c>
      <c r="CJ115" s="124">
        <v>97</v>
      </c>
      <c r="CK115" s="124">
        <v>100</v>
      </c>
      <c r="CL115" s="124">
        <v>100</v>
      </c>
      <c r="CM115" s="124">
        <v>100</v>
      </c>
      <c r="CN115" s="124">
        <v>100</v>
      </c>
      <c r="CO115" s="124"/>
      <c r="CP115" s="124"/>
      <c r="CQ115" s="124"/>
      <c r="CR115" s="124"/>
      <c r="CS115" s="124"/>
      <c r="CT115" s="355"/>
      <c r="CU115" s="82"/>
      <c r="CV115" s="82"/>
      <c r="CW115" s="82"/>
      <c r="CX115" s="82"/>
      <c r="CY115" s="82"/>
      <c r="CZ115" s="82"/>
      <c r="DA115" s="82"/>
      <c r="DB115" s="82"/>
      <c r="DC115" s="82"/>
      <c r="DD115" s="82"/>
      <c r="DE115" s="82"/>
      <c r="DF115" s="82"/>
      <c r="DG115" s="82"/>
      <c r="DH115" s="82"/>
      <c r="DI115" s="82"/>
      <c r="DJ115" s="82"/>
      <c r="DK115" s="82"/>
      <c r="DL115" s="82"/>
      <c r="DM115" s="82"/>
      <c r="DN115" s="82"/>
      <c r="DO115" s="82"/>
      <c r="DP115" s="82"/>
      <c r="DQ115" s="82"/>
      <c r="DR115" s="82"/>
      <c r="DS115" s="82"/>
      <c r="DT115" s="82"/>
      <c r="DU115" s="82"/>
      <c r="DV115" s="82"/>
      <c r="DW115" s="82"/>
      <c r="DX115" s="82"/>
      <c r="DY115" s="82"/>
      <c r="DZ115" s="82"/>
      <c r="EA115" s="269"/>
      <c r="EB115" s="269"/>
    </row>
    <row r="116" spans="1:132" ht="15.75" thickBot="1">
      <c r="A116" s="82"/>
      <c r="B116" s="82"/>
      <c r="C116" s="404">
        <v>37995.958333332812</v>
      </c>
      <c r="D116" s="405">
        <v>37995.999999999476</v>
      </c>
      <c r="E116" s="263">
        <v>100</v>
      </c>
      <c r="F116" s="264">
        <v>100</v>
      </c>
      <c r="G116" s="353">
        <v>120</v>
      </c>
      <c r="H116" s="264">
        <v>96</v>
      </c>
      <c r="I116" s="317">
        <v>90</v>
      </c>
      <c r="J116" s="264">
        <v>90</v>
      </c>
      <c r="K116" s="264">
        <v>90</v>
      </c>
      <c r="L116" s="264">
        <v>95</v>
      </c>
      <c r="M116" s="353">
        <v>90</v>
      </c>
      <c r="N116" s="264">
        <v>90</v>
      </c>
      <c r="O116" s="317">
        <v>90</v>
      </c>
      <c r="P116" s="317">
        <v>90</v>
      </c>
      <c r="Q116" s="317">
        <v>95</v>
      </c>
      <c r="R116" s="317">
        <v>95</v>
      </c>
      <c r="S116" s="317">
        <v>95</v>
      </c>
      <c r="T116" s="317">
        <v>140</v>
      </c>
      <c r="U116" s="317">
        <v>145</v>
      </c>
      <c r="V116" s="317">
        <v>100.5</v>
      </c>
      <c r="W116" s="317">
        <v>100.2</v>
      </c>
      <c r="X116" s="317">
        <v>101</v>
      </c>
      <c r="Y116" s="317">
        <v>110</v>
      </c>
      <c r="Z116" s="317">
        <v>110</v>
      </c>
      <c r="AA116" s="317">
        <v>136</v>
      </c>
      <c r="AB116" s="317">
        <v>136</v>
      </c>
      <c r="AC116" s="317">
        <v>136</v>
      </c>
      <c r="AD116" s="317">
        <v>110</v>
      </c>
      <c r="AE116" s="317">
        <v>110</v>
      </c>
      <c r="AF116" s="317">
        <v>110</v>
      </c>
      <c r="AG116" s="264">
        <v>110</v>
      </c>
      <c r="AH116" s="264">
        <v>98</v>
      </c>
      <c r="AI116" s="264">
        <v>98</v>
      </c>
      <c r="AJ116" s="264">
        <v>100.5</v>
      </c>
      <c r="AK116" s="264">
        <v>100.5</v>
      </c>
      <c r="AL116" s="264">
        <v>97.5</v>
      </c>
      <c r="AM116" s="264">
        <v>97</v>
      </c>
      <c r="AN116" s="264">
        <v>100</v>
      </c>
      <c r="AO116" s="264">
        <v>100</v>
      </c>
      <c r="AP116" s="264">
        <v>100</v>
      </c>
      <c r="AQ116" s="264">
        <v>100</v>
      </c>
      <c r="AR116" s="264"/>
      <c r="AS116" s="264"/>
      <c r="AT116" s="264"/>
      <c r="AU116" s="264"/>
      <c r="AV116" s="264"/>
      <c r="AW116" s="411"/>
      <c r="AX116" s="82"/>
      <c r="AY116" s="82"/>
      <c r="AZ116" s="404">
        <v>37995.958333332812</v>
      </c>
      <c r="BA116" s="405">
        <v>37995.999999999476</v>
      </c>
      <c r="BB116" s="263">
        <v>100</v>
      </c>
      <c r="BC116" s="264">
        <v>100</v>
      </c>
      <c r="BD116" s="353">
        <v>120</v>
      </c>
      <c r="BE116" s="264">
        <v>96</v>
      </c>
      <c r="BF116" s="317">
        <v>90</v>
      </c>
      <c r="BG116" s="264">
        <v>90</v>
      </c>
      <c r="BH116" s="264">
        <v>90</v>
      </c>
      <c r="BI116" s="264">
        <v>95</v>
      </c>
      <c r="BJ116" s="353">
        <v>90</v>
      </c>
      <c r="BK116" s="264">
        <v>90</v>
      </c>
      <c r="BL116" s="317">
        <v>90</v>
      </c>
      <c r="BM116" s="317">
        <v>90</v>
      </c>
      <c r="BN116" s="317">
        <v>95</v>
      </c>
      <c r="BO116" s="317">
        <v>95</v>
      </c>
      <c r="BP116" s="317">
        <v>95</v>
      </c>
      <c r="BQ116" s="317">
        <v>140</v>
      </c>
      <c r="BR116" s="317">
        <v>145</v>
      </c>
      <c r="BS116" s="317">
        <v>100.5</v>
      </c>
      <c r="BT116" s="317">
        <v>100.2</v>
      </c>
      <c r="BU116" s="317">
        <v>101</v>
      </c>
      <c r="BV116" s="317">
        <v>110</v>
      </c>
      <c r="BW116" s="317">
        <v>110</v>
      </c>
      <c r="BX116" s="317">
        <v>136</v>
      </c>
      <c r="BY116" s="317">
        <v>136</v>
      </c>
      <c r="BZ116" s="317">
        <v>136</v>
      </c>
      <c r="CA116" s="317">
        <v>110</v>
      </c>
      <c r="CB116" s="317">
        <v>110</v>
      </c>
      <c r="CC116" s="317">
        <v>110</v>
      </c>
      <c r="CD116" s="264">
        <v>110</v>
      </c>
      <c r="CE116" s="264">
        <v>98</v>
      </c>
      <c r="CF116" s="264">
        <v>98</v>
      </c>
      <c r="CG116" s="264">
        <v>100.5</v>
      </c>
      <c r="CH116" s="264">
        <v>100.5</v>
      </c>
      <c r="CI116" s="264">
        <v>97.5</v>
      </c>
      <c r="CJ116" s="264">
        <v>97</v>
      </c>
      <c r="CK116" s="264">
        <v>100</v>
      </c>
      <c r="CL116" s="264">
        <v>100</v>
      </c>
      <c r="CM116" s="264">
        <v>100</v>
      </c>
      <c r="CN116" s="264">
        <v>100</v>
      </c>
      <c r="CO116" s="264"/>
      <c r="CP116" s="264"/>
      <c r="CQ116" s="264"/>
      <c r="CR116" s="264"/>
      <c r="CS116" s="264"/>
      <c r="CT116" s="411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/>
      <c r="DM116" s="82"/>
      <c r="DN116" s="82"/>
      <c r="DO116" s="82"/>
      <c r="DP116" s="82"/>
      <c r="DQ116" s="82"/>
      <c r="DR116" s="82"/>
      <c r="DS116" s="82"/>
      <c r="DT116" s="82"/>
      <c r="DU116" s="82"/>
      <c r="DV116" s="82"/>
      <c r="DW116" s="82"/>
      <c r="DX116" s="82"/>
      <c r="DY116" s="82"/>
      <c r="DZ116" s="82"/>
      <c r="EA116" s="269"/>
      <c r="EB116" s="269"/>
    </row>
    <row r="117" spans="1:132" ht="15.75">
      <c r="A117" s="82"/>
      <c r="B117" s="82"/>
      <c r="C117" s="529"/>
      <c r="D117" s="530"/>
      <c r="E117" s="530"/>
      <c r="F117" s="530"/>
      <c r="G117" s="530"/>
      <c r="H117" s="530"/>
      <c r="I117" s="530"/>
      <c r="J117" s="530"/>
      <c r="K117" s="530"/>
      <c r="L117" s="530"/>
      <c r="M117" s="530"/>
      <c r="N117" s="530"/>
      <c r="O117" s="530"/>
      <c r="P117" s="530"/>
      <c r="Q117" s="530"/>
      <c r="R117" s="530"/>
      <c r="S117" s="530"/>
      <c r="T117" s="530"/>
      <c r="U117" s="530"/>
      <c r="V117" s="530"/>
      <c r="W117" s="530"/>
      <c r="X117" s="530"/>
      <c r="Y117" s="530"/>
      <c r="Z117" s="530"/>
      <c r="AA117" s="530"/>
      <c r="AB117" s="530"/>
      <c r="AC117" s="530"/>
      <c r="AD117" s="530"/>
      <c r="AE117" s="530"/>
      <c r="AF117" s="530"/>
      <c r="AG117" s="530"/>
      <c r="AH117" s="530"/>
      <c r="AI117" s="530"/>
      <c r="AJ117" s="530"/>
      <c r="AK117" s="530"/>
      <c r="AL117" s="530"/>
      <c r="AM117" s="530"/>
      <c r="AN117" s="530"/>
      <c r="AO117" s="530"/>
      <c r="AP117" s="530"/>
      <c r="AQ117" s="530"/>
      <c r="AR117" s="530"/>
      <c r="AS117" s="530"/>
      <c r="AT117" s="530"/>
      <c r="AU117" s="530"/>
      <c r="AV117" s="530"/>
      <c r="AW117" s="530"/>
      <c r="AX117" s="82"/>
      <c r="AY117" s="82"/>
      <c r="AZ117" s="529"/>
      <c r="BA117" s="530"/>
      <c r="BB117" s="530"/>
      <c r="BC117" s="530"/>
      <c r="BD117" s="530"/>
      <c r="BE117" s="530"/>
      <c r="BF117" s="530"/>
      <c r="BG117" s="530"/>
      <c r="BH117" s="530"/>
      <c r="BI117" s="530"/>
      <c r="BJ117" s="530"/>
      <c r="BK117" s="530"/>
      <c r="BL117" s="530"/>
      <c r="BM117" s="530"/>
      <c r="BN117" s="530"/>
      <c r="BO117" s="530"/>
      <c r="BP117" s="530"/>
      <c r="BQ117" s="530"/>
      <c r="BR117" s="530"/>
      <c r="BS117" s="530"/>
      <c r="BT117" s="530"/>
      <c r="BU117" s="530"/>
      <c r="BV117" s="530"/>
      <c r="BW117" s="530"/>
      <c r="BX117" s="530"/>
      <c r="BY117" s="530"/>
      <c r="BZ117" s="530"/>
      <c r="CA117" s="530"/>
      <c r="CB117" s="530"/>
      <c r="CC117" s="530"/>
      <c r="CD117" s="530"/>
      <c r="CE117" s="530"/>
      <c r="CF117" s="530"/>
      <c r="CG117" s="530"/>
      <c r="CH117" s="530"/>
      <c r="CI117" s="530"/>
      <c r="CJ117" s="530"/>
      <c r="CK117" s="530"/>
      <c r="CL117" s="530"/>
      <c r="CM117" s="530"/>
      <c r="CN117" s="530"/>
      <c r="CO117" s="530"/>
      <c r="CP117" s="530"/>
      <c r="CQ117" s="530"/>
      <c r="CR117" s="530"/>
      <c r="CS117" s="530"/>
      <c r="CT117" s="530"/>
      <c r="CU117" s="269"/>
      <c r="CV117" s="269"/>
      <c r="CW117" s="269"/>
      <c r="CX117" s="269"/>
      <c r="CY117" s="269"/>
      <c r="CZ117" s="269"/>
      <c r="DA117" s="269"/>
      <c r="DB117" s="269"/>
      <c r="DC117" s="269"/>
      <c r="DD117" s="269"/>
      <c r="DE117" s="269"/>
      <c r="DF117" s="269"/>
      <c r="DG117" s="269"/>
      <c r="DH117" s="269"/>
      <c r="DI117" s="269"/>
      <c r="DJ117" s="269"/>
      <c r="DK117" s="269"/>
      <c r="DL117" s="269"/>
      <c r="DM117" s="269"/>
      <c r="DN117" s="269"/>
      <c r="DO117" s="269"/>
      <c r="DP117" s="269"/>
      <c r="DQ117" s="269"/>
      <c r="DR117" s="269"/>
      <c r="DS117" s="269"/>
      <c r="DT117" s="269"/>
      <c r="DU117" s="269"/>
      <c r="DV117" s="269"/>
      <c r="DW117" s="269"/>
      <c r="DX117" s="269"/>
      <c r="DY117" s="269"/>
      <c r="DZ117" s="269"/>
      <c r="EA117" s="269"/>
      <c r="EB117" s="269"/>
    </row>
    <row r="118" spans="1:132" ht="15">
      <c r="A118" s="82"/>
      <c r="B118" s="82"/>
      <c r="C118" s="268"/>
      <c r="D118" s="267"/>
      <c r="E118" s="267"/>
      <c r="F118" s="267"/>
      <c r="G118" s="267"/>
      <c r="H118" s="267"/>
      <c r="I118" s="267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  <c r="AC118" s="267"/>
      <c r="AD118" s="267"/>
      <c r="AE118" s="267"/>
      <c r="AF118" s="267"/>
      <c r="AG118" s="267"/>
      <c r="AH118" s="267"/>
      <c r="AI118" s="267"/>
      <c r="AJ118" s="267"/>
      <c r="AK118" s="267"/>
      <c r="AL118" s="267"/>
      <c r="AM118" s="267"/>
      <c r="AN118" s="267"/>
      <c r="AO118" s="267"/>
      <c r="AP118" s="267"/>
      <c r="AQ118" s="267"/>
      <c r="AR118" s="267"/>
      <c r="AS118" s="267"/>
      <c r="AT118" s="267"/>
      <c r="AU118" s="267"/>
      <c r="AV118" s="267"/>
      <c r="AW118" s="267"/>
      <c r="AX118" s="82"/>
      <c r="AY118" s="82"/>
      <c r="AZ118" s="268"/>
      <c r="BA118" s="269"/>
      <c r="BB118" s="269"/>
      <c r="BC118" s="269"/>
      <c r="BD118" s="269"/>
      <c r="BE118" s="269"/>
      <c r="BF118" s="269"/>
      <c r="BG118" s="269"/>
      <c r="BH118" s="269"/>
      <c r="BI118" s="269"/>
      <c r="BJ118" s="269"/>
      <c r="BK118" s="269"/>
      <c r="BL118" s="269"/>
      <c r="BM118" s="269"/>
      <c r="BN118" s="269"/>
      <c r="BO118" s="269"/>
      <c r="BP118" s="269"/>
      <c r="BQ118" s="269"/>
      <c r="BR118" s="269"/>
      <c r="BS118" s="269"/>
      <c r="BT118" s="269"/>
      <c r="BU118" s="269"/>
      <c r="BV118" s="269"/>
      <c r="BW118" s="269"/>
      <c r="BX118" s="269"/>
      <c r="BY118" s="269"/>
      <c r="BZ118" s="269"/>
      <c r="CA118" s="269"/>
      <c r="CB118" s="269"/>
      <c r="CC118" s="269"/>
      <c r="CD118" s="269"/>
      <c r="CE118" s="269"/>
      <c r="CF118" s="269"/>
      <c r="CG118" s="269"/>
      <c r="CH118" s="269"/>
      <c r="CI118" s="269"/>
      <c r="CJ118" s="269"/>
      <c r="CK118" s="269"/>
      <c r="CL118" s="269"/>
      <c r="CM118" s="269"/>
      <c r="CN118" s="269"/>
      <c r="CO118" s="269"/>
      <c r="CP118" s="269"/>
      <c r="CQ118" s="269"/>
      <c r="CR118" s="269"/>
      <c r="CS118" s="269"/>
      <c r="CT118" s="269"/>
      <c r="CU118" s="269"/>
      <c r="CV118" s="269"/>
      <c r="CW118" s="269"/>
      <c r="CX118" s="269"/>
      <c r="CY118" s="269"/>
      <c r="CZ118" s="269"/>
      <c r="DA118" s="269"/>
      <c r="DB118" s="269"/>
      <c r="DC118" s="269"/>
      <c r="DD118" s="269"/>
      <c r="DE118" s="269"/>
      <c r="DF118" s="269"/>
      <c r="DG118" s="269"/>
      <c r="DH118" s="269"/>
      <c r="DI118" s="269"/>
      <c r="DJ118" s="269"/>
      <c r="DK118" s="269"/>
      <c r="DL118" s="269"/>
      <c r="DM118" s="269"/>
      <c r="DN118" s="269"/>
      <c r="DO118" s="269"/>
      <c r="DP118" s="269"/>
      <c r="DQ118" s="269"/>
      <c r="DR118" s="269"/>
      <c r="DS118" s="269"/>
      <c r="DT118" s="269"/>
      <c r="DU118" s="269"/>
      <c r="DV118" s="269"/>
      <c r="DW118" s="269"/>
      <c r="DX118" s="269"/>
      <c r="DY118" s="269"/>
      <c r="DZ118" s="269"/>
      <c r="EA118" s="269"/>
      <c r="EB118" s="269"/>
    </row>
    <row r="119" spans="1:132" ht="15" customHeight="1">
      <c r="A119" s="82"/>
      <c r="B119" s="267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267"/>
      <c r="AY119" s="267"/>
      <c r="AZ119" s="269"/>
      <c r="BA119" s="269"/>
      <c r="BB119" s="269"/>
      <c r="BC119" s="269"/>
      <c r="BD119" s="269"/>
      <c r="BE119" s="269"/>
      <c r="BF119" s="269"/>
      <c r="BG119" s="269"/>
      <c r="BH119" s="269"/>
      <c r="BI119" s="269"/>
      <c r="BJ119" s="269"/>
      <c r="BK119" s="269"/>
      <c r="BL119" s="269"/>
      <c r="BM119" s="269"/>
      <c r="BN119" s="269"/>
      <c r="BO119" s="269"/>
      <c r="BP119" s="269"/>
      <c r="BQ119" s="269"/>
      <c r="BR119" s="269"/>
      <c r="BS119" s="269"/>
      <c r="BT119" s="269"/>
      <c r="BU119" s="269"/>
      <c r="BV119" s="269"/>
      <c r="BW119" s="269"/>
      <c r="BX119" s="269"/>
      <c r="BY119" s="269"/>
      <c r="BZ119" s="269"/>
      <c r="CA119" s="269"/>
      <c r="CB119" s="269"/>
      <c r="CC119" s="269"/>
      <c r="CD119" s="269"/>
      <c r="CE119" s="269"/>
      <c r="CF119" s="269"/>
      <c r="CG119" s="269"/>
      <c r="CH119" s="269"/>
      <c r="CI119" s="269"/>
      <c r="CJ119" s="269"/>
      <c r="CK119" s="269"/>
      <c r="CL119" s="269"/>
      <c r="CM119" s="269"/>
      <c r="CN119" s="269"/>
      <c r="CO119" s="269"/>
      <c r="CP119" s="269"/>
      <c r="CQ119" s="269"/>
      <c r="CR119" s="269"/>
      <c r="CS119" s="269"/>
      <c r="CT119" s="269"/>
      <c r="CU119" s="269"/>
      <c r="CV119" s="269"/>
      <c r="CW119" s="269"/>
      <c r="CX119" s="269"/>
      <c r="CY119" s="269"/>
      <c r="CZ119" s="269"/>
      <c r="DA119" s="269"/>
      <c r="DB119" s="269"/>
      <c r="DC119" s="269"/>
      <c r="DD119" s="269"/>
      <c r="DE119" s="269"/>
      <c r="DF119" s="269"/>
      <c r="DG119" s="269"/>
      <c r="DH119" s="269"/>
      <c r="DI119" s="269"/>
      <c r="DJ119" s="269"/>
      <c r="DK119" s="269"/>
      <c r="DL119" s="269"/>
      <c r="DM119" s="269"/>
      <c r="DN119" s="269"/>
      <c r="DO119" s="269"/>
      <c r="DP119" s="269"/>
      <c r="DQ119" s="269"/>
      <c r="DR119" s="269"/>
      <c r="DS119" s="269"/>
      <c r="DT119" s="269"/>
      <c r="DU119" s="269"/>
      <c r="DV119" s="269"/>
      <c r="DW119" s="269"/>
      <c r="DX119" s="269"/>
      <c r="DY119" s="269"/>
      <c r="DZ119" s="269"/>
      <c r="EA119" s="269"/>
      <c r="EB119" s="269"/>
    </row>
    <row r="120" spans="1:132" ht="15" thickBot="1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269"/>
      <c r="BA120" s="269"/>
      <c r="BB120" s="269"/>
      <c r="BC120" s="269"/>
      <c r="BD120" s="269"/>
      <c r="BE120" s="269"/>
      <c r="BF120" s="269"/>
      <c r="BG120" s="269"/>
      <c r="BH120" s="269"/>
      <c r="BI120" s="269"/>
      <c r="BJ120" s="269"/>
      <c r="BK120" s="269"/>
      <c r="BL120" s="269"/>
      <c r="BM120" s="269"/>
      <c r="BN120" s="269"/>
      <c r="BO120" s="269"/>
      <c r="BP120" s="269"/>
      <c r="BQ120" s="269"/>
      <c r="BR120" s="269"/>
      <c r="BS120" s="269"/>
      <c r="BT120" s="269"/>
      <c r="BU120" s="269"/>
      <c r="BV120" s="269"/>
      <c r="BW120" s="269"/>
      <c r="BX120" s="269"/>
      <c r="BY120" s="269"/>
      <c r="BZ120" s="269"/>
      <c r="CA120" s="269"/>
      <c r="CB120" s="269"/>
      <c r="CC120" s="269"/>
      <c r="CD120" s="269"/>
      <c r="CE120" s="269"/>
      <c r="CF120" s="269"/>
      <c r="CG120" s="269"/>
      <c r="CH120" s="269"/>
      <c r="CI120" s="269"/>
      <c r="CJ120" s="269"/>
      <c r="CK120" s="269"/>
      <c r="CL120" s="269"/>
      <c r="CM120" s="269"/>
      <c r="CN120" s="269"/>
      <c r="CO120" s="269"/>
      <c r="CP120" s="269"/>
      <c r="CQ120" s="269"/>
      <c r="CR120" s="269"/>
      <c r="CS120" s="269"/>
      <c r="CT120" s="269"/>
      <c r="CU120" s="269"/>
      <c r="CV120" s="269"/>
      <c r="CW120" s="269"/>
      <c r="CX120" s="269"/>
      <c r="CY120" s="269"/>
      <c r="CZ120" s="269"/>
      <c r="DA120" s="269"/>
      <c r="DB120" s="269"/>
      <c r="DC120" s="269"/>
      <c r="DD120" s="269"/>
      <c r="DE120" s="269"/>
      <c r="DF120" s="269"/>
      <c r="DG120" s="269"/>
      <c r="DH120" s="269"/>
      <c r="DI120" s="269"/>
      <c r="DJ120" s="269"/>
      <c r="DK120" s="269"/>
      <c r="DL120" s="269"/>
      <c r="DM120" s="269"/>
      <c r="DN120" s="269"/>
      <c r="DO120" s="269"/>
      <c r="DP120" s="269"/>
      <c r="DQ120" s="269"/>
      <c r="DR120" s="269"/>
      <c r="DS120" s="269"/>
      <c r="DT120" s="269"/>
      <c r="DU120" s="269"/>
      <c r="DV120" s="269"/>
      <c r="DW120" s="269"/>
      <c r="DX120" s="269"/>
      <c r="DY120" s="269"/>
      <c r="DZ120" s="269"/>
      <c r="EA120" s="269"/>
      <c r="EB120" s="269"/>
    </row>
    <row r="121" spans="1:132" ht="16.5" thickBot="1">
      <c r="A121" s="82"/>
      <c r="B121" s="82"/>
      <c r="C121" s="533" t="s">
        <v>301</v>
      </c>
      <c r="D121" s="534"/>
      <c r="E121" s="534"/>
      <c r="F121" s="534"/>
      <c r="G121" s="534"/>
      <c r="H121" s="534"/>
      <c r="I121" s="534"/>
      <c r="J121" s="534"/>
      <c r="K121" s="534"/>
      <c r="L121" s="534"/>
      <c r="M121" s="534"/>
      <c r="N121" s="534"/>
      <c r="O121" s="534"/>
      <c r="P121" s="534"/>
      <c r="Q121" s="534"/>
      <c r="R121" s="534"/>
      <c r="S121" s="534"/>
      <c r="T121" s="534"/>
      <c r="U121" s="534"/>
      <c r="V121" s="534"/>
      <c r="W121" s="534"/>
      <c r="X121" s="534"/>
      <c r="Y121" s="534"/>
      <c r="Z121" s="534"/>
      <c r="AA121" s="534"/>
      <c r="AB121" s="534"/>
      <c r="AC121" s="534"/>
      <c r="AD121" s="534"/>
      <c r="AE121" s="534"/>
      <c r="AF121" s="534"/>
      <c r="AG121" s="534"/>
      <c r="AH121" s="534"/>
      <c r="AI121" s="534"/>
      <c r="AJ121" s="534"/>
      <c r="AK121" s="534"/>
      <c r="AL121" s="534"/>
      <c r="AM121" s="534"/>
      <c r="AN121" s="534"/>
      <c r="AO121" s="534"/>
      <c r="AP121" s="534"/>
      <c r="AQ121" s="534"/>
      <c r="AR121" s="534"/>
      <c r="AS121" s="534"/>
      <c r="AT121" s="534"/>
      <c r="AU121" s="534"/>
      <c r="AV121" s="534"/>
      <c r="AW121" s="535"/>
      <c r="AX121" s="82"/>
      <c r="AY121" s="82"/>
      <c r="AZ121" s="533" t="s">
        <v>302</v>
      </c>
      <c r="BA121" s="534"/>
      <c r="BB121" s="534"/>
      <c r="BC121" s="534"/>
      <c r="BD121" s="534"/>
      <c r="BE121" s="534"/>
      <c r="BF121" s="534"/>
      <c r="BG121" s="534"/>
      <c r="BH121" s="534"/>
      <c r="BI121" s="534"/>
      <c r="BJ121" s="534"/>
      <c r="BK121" s="534"/>
      <c r="BL121" s="534"/>
      <c r="BM121" s="534"/>
      <c r="BN121" s="534"/>
      <c r="BO121" s="534"/>
      <c r="BP121" s="534"/>
      <c r="BQ121" s="534"/>
      <c r="BR121" s="534"/>
      <c r="BS121" s="534"/>
      <c r="BT121" s="534"/>
      <c r="BU121" s="534"/>
      <c r="BV121" s="534"/>
      <c r="BW121" s="534"/>
      <c r="BX121" s="534"/>
      <c r="BY121" s="534"/>
      <c r="BZ121" s="534"/>
      <c r="CA121" s="534"/>
      <c r="CB121" s="534"/>
      <c r="CC121" s="534"/>
      <c r="CD121" s="534"/>
      <c r="CE121" s="534"/>
      <c r="CF121" s="534"/>
      <c r="CG121" s="534"/>
      <c r="CH121" s="534"/>
      <c r="CI121" s="534"/>
      <c r="CJ121" s="534"/>
      <c r="CK121" s="534"/>
      <c r="CL121" s="534"/>
      <c r="CM121" s="534"/>
      <c r="CN121" s="534"/>
      <c r="CO121" s="534"/>
      <c r="CP121" s="534"/>
      <c r="CQ121" s="534"/>
      <c r="CR121" s="534"/>
      <c r="CS121" s="534"/>
      <c r="CT121" s="535"/>
      <c r="CU121" s="269"/>
      <c r="CV121" s="269"/>
      <c r="CW121" s="269"/>
      <c r="CX121" s="269"/>
      <c r="CY121" s="269"/>
      <c r="CZ121" s="269"/>
      <c r="DA121" s="269"/>
      <c r="DB121" s="269"/>
      <c r="DC121" s="269"/>
      <c r="DD121" s="269"/>
      <c r="DE121" s="269"/>
      <c r="DF121" s="269"/>
      <c r="DG121" s="269"/>
      <c r="DH121" s="269"/>
      <c r="DI121" s="269"/>
      <c r="DJ121" s="269"/>
      <c r="DK121" s="269"/>
      <c r="DL121" s="269"/>
      <c r="DM121" s="269"/>
      <c r="DN121" s="269"/>
      <c r="DO121" s="269"/>
      <c r="DP121" s="269"/>
      <c r="DQ121" s="269"/>
      <c r="DR121" s="269"/>
      <c r="DS121" s="269"/>
      <c r="DT121" s="269"/>
      <c r="DU121" s="269"/>
      <c r="DV121" s="269"/>
      <c r="DW121" s="269"/>
      <c r="DX121" s="269"/>
      <c r="DY121" s="269"/>
      <c r="DZ121" s="269"/>
      <c r="EA121" s="269"/>
      <c r="EB121" s="269"/>
    </row>
    <row r="122" spans="1:132" ht="15.75" thickBot="1">
      <c r="A122" s="82"/>
      <c r="B122" s="82"/>
      <c r="C122" s="536"/>
      <c r="D122" s="537"/>
      <c r="E122" s="424"/>
      <c r="F122" s="425"/>
      <c r="G122" s="426"/>
      <c r="H122" s="425"/>
      <c r="I122" s="427"/>
      <c r="J122" s="425"/>
      <c r="K122" s="425"/>
      <c r="L122" s="425"/>
      <c r="M122" s="425"/>
      <c r="N122" s="425"/>
      <c r="O122" s="427"/>
      <c r="P122" s="425"/>
      <c r="Q122" s="426"/>
      <c r="R122" s="426"/>
      <c r="S122" s="426"/>
      <c r="T122" s="426" t="s">
        <v>346</v>
      </c>
      <c r="U122" s="426"/>
      <c r="V122" s="426"/>
      <c r="W122" s="426"/>
      <c r="X122" s="426"/>
      <c r="Y122" s="426"/>
      <c r="Z122" s="426"/>
      <c r="AA122" s="426"/>
      <c r="AB122" s="426"/>
      <c r="AC122" s="426"/>
      <c r="AD122" s="426"/>
      <c r="AE122" s="426"/>
      <c r="AF122" s="426"/>
      <c r="AG122" s="425"/>
      <c r="AH122" s="425"/>
      <c r="AI122" s="425"/>
      <c r="AJ122" s="425"/>
      <c r="AK122" s="425"/>
      <c r="AL122" s="425"/>
      <c r="AM122" s="425"/>
      <c r="AN122" s="425"/>
      <c r="AO122" s="425"/>
      <c r="AP122" s="425"/>
      <c r="AQ122" s="425"/>
      <c r="AR122" s="425"/>
      <c r="AS122" s="425"/>
      <c r="AT122" s="425"/>
      <c r="AU122" s="425"/>
      <c r="AV122" s="425"/>
      <c r="AW122" s="428"/>
      <c r="AX122" s="82"/>
      <c r="AY122" s="82"/>
      <c r="AZ122" s="536"/>
      <c r="BA122" s="537"/>
      <c r="BB122" s="424"/>
      <c r="BC122" s="425"/>
      <c r="BD122" s="426"/>
      <c r="BE122" s="425"/>
      <c r="BF122" s="427"/>
      <c r="BG122" s="425"/>
      <c r="BH122" s="425"/>
      <c r="BI122" s="425"/>
      <c r="BJ122" s="425"/>
      <c r="BK122" s="425"/>
      <c r="BL122" s="427"/>
      <c r="BM122" s="425"/>
      <c r="BN122" s="426"/>
      <c r="BO122" s="426"/>
      <c r="BP122" s="426"/>
      <c r="BQ122" s="426"/>
      <c r="BR122" s="426"/>
      <c r="BS122" s="426"/>
      <c r="BT122" s="425"/>
      <c r="BU122" s="425"/>
      <c r="BV122" s="425"/>
      <c r="BW122" s="425"/>
      <c r="BX122" s="425"/>
      <c r="BY122" s="425"/>
      <c r="BZ122" s="425"/>
      <c r="CA122" s="425"/>
      <c r="CB122" s="425"/>
      <c r="CC122" s="425"/>
      <c r="CD122" s="425"/>
      <c r="CE122" s="425"/>
      <c r="CF122" s="425"/>
      <c r="CG122" s="425"/>
      <c r="CH122" s="425"/>
      <c r="CI122" s="425"/>
      <c r="CJ122" s="425"/>
      <c r="CK122" s="425"/>
      <c r="CL122" s="425"/>
      <c r="CM122" s="425"/>
      <c r="CN122" s="425"/>
      <c r="CO122" s="425"/>
      <c r="CP122" s="425"/>
      <c r="CQ122" s="425"/>
      <c r="CR122" s="425"/>
      <c r="CS122" s="425"/>
      <c r="CT122" s="428"/>
      <c r="CU122" s="269"/>
      <c r="CV122" s="269"/>
      <c r="CW122" s="269"/>
      <c r="CX122" s="269"/>
      <c r="CY122" s="269"/>
      <c r="CZ122" s="269"/>
      <c r="DA122" s="269"/>
      <c r="DB122" s="269"/>
      <c r="DC122" s="269"/>
      <c r="DD122" s="269"/>
      <c r="DE122" s="269"/>
      <c r="DF122" s="269"/>
      <c r="DG122" s="269"/>
      <c r="DH122" s="269"/>
      <c r="DI122" s="269"/>
      <c r="DJ122" s="269"/>
      <c r="DK122" s="269"/>
      <c r="DL122" s="269"/>
      <c r="DM122" s="269"/>
      <c r="DN122" s="269"/>
      <c r="DO122" s="269"/>
      <c r="DP122" s="269"/>
      <c r="DQ122" s="269"/>
      <c r="DR122" s="269"/>
      <c r="DS122" s="269"/>
      <c r="DT122" s="269"/>
      <c r="DU122" s="269"/>
      <c r="DV122" s="269"/>
      <c r="DW122" s="269"/>
      <c r="DX122" s="269"/>
      <c r="DY122" s="269"/>
      <c r="DZ122" s="269"/>
      <c r="EA122" s="269"/>
      <c r="EB122" s="269"/>
    </row>
    <row r="123" spans="1:132" ht="15">
      <c r="A123" s="269"/>
      <c r="B123" s="269"/>
      <c r="C123" s="417">
        <v>0</v>
      </c>
      <c r="D123" s="418">
        <v>37995.041666666199</v>
      </c>
      <c r="E123" s="419">
        <v>0</v>
      </c>
      <c r="F123" s="420">
        <v>0</v>
      </c>
      <c r="G123" s="421">
        <v>0</v>
      </c>
      <c r="H123" s="420">
        <v>0</v>
      </c>
      <c r="I123" s="422">
        <v>0</v>
      </c>
      <c r="J123" s="420">
        <v>0</v>
      </c>
      <c r="K123" s="420">
        <v>0</v>
      </c>
      <c r="L123" s="420">
        <v>0</v>
      </c>
      <c r="M123" s="421">
        <v>0</v>
      </c>
      <c r="N123" s="420">
        <v>0</v>
      </c>
      <c r="O123" s="422">
        <v>0</v>
      </c>
      <c r="P123" s="422">
        <v>0</v>
      </c>
      <c r="Q123" s="422">
        <v>0</v>
      </c>
      <c r="R123" s="422">
        <v>0</v>
      </c>
      <c r="S123" s="422">
        <v>0</v>
      </c>
      <c r="T123" s="422">
        <v>0</v>
      </c>
      <c r="U123" s="422">
        <v>0</v>
      </c>
      <c r="V123" s="422">
        <v>0</v>
      </c>
      <c r="W123" s="422">
        <v>0</v>
      </c>
      <c r="X123" s="422">
        <v>0</v>
      </c>
      <c r="Y123" s="422">
        <v>0</v>
      </c>
      <c r="Z123" s="422">
        <v>0</v>
      </c>
      <c r="AA123" s="422">
        <v>0</v>
      </c>
      <c r="AB123" s="422">
        <v>0</v>
      </c>
      <c r="AC123" s="422">
        <v>0</v>
      </c>
      <c r="AD123" s="422">
        <v>0</v>
      </c>
      <c r="AE123" s="422">
        <v>0</v>
      </c>
      <c r="AF123" s="422">
        <v>0</v>
      </c>
      <c r="AG123" s="420">
        <v>0</v>
      </c>
      <c r="AH123" s="420">
        <v>0</v>
      </c>
      <c r="AI123" s="420">
        <v>0</v>
      </c>
      <c r="AJ123" s="420">
        <v>0</v>
      </c>
      <c r="AK123" s="420">
        <v>0</v>
      </c>
      <c r="AL123" s="420">
        <v>0</v>
      </c>
      <c r="AM123" s="420">
        <v>0</v>
      </c>
      <c r="AN123" s="420">
        <v>0</v>
      </c>
      <c r="AO123" s="420">
        <v>0</v>
      </c>
      <c r="AP123" s="420">
        <v>0</v>
      </c>
      <c r="AQ123" s="420">
        <v>0</v>
      </c>
      <c r="AR123" s="420"/>
      <c r="AS123" s="420"/>
      <c r="AT123" s="420"/>
      <c r="AU123" s="420"/>
      <c r="AV123" s="420"/>
      <c r="AW123" s="423"/>
      <c r="AX123" s="269"/>
      <c r="AY123" s="269"/>
      <c r="AZ123" s="417">
        <v>0</v>
      </c>
      <c r="BA123" s="418">
        <v>37995.041666666199</v>
      </c>
      <c r="BB123" s="419">
        <v>0</v>
      </c>
      <c r="BC123" s="420">
        <v>0</v>
      </c>
      <c r="BD123" s="421">
        <v>0</v>
      </c>
      <c r="BE123" s="420">
        <v>0</v>
      </c>
      <c r="BF123" s="422">
        <v>0</v>
      </c>
      <c r="BG123" s="420">
        <v>0</v>
      </c>
      <c r="BH123" s="420">
        <v>0</v>
      </c>
      <c r="BI123" s="420">
        <v>0</v>
      </c>
      <c r="BJ123" s="421">
        <v>0</v>
      </c>
      <c r="BK123" s="420">
        <v>0</v>
      </c>
      <c r="BL123" s="422">
        <v>0</v>
      </c>
      <c r="BM123" s="422">
        <v>0</v>
      </c>
      <c r="BN123" s="422">
        <v>0</v>
      </c>
      <c r="BO123" s="422">
        <v>0</v>
      </c>
      <c r="BP123" s="422">
        <v>0</v>
      </c>
      <c r="BQ123" s="422">
        <v>0</v>
      </c>
      <c r="BR123" s="422">
        <v>0</v>
      </c>
      <c r="BS123" s="422">
        <v>0</v>
      </c>
      <c r="BT123" s="422">
        <v>0</v>
      </c>
      <c r="BU123" s="422">
        <v>0</v>
      </c>
      <c r="BV123" s="422">
        <v>0</v>
      </c>
      <c r="BW123" s="422">
        <v>0</v>
      </c>
      <c r="BX123" s="422">
        <v>0</v>
      </c>
      <c r="BY123" s="422">
        <v>0</v>
      </c>
      <c r="BZ123" s="422">
        <v>0</v>
      </c>
      <c r="CA123" s="422">
        <v>0</v>
      </c>
      <c r="CB123" s="422">
        <v>0</v>
      </c>
      <c r="CC123" s="422">
        <v>0</v>
      </c>
      <c r="CD123" s="420">
        <v>0</v>
      </c>
      <c r="CE123" s="420">
        <v>0</v>
      </c>
      <c r="CF123" s="420">
        <v>0</v>
      </c>
      <c r="CG123" s="420">
        <v>0</v>
      </c>
      <c r="CH123" s="420">
        <v>0</v>
      </c>
      <c r="CI123" s="420">
        <v>0</v>
      </c>
      <c r="CJ123" s="420">
        <v>0</v>
      </c>
      <c r="CK123" s="420">
        <v>0</v>
      </c>
      <c r="CL123" s="420">
        <v>0</v>
      </c>
      <c r="CM123" s="420">
        <v>0</v>
      </c>
      <c r="CN123" s="420">
        <v>0</v>
      </c>
      <c r="CO123" s="420"/>
      <c r="CP123" s="420"/>
      <c r="CQ123" s="420"/>
      <c r="CR123" s="420"/>
      <c r="CS123" s="420"/>
      <c r="CT123" s="423"/>
      <c r="CU123" s="269"/>
      <c r="CV123" s="269"/>
      <c r="CW123" s="269"/>
      <c r="CX123" s="269"/>
      <c r="CY123" s="269"/>
      <c r="CZ123" s="269"/>
      <c r="DA123" s="269"/>
      <c r="DB123" s="269"/>
      <c r="DC123" s="269"/>
      <c r="DD123" s="269"/>
      <c r="DE123" s="269"/>
      <c r="DF123" s="269"/>
      <c r="DG123" s="269"/>
      <c r="DH123" s="269"/>
      <c r="DI123" s="269"/>
      <c r="DJ123" s="269"/>
      <c r="DK123" s="269"/>
      <c r="DL123" s="269"/>
      <c r="DM123" s="269"/>
      <c r="DN123" s="269"/>
      <c r="DO123" s="269"/>
      <c r="DP123" s="269"/>
      <c r="DQ123" s="269"/>
      <c r="DR123" s="269"/>
      <c r="DS123" s="269"/>
      <c r="DT123" s="269"/>
      <c r="DU123" s="269"/>
      <c r="DV123" s="269"/>
      <c r="DW123" s="269"/>
      <c r="DX123" s="269"/>
      <c r="DY123" s="269"/>
      <c r="DZ123" s="269"/>
      <c r="EA123" s="269"/>
      <c r="EB123" s="269"/>
    </row>
    <row r="124" spans="1:132" ht="15">
      <c r="A124" s="269"/>
      <c r="B124" s="269"/>
      <c r="C124" s="394">
        <f>+D123</f>
        <v>37995.041666666199</v>
      </c>
      <c r="D124" s="401">
        <v>37995.083333332863</v>
      </c>
      <c r="E124" s="255">
        <v>0</v>
      </c>
      <c r="F124" s="123">
        <v>0</v>
      </c>
      <c r="G124" s="271">
        <v>0</v>
      </c>
      <c r="H124" s="123">
        <v>0</v>
      </c>
      <c r="I124" s="313">
        <v>0</v>
      </c>
      <c r="J124" s="123">
        <v>0</v>
      </c>
      <c r="K124" s="123">
        <v>0</v>
      </c>
      <c r="L124" s="123">
        <v>0</v>
      </c>
      <c r="M124" s="271">
        <v>0</v>
      </c>
      <c r="N124" s="123">
        <v>0</v>
      </c>
      <c r="O124" s="313">
        <v>0</v>
      </c>
      <c r="P124" s="313">
        <v>0</v>
      </c>
      <c r="Q124" s="313">
        <v>0</v>
      </c>
      <c r="R124" s="313">
        <v>0</v>
      </c>
      <c r="S124" s="313">
        <v>0</v>
      </c>
      <c r="T124" s="313">
        <v>0</v>
      </c>
      <c r="U124" s="313">
        <v>0</v>
      </c>
      <c r="V124" s="313">
        <v>0</v>
      </c>
      <c r="W124" s="313">
        <v>0</v>
      </c>
      <c r="X124" s="313">
        <v>0</v>
      </c>
      <c r="Y124" s="313">
        <v>0</v>
      </c>
      <c r="Z124" s="313">
        <v>0</v>
      </c>
      <c r="AA124" s="313">
        <v>0</v>
      </c>
      <c r="AB124" s="313">
        <v>0</v>
      </c>
      <c r="AC124" s="313">
        <v>0</v>
      </c>
      <c r="AD124" s="313">
        <v>0</v>
      </c>
      <c r="AE124" s="313">
        <v>0</v>
      </c>
      <c r="AF124" s="313">
        <v>0</v>
      </c>
      <c r="AG124" s="123">
        <v>0</v>
      </c>
      <c r="AH124" s="123">
        <v>0</v>
      </c>
      <c r="AI124" s="123">
        <v>0</v>
      </c>
      <c r="AJ124" s="123">
        <v>0</v>
      </c>
      <c r="AK124" s="123">
        <v>0</v>
      </c>
      <c r="AL124" s="123">
        <v>0</v>
      </c>
      <c r="AM124" s="123">
        <v>0</v>
      </c>
      <c r="AN124" s="123">
        <v>0</v>
      </c>
      <c r="AO124" s="123">
        <v>0</v>
      </c>
      <c r="AP124" s="123">
        <v>0</v>
      </c>
      <c r="AQ124" s="123">
        <v>0</v>
      </c>
      <c r="AR124" s="123"/>
      <c r="AS124" s="123"/>
      <c r="AT124" s="123"/>
      <c r="AU124" s="123"/>
      <c r="AV124" s="123"/>
      <c r="AW124" s="354"/>
      <c r="AX124" s="269"/>
      <c r="AY124" s="269"/>
      <c r="AZ124" s="394">
        <f>+BA123</f>
        <v>37995.041666666199</v>
      </c>
      <c r="BA124" s="401">
        <v>37995.083333332863</v>
      </c>
      <c r="BB124" s="255">
        <v>0</v>
      </c>
      <c r="BC124" s="123">
        <v>0</v>
      </c>
      <c r="BD124" s="271">
        <v>0</v>
      </c>
      <c r="BE124" s="123">
        <v>0</v>
      </c>
      <c r="BF124" s="313">
        <v>0</v>
      </c>
      <c r="BG124" s="123">
        <v>0</v>
      </c>
      <c r="BH124" s="123">
        <v>0</v>
      </c>
      <c r="BI124" s="123">
        <v>0</v>
      </c>
      <c r="BJ124" s="271">
        <v>0</v>
      </c>
      <c r="BK124" s="123">
        <v>0</v>
      </c>
      <c r="BL124" s="313">
        <v>0</v>
      </c>
      <c r="BM124" s="313">
        <v>0</v>
      </c>
      <c r="BN124" s="313">
        <v>0</v>
      </c>
      <c r="BO124" s="313">
        <v>0</v>
      </c>
      <c r="BP124" s="313">
        <v>0</v>
      </c>
      <c r="BQ124" s="313">
        <v>0</v>
      </c>
      <c r="BR124" s="313">
        <v>0</v>
      </c>
      <c r="BS124" s="313">
        <v>0</v>
      </c>
      <c r="BT124" s="313">
        <v>0</v>
      </c>
      <c r="BU124" s="313">
        <v>0</v>
      </c>
      <c r="BV124" s="313">
        <v>0</v>
      </c>
      <c r="BW124" s="313">
        <v>0</v>
      </c>
      <c r="BX124" s="313">
        <v>0</v>
      </c>
      <c r="BY124" s="313">
        <v>0</v>
      </c>
      <c r="BZ124" s="313">
        <v>0</v>
      </c>
      <c r="CA124" s="313">
        <v>0</v>
      </c>
      <c r="CB124" s="313">
        <v>0</v>
      </c>
      <c r="CC124" s="313">
        <v>0</v>
      </c>
      <c r="CD124" s="123">
        <v>0</v>
      </c>
      <c r="CE124" s="123">
        <v>0</v>
      </c>
      <c r="CF124" s="123">
        <v>0</v>
      </c>
      <c r="CG124" s="123">
        <v>0</v>
      </c>
      <c r="CH124" s="123">
        <v>0</v>
      </c>
      <c r="CI124" s="123">
        <v>0</v>
      </c>
      <c r="CJ124" s="123">
        <v>0</v>
      </c>
      <c r="CK124" s="123">
        <v>0</v>
      </c>
      <c r="CL124" s="123">
        <v>0</v>
      </c>
      <c r="CM124" s="123">
        <v>0</v>
      </c>
      <c r="CN124" s="123">
        <v>0</v>
      </c>
      <c r="CO124" s="123"/>
      <c r="CP124" s="123"/>
      <c r="CQ124" s="123"/>
      <c r="CR124" s="123"/>
      <c r="CS124" s="123"/>
      <c r="CT124" s="354"/>
      <c r="CU124" s="269"/>
      <c r="CV124" s="269"/>
      <c r="CW124" s="269"/>
      <c r="CX124" s="269"/>
      <c r="CY124" s="269"/>
      <c r="CZ124" s="269"/>
      <c r="DA124" s="269"/>
      <c r="DB124" s="269"/>
      <c r="DC124" s="269"/>
      <c r="DD124" s="269"/>
      <c r="DE124" s="269"/>
      <c r="DF124" s="269"/>
      <c r="DG124" s="269"/>
      <c r="DH124" s="269"/>
      <c r="DI124" s="269"/>
      <c r="DJ124" s="269"/>
      <c r="DK124" s="269"/>
      <c r="DL124" s="269"/>
      <c r="DM124" s="269"/>
      <c r="DN124" s="269"/>
      <c r="DO124" s="269"/>
      <c r="DP124" s="269"/>
      <c r="DQ124" s="269"/>
      <c r="DR124" s="269"/>
      <c r="DS124" s="269"/>
      <c r="DT124" s="269"/>
      <c r="DU124" s="269"/>
      <c r="DV124" s="269"/>
      <c r="DW124" s="269"/>
      <c r="DX124" s="269"/>
      <c r="DY124" s="269"/>
      <c r="DZ124" s="269"/>
      <c r="EA124" s="269"/>
      <c r="EB124" s="269"/>
    </row>
    <row r="125" spans="1:132" ht="15">
      <c r="A125" s="269"/>
      <c r="B125" s="269"/>
      <c r="C125" s="394">
        <v>37995.083333332863</v>
      </c>
      <c r="D125" s="401">
        <v>37995.124999999527</v>
      </c>
      <c r="E125" s="255">
        <v>0</v>
      </c>
      <c r="F125" s="123">
        <v>0</v>
      </c>
      <c r="G125" s="271">
        <v>0</v>
      </c>
      <c r="H125" s="123">
        <v>0</v>
      </c>
      <c r="I125" s="313">
        <v>0</v>
      </c>
      <c r="J125" s="123">
        <v>0</v>
      </c>
      <c r="K125" s="123">
        <v>0</v>
      </c>
      <c r="L125" s="123">
        <v>0</v>
      </c>
      <c r="M125" s="271">
        <v>0</v>
      </c>
      <c r="N125" s="123">
        <v>0</v>
      </c>
      <c r="O125" s="313">
        <v>0</v>
      </c>
      <c r="P125" s="313">
        <v>0</v>
      </c>
      <c r="Q125" s="313">
        <v>0</v>
      </c>
      <c r="R125" s="313">
        <v>0</v>
      </c>
      <c r="S125" s="313">
        <v>0</v>
      </c>
      <c r="T125" s="313">
        <v>0</v>
      </c>
      <c r="U125" s="313">
        <v>0</v>
      </c>
      <c r="V125" s="313">
        <v>0</v>
      </c>
      <c r="W125" s="313">
        <v>0</v>
      </c>
      <c r="X125" s="313">
        <v>0</v>
      </c>
      <c r="Y125" s="313">
        <v>0</v>
      </c>
      <c r="Z125" s="313">
        <v>0</v>
      </c>
      <c r="AA125" s="313">
        <v>0</v>
      </c>
      <c r="AB125" s="313">
        <v>0</v>
      </c>
      <c r="AC125" s="313">
        <v>0</v>
      </c>
      <c r="AD125" s="313">
        <v>0</v>
      </c>
      <c r="AE125" s="313">
        <v>0</v>
      </c>
      <c r="AF125" s="313">
        <v>0</v>
      </c>
      <c r="AG125" s="123">
        <v>0</v>
      </c>
      <c r="AH125" s="123">
        <v>0</v>
      </c>
      <c r="AI125" s="123">
        <v>0</v>
      </c>
      <c r="AJ125" s="123">
        <v>0</v>
      </c>
      <c r="AK125" s="123">
        <v>0</v>
      </c>
      <c r="AL125" s="123">
        <v>0</v>
      </c>
      <c r="AM125" s="123">
        <v>0</v>
      </c>
      <c r="AN125" s="123">
        <v>0</v>
      </c>
      <c r="AO125" s="123">
        <v>0</v>
      </c>
      <c r="AP125" s="123">
        <v>0</v>
      </c>
      <c r="AQ125" s="123">
        <v>0</v>
      </c>
      <c r="AR125" s="123"/>
      <c r="AS125" s="123"/>
      <c r="AT125" s="123"/>
      <c r="AU125" s="123"/>
      <c r="AV125" s="123"/>
      <c r="AW125" s="354"/>
      <c r="AX125" s="269"/>
      <c r="AY125" s="269"/>
      <c r="AZ125" s="394">
        <v>37995.083333332863</v>
      </c>
      <c r="BA125" s="401">
        <v>37995.124999999527</v>
      </c>
      <c r="BB125" s="255">
        <v>0</v>
      </c>
      <c r="BC125" s="123">
        <v>0</v>
      </c>
      <c r="BD125" s="271">
        <v>0</v>
      </c>
      <c r="BE125" s="123">
        <v>0</v>
      </c>
      <c r="BF125" s="313">
        <v>0</v>
      </c>
      <c r="BG125" s="123">
        <v>0</v>
      </c>
      <c r="BH125" s="123">
        <v>0</v>
      </c>
      <c r="BI125" s="123">
        <v>0</v>
      </c>
      <c r="BJ125" s="271">
        <v>0</v>
      </c>
      <c r="BK125" s="123">
        <v>0</v>
      </c>
      <c r="BL125" s="313">
        <v>0</v>
      </c>
      <c r="BM125" s="313">
        <v>0</v>
      </c>
      <c r="BN125" s="313">
        <v>0</v>
      </c>
      <c r="BO125" s="313">
        <v>0</v>
      </c>
      <c r="BP125" s="313">
        <v>0</v>
      </c>
      <c r="BQ125" s="313">
        <v>0</v>
      </c>
      <c r="BR125" s="313">
        <v>0</v>
      </c>
      <c r="BS125" s="313">
        <v>0</v>
      </c>
      <c r="BT125" s="313">
        <v>0</v>
      </c>
      <c r="BU125" s="313">
        <v>0</v>
      </c>
      <c r="BV125" s="313">
        <v>0</v>
      </c>
      <c r="BW125" s="313">
        <v>0</v>
      </c>
      <c r="BX125" s="313">
        <v>0</v>
      </c>
      <c r="BY125" s="313">
        <v>0</v>
      </c>
      <c r="BZ125" s="313">
        <v>0</v>
      </c>
      <c r="CA125" s="313">
        <v>0</v>
      </c>
      <c r="CB125" s="313">
        <v>0</v>
      </c>
      <c r="CC125" s="313">
        <v>0</v>
      </c>
      <c r="CD125" s="123">
        <v>0</v>
      </c>
      <c r="CE125" s="123">
        <v>0</v>
      </c>
      <c r="CF125" s="123">
        <v>0</v>
      </c>
      <c r="CG125" s="123">
        <v>0</v>
      </c>
      <c r="CH125" s="123">
        <v>0</v>
      </c>
      <c r="CI125" s="123">
        <v>0</v>
      </c>
      <c r="CJ125" s="123">
        <v>0</v>
      </c>
      <c r="CK125" s="123">
        <v>0</v>
      </c>
      <c r="CL125" s="123">
        <v>0</v>
      </c>
      <c r="CM125" s="123">
        <v>0</v>
      </c>
      <c r="CN125" s="123">
        <v>0</v>
      </c>
      <c r="CO125" s="123"/>
      <c r="CP125" s="123"/>
      <c r="CQ125" s="123"/>
      <c r="CR125" s="123"/>
      <c r="CS125" s="123"/>
      <c r="CT125" s="354"/>
      <c r="CU125" s="269"/>
      <c r="CV125" s="269"/>
      <c r="CW125" s="269"/>
      <c r="CX125" s="269"/>
      <c r="CY125" s="269"/>
      <c r="CZ125" s="269"/>
      <c r="DA125" s="269"/>
      <c r="DB125" s="269"/>
      <c r="DC125" s="269"/>
      <c r="DD125" s="269"/>
      <c r="DE125" s="269"/>
      <c r="DF125" s="269"/>
      <c r="DG125" s="269"/>
      <c r="DH125" s="269"/>
      <c r="DI125" s="269"/>
      <c r="DJ125" s="269"/>
      <c r="DK125" s="269"/>
      <c r="DL125" s="269"/>
      <c r="DM125" s="269"/>
      <c r="DN125" s="269"/>
      <c r="DO125" s="269"/>
      <c r="DP125" s="269"/>
      <c r="DQ125" s="269"/>
      <c r="DR125" s="269"/>
      <c r="DS125" s="269"/>
      <c r="DT125" s="269"/>
      <c r="DU125" s="269"/>
      <c r="DV125" s="269"/>
      <c r="DW125" s="269"/>
      <c r="DX125" s="269"/>
      <c r="DY125" s="269"/>
      <c r="DZ125" s="269"/>
      <c r="EA125" s="269"/>
      <c r="EB125" s="269"/>
    </row>
    <row r="126" spans="1:132" ht="15">
      <c r="A126" s="269"/>
      <c r="B126" s="269"/>
      <c r="C126" s="394">
        <v>37995.124999999527</v>
      </c>
      <c r="D126" s="401">
        <v>37995.166666666191</v>
      </c>
      <c r="E126" s="255">
        <v>0</v>
      </c>
      <c r="F126" s="123">
        <v>0</v>
      </c>
      <c r="G126" s="271">
        <v>0</v>
      </c>
      <c r="H126" s="123">
        <v>0</v>
      </c>
      <c r="I126" s="313">
        <v>0</v>
      </c>
      <c r="J126" s="123">
        <v>0</v>
      </c>
      <c r="K126" s="123">
        <v>0</v>
      </c>
      <c r="L126" s="123">
        <v>0</v>
      </c>
      <c r="M126" s="271">
        <v>0</v>
      </c>
      <c r="N126" s="123">
        <v>0</v>
      </c>
      <c r="O126" s="313">
        <v>0</v>
      </c>
      <c r="P126" s="313">
        <v>0</v>
      </c>
      <c r="Q126" s="313">
        <v>0</v>
      </c>
      <c r="R126" s="313">
        <v>0</v>
      </c>
      <c r="S126" s="313">
        <v>0</v>
      </c>
      <c r="T126" s="313">
        <v>0</v>
      </c>
      <c r="U126" s="313">
        <v>0</v>
      </c>
      <c r="V126" s="313">
        <v>0</v>
      </c>
      <c r="W126" s="313">
        <v>0</v>
      </c>
      <c r="X126" s="313">
        <v>0</v>
      </c>
      <c r="Y126" s="313">
        <v>0</v>
      </c>
      <c r="Z126" s="313">
        <v>0</v>
      </c>
      <c r="AA126" s="313">
        <v>0</v>
      </c>
      <c r="AB126" s="313">
        <v>0</v>
      </c>
      <c r="AC126" s="313">
        <v>0</v>
      </c>
      <c r="AD126" s="313">
        <v>0</v>
      </c>
      <c r="AE126" s="313">
        <v>0</v>
      </c>
      <c r="AF126" s="313">
        <v>0</v>
      </c>
      <c r="AG126" s="123">
        <v>0</v>
      </c>
      <c r="AH126" s="123">
        <v>0</v>
      </c>
      <c r="AI126" s="123">
        <v>0</v>
      </c>
      <c r="AJ126" s="123">
        <v>0</v>
      </c>
      <c r="AK126" s="123">
        <v>0</v>
      </c>
      <c r="AL126" s="123">
        <v>0</v>
      </c>
      <c r="AM126" s="123">
        <v>0</v>
      </c>
      <c r="AN126" s="123">
        <v>0</v>
      </c>
      <c r="AO126" s="123">
        <v>0</v>
      </c>
      <c r="AP126" s="123">
        <v>0</v>
      </c>
      <c r="AQ126" s="123">
        <v>0</v>
      </c>
      <c r="AR126" s="123"/>
      <c r="AS126" s="123"/>
      <c r="AT126" s="123"/>
      <c r="AU126" s="123"/>
      <c r="AV126" s="123"/>
      <c r="AW126" s="354"/>
      <c r="AX126" s="269"/>
      <c r="AY126" s="269"/>
      <c r="AZ126" s="394">
        <v>37995.124999999527</v>
      </c>
      <c r="BA126" s="401">
        <v>37995.166666666191</v>
      </c>
      <c r="BB126" s="255">
        <v>0</v>
      </c>
      <c r="BC126" s="123">
        <v>0</v>
      </c>
      <c r="BD126" s="271">
        <v>0</v>
      </c>
      <c r="BE126" s="123">
        <v>0</v>
      </c>
      <c r="BF126" s="313">
        <v>0</v>
      </c>
      <c r="BG126" s="123">
        <v>0</v>
      </c>
      <c r="BH126" s="123">
        <v>0</v>
      </c>
      <c r="BI126" s="123">
        <v>0</v>
      </c>
      <c r="BJ126" s="271">
        <v>0</v>
      </c>
      <c r="BK126" s="123">
        <v>0</v>
      </c>
      <c r="BL126" s="313">
        <v>0</v>
      </c>
      <c r="BM126" s="313">
        <v>0</v>
      </c>
      <c r="BN126" s="313">
        <v>0</v>
      </c>
      <c r="BO126" s="313">
        <v>0</v>
      </c>
      <c r="BP126" s="313">
        <v>0</v>
      </c>
      <c r="BQ126" s="313">
        <v>0</v>
      </c>
      <c r="BR126" s="313">
        <v>0</v>
      </c>
      <c r="BS126" s="313">
        <v>0</v>
      </c>
      <c r="BT126" s="313">
        <v>0</v>
      </c>
      <c r="BU126" s="313">
        <v>0</v>
      </c>
      <c r="BV126" s="313">
        <v>0</v>
      </c>
      <c r="BW126" s="313">
        <v>0</v>
      </c>
      <c r="BX126" s="313">
        <v>0</v>
      </c>
      <c r="BY126" s="313">
        <v>0</v>
      </c>
      <c r="BZ126" s="313">
        <v>0</v>
      </c>
      <c r="CA126" s="313">
        <v>0</v>
      </c>
      <c r="CB126" s="313">
        <v>0</v>
      </c>
      <c r="CC126" s="313">
        <v>0</v>
      </c>
      <c r="CD126" s="123">
        <v>0</v>
      </c>
      <c r="CE126" s="123">
        <v>0</v>
      </c>
      <c r="CF126" s="123">
        <v>0</v>
      </c>
      <c r="CG126" s="123">
        <v>0</v>
      </c>
      <c r="CH126" s="123">
        <v>0</v>
      </c>
      <c r="CI126" s="123">
        <v>0</v>
      </c>
      <c r="CJ126" s="123">
        <v>0</v>
      </c>
      <c r="CK126" s="123">
        <v>0</v>
      </c>
      <c r="CL126" s="123">
        <v>0</v>
      </c>
      <c r="CM126" s="123">
        <v>0</v>
      </c>
      <c r="CN126" s="123">
        <v>0</v>
      </c>
      <c r="CO126" s="123"/>
      <c r="CP126" s="123"/>
      <c r="CQ126" s="123"/>
      <c r="CR126" s="123"/>
      <c r="CS126" s="123"/>
      <c r="CT126" s="354"/>
      <c r="CU126" s="269"/>
      <c r="CV126" s="269"/>
      <c r="CW126" s="269"/>
      <c r="CX126" s="269"/>
      <c r="CY126" s="269"/>
      <c r="CZ126" s="269"/>
      <c r="DA126" s="269"/>
      <c r="DB126" s="269"/>
      <c r="DC126" s="269"/>
      <c r="DD126" s="269"/>
      <c r="DE126" s="269"/>
      <c r="DF126" s="269"/>
      <c r="DG126" s="269"/>
      <c r="DH126" s="269"/>
      <c r="DI126" s="269"/>
      <c r="DJ126" s="269"/>
      <c r="DK126" s="269"/>
      <c r="DL126" s="269"/>
      <c r="DM126" s="269"/>
      <c r="DN126" s="269"/>
      <c r="DO126" s="269"/>
      <c r="DP126" s="269"/>
      <c r="DQ126" s="269"/>
      <c r="DR126" s="269"/>
      <c r="DS126" s="269"/>
      <c r="DT126" s="269"/>
      <c r="DU126" s="269"/>
      <c r="DV126" s="269"/>
      <c r="DW126" s="269"/>
      <c r="DX126" s="269"/>
      <c r="DY126" s="269"/>
      <c r="DZ126" s="269"/>
      <c r="EA126" s="269"/>
      <c r="EB126" s="269"/>
    </row>
    <row r="127" spans="1:132" ht="15">
      <c r="A127" s="269"/>
      <c r="B127" s="269"/>
      <c r="C127" s="394">
        <v>37995.166666666191</v>
      </c>
      <c r="D127" s="401">
        <v>37995.208333332856</v>
      </c>
      <c r="E127" s="255">
        <v>0</v>
      </c>
      <c r="F127" s="123">
        <v>0</v>
      </c>
      <c r="G127" s="271">
        <v>0</v>
      </c>
      <c r="H127" s="123">
        <v>0</v>
      </c>
      <c r="I127" s="313">
        <v>0</v>
      </c>
      <c r="J127" s="123">
        <v>0</v>
      </c>
      <c r="K127" s="123">
        <v>0</v>
      </c>
      <c r="L127" s="123">
        <v>0</v>
      </c>
      <c r="M127" s="271">
        <v>0</v>
      </c>
      <c r="N127" s="123">
        <v>0</v>
      </c>
      <c r="O127" s="313">
        <v>0</v>
      </c>
      <c r="P127" s="313">
        <v>0</v>
      </c>
      <c r="Q127" s="313">
        <v>0</v>
      </c>
      <c r="R127" s="313">
        <v>0</v>
      </c>
      <c r="S127" s="313">
        <v>0</v>
      </c>
      <c r="T127" s="313">
        <v>0</v>
      </c>
      <c r="U127" s="313">
        <v>0</v>
      </c>
      <c r="V127" s="313">
        <v>0</v>
      </c>
      <c r="W127" s="313">
        <v>0</v>
      </c>
      <c r="X127" s="313">
        <v>0</v>
      </c>
      <c r="Y127" s="313">
        <v>0</v>
      </c>
      <c r="Z127" s="313">
        <v>0</v>
      </c>
      <c r="AA127" s="313">
        <v>0</v>
      </c>
      <c r="AB127" s="313">
        <v>0</v>
      </c>
      <c r="AC127" s="313">
        <v>0</v>
      </c>
      <c r="AD127" s="313">
        <v>0</v>
      </c>
      <c r="AE127" s="313">
        <v>0</v>
      </c>
      <c r="AF127" s="313">
        <v>0</v>
      </c>
      <c r="AG127" s="123">
        <v>0</v>
      </c>
      <c r="AH127" s="123">
        <v>0</v>
      </c>
      <c r="AI127" s="123">
        <v>0</v>
      </c>
      <c r="AJ127" s="123">
        <v>0</v>
      </c>
      <c r="AK127" s="123">
        <v>0</v>
      </c>
      <c r="AL127" s="123">
        <v>0</v>
      </c>
      <c r="AM127" s="123">
        <v>0</v>
      </c>
      <c r="AN127" s="123">
        <v>0</v>
      </c>
      <c r="AO127" s="123">
        <v>0</v>
      </c>
      <c r="AP127" s="123">
        <v>0</v>
      </c>
      <c r="AQ127" s="123">
        <v>0</v>
      </c>
      <c r="AR127" s="123"/>
      <c r="AS127" s="123"/>
      <c r="AT127" s="123"/>
      <c r="AU127" s="123"/>
      <c r="AV127" s="123"/>
      <c r="AW127" s="354"/>
      <c r="AX127" s="269"/>
      <c r="AY127" s="269"/>
      <c r="AZ127" s="394">
        <v>37995.166666666191</v>
      </c>
      <c r="BA127" s="401">
        <v>37995.208333332856</v>
      </c>
      <c r="BB127" s="255">
        <v>0</v>
      </c>
      <c r="BC127" s="123">
        <v>0</v>
      </c>
      <c r="BD127" s="271">
        <v>0</v>
      </c>
      <c r="BE127" s="123">
        <v>0</v>
      </c>
      <c r="BF127" s="313">
        <v>0</v>
      </c>
      <c r="BG127" s="123">
        <v>0</v>
      </c>
      <c r="BH127" s="123">
        <v>0</v>
      </c>
      <c r="BI127" s="123">
        <v>0</v>
      </c>
      <c r="BJ127" s="271">
        <v>0</v>
      </c>
      <c r="BK127" s="123">
        <v>0</v>
      </c>
      <c r="BL127" s="313">
        <v>0</v>
      </c>
      <c r="BM127" s="313">
        <v>0</v>
      </c>
      <c r="BN127" s="313">
        <v>0</v>
      </c>
      <c r="BO127" s="313">
        <v>0</v>
      </c>
      <c r="BP127" s="313">
        <v>0</v>
      </c>
      <c r="BQ127" s="313">
        <v>0</v>
      </c>
      <c r="BR127" s="313">
        <v>0</v>
      </c>
      <c r="BS127" s="313">
        <v>0</v>
      </c>
      <c r="BT127" s="313">
        <v>0</v>
      </c>
      <c r="BU127" s="313">
        <v>0</v>
      </c>
      <c r="BV127" s="313">
        <v>0</v>
      </c>
      <c r="BW127" s="313">
        <v>0</v>
      </c>
      <c r="BX127" s="313">
        <v>0</v>
      </c>
      <c r="BY127" s="313">
        <v>0</v>
      </c>
      <c r="BZ127" s="313">
        <v>0</v>
      </c>
      <c r="CA127" s="313">
        <v>0</v>
      </c>
      <c r="CB127" s="313">
        <v>0</v>
      </c>
      <c r="CC127" s="313">
        <v>0</v>
      </c>
      <c r="CD127" s="123">
        <v>0</v>
      </c>
      <c r="CE127" s="123">
        <v>0</v>
      </c>
      <c r="CF127" s="123">
        <v>0</v>
      </c>
      <c r="CG127" s="123">
        <v>0</v>
      </c>
      <c r="CH127" s="123">
        <v>0</v>
      </c>
      <c r="CI127" s="123">
        <v>0</v>
      </c>
      <c r="CJ127" s="123">
        <v>0</v>
      </c>
      <c r="CK127" s="123">
        <v>0</v>
      </c>
      <c r="CL127" s="123">
        <v>0</v>
      </c>
      <c r="CM127" s="123">
        <v>0</v>
      </c>
      <c r="CN127" s="123">
        <v>0</v>
      </c>
      <c r="CO127" s="123"/>
      <c r="CP127" s="123"/>
      <c r="CQ127" s="123"/>
      <c r="CR127" s="123"/>
      <c r="CS127" s="123"/>
      <c r="CT127" s="354"/>
      <c r="CU127" s="269"/>
      <c r="CV127" s="269"/>
      <c r="CW127" s="269"/>
      <c r="CX127" s="269"/>
      <c r="CY127" s="269"/>
      <c r="CZ127" s="269"/>
      <c r="DA127" s="269"/>
      <c r="DB127" s="269"/>
      <c r="DC127" s="269"/>
      <c r="DD127" s="269"/>
      <c r="DE127" s="269"/>
      <c r="DF127" s="269"/>
      <c r="DG127" s="269"/>
      <c r="DH127" s="269"/>
      <c r="DI127" s="269"/>
      <c r="DJ127" s="269"/>
      <c r="DK127" s="269"/>
      <c r="DL127" s="269"/>
      <c r="DM127" s="269"/>
      <c r="DN127" s="269"/>
      <c r="DO127" s="269"/>
      <c r="DP127" s="269"/>
      <c r="DQ127" s="269"/>
      <c r="DR127" s="269"/>
      <c r="DS127" s="269"/>
      <c r="DT127" s="269"/>
      <c r="DU127" s="269"/>
      <c r="DV127" s="269"/>
      <c r="DW127" s="269"/>
      <c r="DX127" s="269"/>
      <c r="DY127" s="269"/>
      <c r="DZ127" s="269"/>
      <c r="EA127" s="269"/>
      <c r="EB127" s="269"/>
    </row>
    <row r="128" spans="1:132" ht="15">
      <c r="A128" s="269"/>
      <c r="B128" s="269"/>
      <c r="C128" s="394">
        <v>37995.208333332856</v>
      </c>
      <c r="D128" s="401">
        <v>37995.24999999952</v>
      </c>
      <c r="E128" s="255">
        <v>0</v>
      </c>
      <c r="F128" s="123">
        <v>0</v>
      </c>
      <c r="G128" s="271">
        <v>0</v>
      </c>
      <c r="H128" s="123">
        <v>0</v>
      </c>
      <c r="I128" s="313">
        <v>0</v>
      </c>
      <c r="J128" s="123">
        <v>0</v>
      </c>
      <c r="K128" s="123">
        <v>0</v>
      </c>
      <c r="L128" s="123">
        <v>0</v>
      </c>
      <c r="M128" s="271">
        <v>0</v>
      </c>
      <c r="N128" s="123">
        <v>0</v>
      </c>
      <c r="O128" s="313">
        <v>0</v>
      </c>
      <c r="P128" s="313">
        <v>0</v>
      </c>
      <c r="Q128" s="313">
        <v>0</v>
      </c>
      <c r="R128" s="313">
        <v>0</v>
      </c>
      <c r="S128" s="313">
        <v>0</v>
      </c>
      <c r="T128" s="313">
        <v>0</v>
      </c>
      <c r="U128" s="313">
        <v>0</v>
      </c>
      <c r="V128" s="313">
        <v>0</v>
      </c>
      <c r="W128" s="313">
        <v>0</v>
      </c>
      <c r="X128" s="313">
        <v>0</v>
      </c>
      <c r="Y128" s="313">
        <v>0</v>
      </c>
      <c r="Z128" s="313">
        <v>0</v>
      </c>
      <c r="AA128" s="313">
        <v>0</v>
      </c>
      <c r="AB128" s="313">
        <v>0</v>
      </c>
      <c r="AC128" s="313">
        <v>0</v>
      </c>
      <c r="AD128" s="313">
        <v>0</v>
      </c>
      <c r="AE128" s="313">
        <v>0</v>
      </c>
      <c r="AF128" s="313">
        <v>0</v>
      </c>
      <c r="AG128" s="123">
        <v>0</v>
      </c>
      <c r="AH128" s="123">
        <v>0</v>
      </c>
      <c r="AI128" s="123">
        <v>0</v>
      </c>
      <c r="AJ128" s="123">
        <v>0</v>
      </c>
      <c r="AK128" s="123">
        <v>0</v>
      </c>
      <c r="AL128" s="123">
        <v>0</v>
      </c>
      <c r="AM128" s="123">
        <v>0</v>
      </c>
      <c r="AN128" s="123">
        <v>0</v>
      </c>
      <c r="AO128" s="123">
        <v>0</v>
      </c>
      <c r="AP128" s="123">
        <v>0</v>
      </c>
      <c r="AQ128" s="123">
        <v>0</v>
      </c>
      <c r="AR128" s="123"/>
      <c r="AS128" s="123"/>
      <c r="AT128" s="123"/>
      <c r="AU128" s="123"/>
      <c r="AV128" s="123"/>
      <c r="AW128" s="354"/>
      <c r="AX128" s="269"/>
      <c r="AY128" s="269"/>
      <c r="AZ128" s="394">
        <v>37995.208333332856</v>
      </c>
      <c r="BA128" s="401">
        <v>37995.24999999952</v>
      </c>
      <c r="BB128" s="255">
        <v>0</v>
      </c>
      <c r="BC128" s="123">
        <v>0</v>
      </c>
      <c r="BD128" s="271">
        <v>0</v>
      </c>
      <c r="BE128" s="123">
        <v>0</v>
      </c>
      <c r="BF128" s="313">
        <v>0</v>
      </c>
      <c r="BG128" s="123">
        <v>0</v>
      </c>
      <c r="BH128" s="123">
        <v>0</v>
      </c>
      <c r="BI128" s="123">
        <v>0</v>
      </c>
      <c r="BJ128" s="271">
        <v>0</v>
      </c>
      <c r="BK128" s="123">
        <v>0</v>
      </c>
      <c r="BL128" s="313">
        <v>0</v>
      </c>
      <c r="BM128" s="313">
        <v>0</v>
      </c>
      <c r="BN128" s="313">
        <v>0</v>
      </c>
      <c r="BO128" s="313">
        <v>0</v>
      </c>
      <c r="BP128" s="313">
        <v>0</v>
      </c>
      <c r="BQ128" s="313">
        <v>0</v>
      </c>
      <c r="BR128" s="313">
        <v>0</v>
      </c>
      <c r="BS128" s="313">
        <v>0</v>
      </c>
      <c r="BT128" s="313">
        <v>0</v>
      </c>
      <c r="BU128" s="313">
        <v>0</v>
      </c>
      <c r="BV128" s="313">
        <v>0</v>
      </c>
      <c r="BW128" s="313">
        <v>0</v>
      </c>
      <c r="BX128" s="313">
        <v>0</v>
      </c>
      <c r="BY128" s="313">
        <v>0</v>
      </c>
      <c r="BZ128" s="313">
        <v>0</v>
      </c>
      <c r="CA128" s="313">
        <v>0</v>
      </c>
      <c r="CB128" s="313">
        <v>0</v>
      </c>
      <c r="CC128" s="313">
        <v>0</v>
      </c>
      <c r="CD128" s="123">
        <v>0</v>
      </c>
      <c r="CE128" s="123">
        <v>0</v>
      </c>
      <c r="CF128" s="123">
        <v>0</v>
      </c>
      <c r="CG128" s="123">
        <v>0</v>
      </c>
      <c r="CH128" s="123">
        <v>0</v>
      </c>
      <c r="CI128" s="123">
        <v>0</v>
      </c>
      <c r="CJ128" s="123">
        <v>0</v>
      </c>
      <c r="CK128" s="123">
        <v>0</v>
      </c>
      <c r="CL128" s="123">
        <v>0</v>
      </c>
      <c r="CM128" s="123">
        <v>0</v>
      </c>
      <c r="CN128" s="123">
        <v>0</v>
      </c>
      <c r="CO128" s="123"/>
      <c r="CP128" s="123"/>
      <c r="CQ128" s="123"/>
      <c r="CR128" s="123"/>
      <c r="CS128" s="123"/>
      <c r="CT128" s="354"/>
      <c r="CU128" s="269"/>
      <c r="CV128" s="269"/>
      <c r="CW128" s="269"/>
      <c r="CX128" s="269"/>
      <c r="CY128" s="269"/>
      <c r="CZ128" s="269"/>
      <c r="DA128" s="269"/>
      <c r="DB128" s="269"/>
      <c r="DC128" s="269"/>
      <c r="DD128" s="269"/>
      <c r="DE128" s="269"/>
      <c r="DF128" s="269"/>
      <c r="DG128" s="269"/>
      <c r="DH128" s="269"/>
      <c r="DI128" s="269"/>
      <c r="DJ128" s="269"/>
      <c r="DK128" s="269"/>
      <c r="DL128" s="269"/>
      <c r="DM128" s="269"/>
      <c r="DN128" s="269"/>
      <c r="DO128" s="269"/>
      <c r="DP128" s="269"/>
      <c r="DQ128" s="269"/>
      <c r="DR128" s="269"/>
      <c r="DS128" s="269"/>
      <c r="DT128" s="269"/>
      <c r="DU128" s="269"/>
      <c r="DV128" s="269"/>
      <c r="DW128" s="269"/>
      <c r="DX128" s="269"/>
      <c r="DY128" s="269"/>
      <c r="DZ128" s="269"/>
      <c r="EA128" s="269"/>
      <c r="EB128" s="269"/>
    </row>
    <row r="129" spans="1:132" ht="15">
      <c r="A129" s="269"/>
      <c r="B129" s="269"/>
      <c r="C129" s="396">
        <v>37995.24999999952</v>
      </c>
      <c r="D129" s="402">
        <v>37995.291666666184</v>
      </c>
      <c r="E129" s="258">
        <v>0</v>
      </c>
      <c r="F129" s="124">
        <v>0</v>
      </c>
      <c r="G129" s="272">
        <v>0</v>
      </c>
      <c r="H129" s="124">
        <v>0</v>
      </c>
      <c r="I129" s="314">
        <v>0</v>
      </c>
      <c r="J129" s="124">
        <v>0</v>
      </c>
      <c r="K129" s="124">
        <v>0</v>
      </c>
      <c r="L129" s="124">
        <v>0</v>
      </c>
      <c r="M129" s="272">
        <v>0</v>
      </c>
      <c r="N129" s="124">
        <v>0</v>
      </c>
      <c r="O129" s="314">
        <v>0</v>
      </c>
      <c r="P129" s="314">
        <v>0</v>
      </c>
      <c r="Q129" s="314">
        <v>0</v>
      </c>
      <c r="R129" s="314">
        <v>0</v>
      </c>
      <c r="S129" s="314">
        <v>0</v>
      </c>
      <c r="T129" s="314">
        <v>0</v>
      </c>
      <c r="U129" s="314">
        <v>0</v>
      </c>
      <c r="V129" s="314">
        <v>0</v>
      </c>
      <c r="W129" s="314">
        <v>0</v>
      </c>
      <c r="X129" s="314">
        <v>0</v>
      </c>
      <c r="Y129" s="314">
        <v>0</v>
      </c>
      <c r="Z129" s="314">
        <v>0</v>
      </c>
      <c r="AA129" s="314">
        <v>0</v>
      </c>
      <c r="AB129" s="314">
        <v>0</v>
      </c>
      <c r="AC129" s="314">
        <v>0</v>
      </c>
      <c r="AD129" s="314">
        <v>0</v>
      </c>
      <c r="AE129" s="314">
        <v>0</v>
      </c>
      <c r="AF129" s="314">
        <v>0</v>
      </c>
      <c r="AG129" s="124">
        <v>0</v>
      </c>
      <c r="AH129" s="124">
        <v>0</v>
      </c>
      <c r="AI129" s="124">
        <v>0</v>
      </c>
      <c r="AJ129" s="124">
        <v>0</v>
      </c>
      <c r="AK129" s="124">
        <v>0</v>
      </c>
      <c r="AL129" s="124">
        <v>0</v>
      </c>
      <c r="AM129" s="124">
        <v>0</v>
      </c>
      <c r="AN129" s="124">
        <v>0</v>
      </c>
      <c r="AO129" s="124">
        <v>0</v>
      </c>
      <c r="AP129" s="124">
        <v>0</v>
      </c>
      <c r="AQ129" s="124">
        <v>0</v>
      </c>
      <c r="AR129" s="124"/>
      <c r="AS129" s="124"/>
      <c r="AT129" s="124"/>
      <c r="AU129" s="124"/>
      <c r="AV129" s="124"/>
      <c r="AW129" s="355"/>
      <c r="AX129" s="269"/>
      <c r="AY129" s="269"/>
      <c r="AZ129" s="396">
        <v>37995.24999999952</v>
      </c>
      <c r="BA129" s="402">
        <v>37995.291666666184</v>
      </c>
      <c r="BB129" s="258">
        <v>0</v>
      </c>
      <c r="BC129" s="124">
        <v>0</v>
      </c>
      <c r="BD129" s="272">
        <v>0</v>
      </c>
      <c r="BE129" s="124">
        <v>0</v>
      </c>
      <c r="BF129" s="314">
        <v>0</v>
      </c>
      <c r="BG129" s="124">
        <v>0</v>
      </c>
      <c r="BH129" s="124">
        <v>0</v>
      </c>
      <c r="BI129" s="124">
        <v>0</v>
      </c>
      <c r="BJ129" s="272">
        <v>0</v>
      </c>
      <c r="BK129" s="124">
        <v>0</v>
      </c>
      <c r="BL129" s="314">
        <v>0</v>
      </c>
      <c r="BM129" s="314">
        <v>0</v>
      </c>
      <c r="BN129" s="314">
        <v>0</v>
      </c>
      <c r="BO129" s="314">
        <v>0</v>
      </c>
      <c r="BP129" s="314">
        <v>0</v>
      </c>
      <c r="BQ129" s="314">
        <v>0</v>
      </c>
      <c r="BR129" s="314">
        <v>0</v>
      </c>
      <c r="BS129" s="314">
        <v>0</v>
      </c>
      <c r="BT129" s="314">
        <v>0</v>
      </c>
      <c r="BU129" s="314">
        <v>0</v>
      </c>
      <c r="BV129" s="314">
        <v>0</v>
      </c>
      <c r="BW129" s="314">
        <v>0</v>
      </c>
      <c r="BX129" s="314">
        <v>0</v>
      </c>
      <c r="BY129" s="314">
        <v>0</v>
      </c>
      <c r="BZ129" s="314">
        <v>0</v>
      </c>
      <c r="CA129" s="314">
        <v>0</v>
      </c>
      <c r="CB129" s="314">
        <v>0</v>
      </c>
      <c r="CC129" s="314">
        <v>0</v>
      </c>
      <c r="CD129" s="124">
        <v>0</v>
      </c>
      <c r="CE129" s="124">
        <v>0</v>
      </c>
      <c r="CF129" s="124">
        <v>0</v>
      </c>
      <c r="CG129" s="124">
        <v>0</v>
      </c>
      <c r="CH129" s="124">
        <v>0</v>
      </c>
      <c r="CI129" s="124">
        <v>0</v>
      </c>
      <c r="CJ129" s="124">
        <v>0</v>
      </c>
      <c r="CK129" s="124">
        <v>0</v>
      </c>
      <c r="CL129" s="124">
        <v>0</v>
      </c>
      <c r="CM129" s="124">
        <v>0</v>
      </c>
      <c r="CN129" s="124">
        <v>0</v>
      </c>
      <c r="CO129" s="124"/>
      <c r="CP129" s="124"/>
      <c r="CQ129" s="124"/>
      <c r="CR129" s="124"/>
      <c r="CS129" s="124"/>
      <c r="CT129" s="355"/>
      <c r="CU129" s="269"/>
      <c r="CV129" s="269"/>
      <c r="CW129" s="269"/>
      <c r="CX129" s="269"/>
      <c r="CY129" s="269"/>
      <c r="CZ129" s="269"/>
      <c r="DA129" s="269"/>
      <c r="DB129" s="269"/>
      <c r="DC129" s="269"/>
      <c r="DD129" s="269"/>
      <c r="DE129" s="269"/>
      <c r="DF129" s="269"/>
      <c r="DG129" s="269"/>
      <c r="DH129" s="269"/>
      <c r="DI129" s="269"/>
      <c r="DJ129" s="269"/>
      <c r="DK129" s="269"/>
      <c r="DL129" s="269"/>
      <c r="DM129" s="269"/>
      <c r="DN129" s="269"/>
      <c r="DO129" s="269"/>
      <c r="DP129" s="269"/>
      <c r="DQ129" s="269"/>
      <c r="DR129" s="269"/>
      <c r="DS129" s="269"/>
      <c r="DT129" s="269"/>
      <c r="DU129" s="269"/>
      <c r="DV129" s="269"/>
      <c r="DW129" s="269"/>
      <c r="DX129" s="269"/>
      <c r="DY129" s="269"/>
      <c r="DZ129" s="269"/>
      <c r="EA129" s="269"/>
      <c r="EB129" s="269"/>
    </row>
    <row r="130" spans="1:132" ht="15">
      <c r="A130" s="269"/>
      <c r="B130" s="269"/>
      <c r="C130" s="396">
        <v>37995.291666666184</v>
      </c>
      <c r="D130" s="402">
        <v>37995.333333332848</v>
      </c>
      <c r="E130" s="258">
        <v>0</v>
      </c>
      <c r="F130" s="124">
        <v>0</v>
      </c>
      <c r="G130" s="272">
        <v>0</v>
      </c>
      <c r="H130" s="124">
        <v>0</v>
      </c>
      <c r="I130" s="314">
        <v>0</v>
      </c>
      <c r="J130" s="124">
        <v>0</v>
      </c>
      <c r="K130" s="124">
        <v>0</v>
      </c>
      <c r="L130" s="124">
        <v>0</v>
      </c>
      <c r="M130" s="272">
        <v>0</v>
      </c>
      <c r="N130" s="124">
        <v>0</v>
      </c>
      <c r="O130" s="314">
        <v>0</v>
      </c>
      <c r="P130" s="314">
        <v>0</v>
      </c>
      <c r="Q130" s="314">
        <v>0</v>
      </c>
      <c r="R130" s="314">
        <v>0</v>
      </c>
      <c r="S130" s="314">
        <v>0</v>
      </c>
      <c r="T130" s="314">
        <v>0</v>
      </c>
      <c r="U130" s="314">
        <v>0</v>
      </c>
      <c r="V130" s="314">
        <v>0</v>
      </c>
      <c r="W130" s="314">
        <v>0</v>
      </c>
      <c r="X130" s="314">
        <v>0</v>
      </c>
      <c r="Y130" s="314">
        <v>0</v>
      </c>
      <c r="Z130" s="314">
        <v>0</v>
      </c>
      <c r="AA130" s="314">
        <v>0</v>
      </c>
      <c r="AB130" s="314">
        <v>0</v>
      </c>
      <c r="AC130" s="314">
        <v>0</v>
      </c>
      <c r="AD130" s="314">
        <v>0</v>
      </c>
      <c r="AE130" s="314">
        <v>0</v>
      </c>
      <c r="AF130" s="314">
        <v>0</v>
      </c>
      <c r="AG130" s="124">
        <v>0</v>
      </c>
      <c r="AH130" s="124">
        <v>0</v>
      </c>
      <c r="AI130" s="124">
        <v>0</v>
      </c>
      <c r="AJ130" s="124">
        <v>0</v>
      </c>
      <c r="AK130" s="124">
        <v>0</v>
      </c>
      <c r="AL130" s="124">
        <v>0</v>
      </c>
      <c r="AM130" s="124">
        <v>0</v>
      </c>
      <c r="AN130" s="124">
        <v>0</v>
      </c>
      <c r="AO130" s="124">
        <v>0</v>
      </c>
      <c r="AP130" s="124">
        <v>0</v>
      </c>
      <c r="AQ130" s="124">
        <v>0</v>
      </c>
      <c r="AR130" s="124"/>
      <c r="AS130" s="124"/>
      <c r="AT130" s="124"/>
      <c r="AU130" s="124"/>
      <c r="AV130" s="124"/>
      <c r="AW130" s="355"/>
      <c r="AX130" s="269"/>
      <c r="AY130" s="269"/>
      <c r="AZ130" s="396">
        <v>37995.291666666184</v>
      </c>
      <c r="BA130" s="402">
        <v>37995.333333332848</v>
      </c>
      <c r="BB130" s="258">
        <v>0</v>
      </c>
      <c r="BC130" s="124">
        <v>0</v>
      </c>
      <c r="BD130" s="272">
        <v>0</v>
      </c>
      <c r="BE130" s="124">
        <v>0</v>
      </c>
      <c r="BF130" s="314">
        <v>0</v>
      </c>
      <c r="BG130" s="124">
        <v>0</v>
      </c>
      <c r="BH130" s="124">
        <v>0</v>
      </c>
      <c r="BI130" s="124">
        <v>0</v>
      </c>
      <c r="BJ130" s="272">
        <v>0</v>
      </c>
      <c r="BK130" s="124">
        <v>0</v>
      </c>
      <c r="BL130" s="314">
        <v>0</v>
      </c>
      <c r="BM130" s="314">
        <v>0</v>
      </c>
      <c r="BN130" s="314">
        <v>0</v>
      </c>
      <c r="BO130" s="314">
        <v>0</v>
      </c>
      <c r="BP130" s="314">
        <v>0</v>
      </c>
      <c r="BQ130" s="314">
        <v>0</v>
      </c>
      <c r="BR130" s="314">
        <v>0</v>
      </c>
      <c r="BS130" s="314">
        <v>0</v>
      </c>
      <c r="BT130" s="314">
        <v>0</v>
      </c>
      <c r="BU130" s="314">
        <v>0</v>
      </c>
      <c r="BV130" s="314">
        <v>0</v>
      </c>
      <c r="BW130" s="314">
        <v>0</v>
      </c>
      <c r="BX130" s="314">
        <v>0</v>
      </c>
      <c r="BY130" s="314">
        <v>0</v>
      </c>
      <c r="BZ130" s="314">
        <v>0</v>
      </c>
      <c r="CA130" s="314">
        <v>0</v>
      </c>
      <c r="CB130" s="314">
        <v>0</v>
      </c>
      <c r="CC130" s="314">
        <v>0</v>
      </c>
      <c r="CD130" s="124">
        <v>0</v>
      </c>
      <c r="CE130" s="124">
        <v>0</v>
      </c>
      <c r="CF130" s="124">
        <v>0</v>
      </c>
      <c r="CG130" s="124">
        <v>0</v>
      </c>
      <c r="CH130" s="124">
        <v>0</v>
      </c>
      <c r="CI130" s="124">
        <v>0</v>
      </c>
      <c r="CJ130" s="124">
        <v>0</v>
      </c>
      <c r="CK130" s="124">
        <v>0</v>
      </c>
      <c r="CL130" s="124">
        <v>0</v>
      </c>
      <c r="CM130" s="124">
        <v>0</v>
      </c>
      <c r="CN130" s="124">
        <v>0</v>
      </c>
      <c r="CO130" s="124"/>
      <c r="CP130" s="124"/>
      <c r="CQ130" s="124"/>
      <c r="CR130" s="124"/>
      <c r="CS130" s="124"/>
      <c r="CT130" s="355"/>
      <c r="CU130" s="269"/>
      <c r="CV130" s="269"/>
      <c r="CW130" s="269"/>
      <c r="CX130" s="269"/>
      <c r="CY130" s="269"/>
      <c r="CZ130" s="269"/>
      <c r="DA130" s="269"/>
      <c r="DB130" s="269"/>
      <c r="DC130" s="269"/>
      <c r="DD130" s="269"/>
      <c r="DE130" s="269"/>
      <c r="DF130" s="269"/>
      <c r="DG130" s="269"/>
      <c r="DH130" s="269"/>
      <c r="DI130" s="269"/>
      <c r="DJ130" s="269"/>
      <c r="DK130" s="269"/>
      <c r="DL130" s="269"/>
      <c r="DM130" s="269"/>
      <c r="DN130" s="269"/>
      <c r="DO130" s="269"/>
      <c r="DP130" s="269"/>
      <c r="DQ130" s="269"/>
      <c r="DR130" s="269"/>
      <c r="DS130" s="269"/>
      <c r="DT130" s="269"/>
      <c r="DU130" s="269"/>
      <c r="DV130" s="269"/>
      <c r="DW130" s="269"/>
      <c r="DX130" s="269"/>
      <c r="DY130" s="269"/>
      <c r="DZ130" s="269"/>
      <c r="EA130" s="269"/>
      <c r="EB130" s="269"/>
    </row>
    <row r="131" spans="1:132" ht="15">
      <c r="A131" s="269"/>
      <c r="B131" s="269"/>
      <c r="C131" s="396">
        <v>37995.333333332848</v>
      </c>
      <c r="D131" s="402">
        <v>37995.374999999513</v>
      </c>
      <c r="E131" s="258">
        <v>0</v>
      </c>
      <c r="F131" s="124">
        <v>0</v>
      </c>
      <c r="G131" s="272">
        <v>0</v>
      </c>
      <c r="H131" s="124">
        <v>0</v>
      </c>
      <c r="I131" s="314">
        <v>0</v>
      </c>
      <c r="J131" s="124">
        <v>0</v>
      </c>
      <c r="K131" s="124">
        <v>0</v>
      </c>
      <c r="L131" s="124">
        <v>0</v>
      </c>
      <c r="M131" s="272">
        <v>0</v>
      </c>
      <c r="N131" s="124">
        <v>0</v>
      </c>
      <c r="O131" s="314">
        <v>0</v>
      </c>
      <c r="P131" s="314">
        <v>0</v>
      </c>
      <c r="Q131" s="314">
        <v>0</v>
      </c>
      <c r="R131" s="314">
        <v>0</v>
      </c>
      <c r="S131" s="314">
        <v>0</v>
      </c>
      <c r="T131" s="314">
        <v>0</v>
      </c>
      <c r="U131" s="314">
        <v>0</v>
      </c>
      <c r="V131" s="314">
        <v>0</v>
      </c>
      <c r="W131" s="314">
        <v>0</v>
      </c>
      <c r="X131" s="314">
        <v>0</v>
      </c>
      <c r="Y131" s="314">
        <v>0</v>
      </c>
      <c r="Z131" s="314">
        <v>0</v>
      </c>
      <c r="AA131" s="314">
        <v>0</v>
      </c>
      <c r="AB131" s="314">
        <v>0</v>
      </c>
      <c r="AC131" s="314">
        <v>0</v>
      </c>
      <c r="AD131" s="314">
        <v>0</v>
      </c>
      <c r="AE131" s="314">
        <v>0</v>
      </c>
      <c r="AF131" s="314">
        <v>0</v>
      </c>
      <c r="AG131" s="124">
        <v>0</v>
      </c>
      <c r="AH131" s="124">
        <v>0</v>
      </c>
      <c r="AI131" s="124">
        <v>0</v>
      </c>
      <c r="AJ131" s="124">
        <v>0</v>
      </c>
      <c r="AK131" s="124">
        <v>0</v>
      </c>
      <c r="AL131" s="124">
        <v>0</v>
      </c>
      <c r="AM131" s="124">
        <v>0</v>
      </c>
      <c r="AN131" s="124">
        <v>0</v>
      </c>
      <c r="AO131" s="124">
        <v>0</v>
      </c>
      <c r="AP131" s="124">
        <v>0</v>
      </c>
      <c r="AQ131" s="124">
        <v>0</v>
      </c>
      <c r="AR131" s="124"/>
      <c r="AS131" s="124"/>
      <c r="AT131" s="124"/>
      <c r="AU131" s="124"/>
      <c r="AV131" s="124"/>
      <c r="AW131" s="355"/>
      <c r="AX131" s="269"/>
      <c r="AY131" s="269"/>
      <c r="AZ131" s="396">
        <v>37995.333333332848</v>
      </c>
      <c r="BA131" s="402">
        <v>37995.374999999513</v>
      </c>
      <c r="BB131" s="258">
        <v>0</v>
      </c>
      <c r="BC131" s="124">
        <v>0</v>
      </c>
      <c r="BD131" s="272">
        <v>0</v>
      </c>
      <c r="BE131" s="124">
        <v>0</v>
      </c>
      <c r="BF131" s="314">
        <v>0</v>
      </c>
      <c r="BG131" s="124">
        <v>0</v>
      </c>
      <c r="BH131" s="124">
        <v>0</v>
      </c>
      <c r="BI131" s="124">
        <v>0</v>
      </c>
      <c r="BJ131" s="272">
        <v>0</v>
      </c>
      <c r="BK131" s="124">
        <v>0</v>
      </c>
      <c r="BL131" s="314">
        <v>0</v>
      </c>
      <c r="BM131" s="314">
        <v>0</v>
      </c>
      <c r="BN131" s="314">
        <v>0</v>
      </c>
      <c r="BO131" s="314">
        <v>0</v>
      </c>
      <c r="BP131" s="314">
        <v>0</v>
      </c>
      <c r="BQ131" s="314">
        <v>0</v>
      </c>
      <c r="BR131" s="314">
        <v>0</v>
      </c>
      <c r="BS131" s="314">
        <v>0</v>
      </c>
      <c r="BT131" s="314">
        <v>0</v>
      </c>
      <c r="BU131" s="314">
        <v>0</v>
      </c>
      <c r="BV131" s="314">
        <v>0</v>
      </c>
      <c r="BW131" s="314">
        <v>0</v>
      </c>
      <c r="BX131" s="314">
        <v>0</v>
      </c>
      <c r="BY131" s="314">
        <v>0</v>
      </c>
      <c r="BZ131" s="314">
        <v>0</v>
      </c>
      <c r="CA131" s="314">
        <v>0</v>
      </c>
      <c r="CB131" s="314">
        <v>0</v>
      </c>
      <c r="CC131" s="314">
        <v>0</v>
      </c>
      <c r="CD131" s="124">
        <v>0</v>
      </c>
      <c r="CE131" s="124">
        <v>0</v>
      </c>
      <c r="CF131" s="124">
        <v>0</v>
      </c>
      <c r="CG131" s="124">
        <v>0</v>
      </c>
      <c r="CH131" s="124">
        <v>0</v>
      </c>
      <c r="CI131" s="124">
        <v>0</v>
      </c>
      <c r="CJ131" s="124">
        <v>0</v>
      </c>
      <c r="CK131" s="124">
        <v>0</v>
      </c>
      <c r="CL131" s="124">
        <v>0</v>
      </c>
      <c r="CM131" s="124">
        <v>0</v>
      </c>
      <c r="CN131" s="124">
        <v>0</v>
      </c>
      <c r="CO131" s="124"/>
      <c r="CP131" s="124"/>
      <c r="CQ131" s="124"/>
      <c r="CR131" s="124"/>
      <c r="CS131" s="124"/>
      <c r="CT131" s="355"/>
      <c r="CU131" s="269"/>
      <c r="CV131" s="269"/>
      <c r="CW131" s="269"/>
      <c r="CX131" s="269"/>
      <c r="CY131" s="269"/>
      <c r="CZ131" s="269"/>
      <c r="DA131" s="269"/>
      <c r="DB131" s="269"/>
      <c r="DC131" s="269"/>
      <c r="DD131" s="269"/>
      <c r="DE131" s="269"/>
      <c r="DF131" s="269"/>
      <c r="DG131" s="269"/>
      <c r="DH131" s="269"/>
      <c r="DI131" s="269"/>
      <c r="DJ131" s="269"/>
      <c r="DK131" s="269"/>
      <c r="DL131" s="269"/>
      <c r="DM131" s="269"/>
      <c r="DN131" s="269"/>
      <c r="DO131" s="269"/>
      <c r="DP131" s="269"/>
      <c r="DQ131" s="269"/>
      <c r="DR131" s="269"/>
      <c r="DS131" s="269"/>
      <c r="DT131" s="269"/>
      <c r="DU131" s="269"/>
      <c r="DV131" s="269"/>
      <c r="DW131" s="269"/>
      <c r="DX131" s="269"/>
      <c r="DY131" s="269"/>
      <c r="DZ131" s="269"/>
      <c r="EA131" s="269"/>
      <c r="EB131" s="269"/>
    </row>
    <row r="132" spans="1:132" ht="15">
      <c r="A132" s="269"/>
      <c r="B132" s="269"/>
      <c r="C132" s="396">
        <v>37995.374999999513</v>
      </c>
      <c r="D132" s="402">
        <v>37995.416666666177</v>
      </c>
      <c r="E132" s="258">
        <v>0</v>
      </c>
      <c r="F132" s="124">
        <v>0</v>
      </c>
      <c r="G132" s="272">
        <v>0</v>
      </c>
      <c r="H132" s="124">
        <v>0</v>
      </c>
      <c r="I132" s="314">
        <v>0</v>
      </c>
      <c r="J132" s="124">
        <v>0</v>
      </c>
      <c r="K132" s="124">
        <v>0</v>
      </c>
      <c r="L132" s="124">
        <v>0</v>
      </c>
      <c r="M132" s="272">
        <v>0</v>
      </c>
      <c r="N132" s="124">
        <v>0</v>
      </c>
      <c r="O132" s="314">
        <v>0</v>
      </c>
      <c r="P132" s="314">
        <v>0</v>
      </c>
      <c r="Q132" s="314">
        <v>0</v>
      </c>
      <c r="R132" s="314">
        <v>0</v>
      </c>
      <c r="S132" s="314">
        <v>0</v>
      </c>
      <c r="T132" s="314">
        <v>0</v>
      </c>
      <c r="U132" s="314">
        <v>0</v>
      </c>
      <c r="V132" s="314">
        <v>0</v>
      </c>
      <c r="W132" s="314">
        <v>0</v>
      </c>
      <c r="X132" s="314">
        <v>0</v>
      </c>
      <c r="Y132" s="314">
        <v>0</v>
      </c>
      <c r="Z132" s="314">
        <v>0</v>
      </c>
      <c r="AA132" s="314">
        <v>0</v>
      </c>
      <c r="AB132" s="314">
        <v>0</v>
      </c>
      <c r="AC132" s="314">
        <v>0</v>
      </c>
      <c r="AD132" s="314">
        <v>0</v>
      </c>
      <c r="AE132" s="314">
        <v>0</v>
      </c>
      <c r="AF132" s="314">
        <v>0</v>
      </c>
      <c r="AG132" s="124">
        <v>0</v>
      </c>
      <c r="AH132" s="124">
        <v>0</v>
      </c>
      <c r="AI132" s="124">
        <v>0</v>
      </c>
      <c r="AJ132" s="124">
        <v>0</v>
      </c>
      <c r="AK132" s="124">
        <v>0</v>
      </c>
      <c r="AL132" s="124">
        <v>0</v>
      </c>
      <c r="AM132" s="124">
        <v>0</v>
      </c>
      <c r="AN132" s="124">
        <v>0</v>
      </c>
      <c r="AO132" s="124">
        <v>0</v>
      </c>
      <c r="AP132" s="124">
        <v>0</v>
      </c>
      <c r="AQ132" s="124">
        <v>0</v>
      </c>
      <c r="AR132" s="124"/>
      <c r="AS132" s="124"/>
      <c r="AT132" s="124"/>
      <c r="AU132" s="124"/>
      <c r="AV132" s="124"/>
      <c r="AW132" s="355"/>
      <c r="AX132" s="269"/>
      <c r="AY132" s="269"/>
      <c r="AZ132" s="396">
        <v>37995.374999999513</v>
      </c>
      <c r="BA132" s="402">
        <v>37995.416666666177</v>
      </c>
      <c r="BB132" s="258">
        <v>0</v>
      </c>
      <c r="BC132" s="124">
        <v>0</v>
      </c>
      <c r="BD132" s="272">
        <v>0</v>
      </c>
      <c r="BE132" s="124">
        <v>0</v>
      </c>
      <c r="BF132" s="314">
        <v>0</v>
      </c>
      <c r="BG132" s="124">
        <v>0</v>
      </c>
      <c r="BH132" s="124">
        <v>0</v>
      </c>
      <c r="BI132" s="124">
        <v>0</v>
      </c>
      <c r="BJ132" s="272">
        <v>0</v>
      </c>
      <c r="BK132" s="124">
        <v>0</v>
      </c>
      <c r="BL132" s="314">
        <v>0</v>
      </c>
      <c r="BM132" s="314">
        <v>0</v>
      </c>
      <c r="BN132" s="314">
        <v>0</v>
      </c>
      <c r="BO132" s="314">
        <v>0</v>
      </c>
      <c r="BP132" s="314">
        <v>0</v>
      </c>
      <c r="BQ132" s="314">
        <v>0</v>
      </c>
      <c r="BR132" s="314">
        <v>0</v>
      </c>
      <c r="BS132" s="314">
        <v>0</v>
      </c>
      <c r="BT132" s="314">
        <v>0</v>
      </c>
      <c r="BU132" s="314">
        <v>0</v>
      </c>
      <c r="BV132" s="314">
        <v>0</v>
      </c>
      <c r="BW132" s="314">
        <v>0</v>
      </c>
      <c r="BX132" s="314">
        <v>0</v>
      </c>
      <c r="BY132" s="314">
        <v>0</v>
      </c>
      <c r="BZ132" s="314">
        <v>0</v>
      </c>
      <c r="CA132" s="314">
        <v>0</v>
      </c>
      <c r="CB132" s="314">
        <v>0</v>
      </c>
      <c r="CC132" s="314">
        <v>0</v>
      </c>
      <c r="CD132" s="124">
        <v>0</v>
      </c>
      <c r="CE132" s="124">
        <v>0</v>
      </c>
      <c r="CF132" s="124">
        <v>0</v>
      </c>
      <c r="CG132" s="124">
        <v>0</v>
      </c>
      <c r="CH132" s="124">
        <v>0</v>
      </c>
      <c r="CI132" s="124">
        <v>0</v>
      </c>
      <c r="CJ132" s="124">
        <v>0</v>
      </c>
      <c r="CK132" s="124">
        <v>0</v>
      </c>
      <c r="CL132" s="124">
        <v>0</v>
      </c>
      <c r="CM132" s="124">
        <v>0</v>
      </c>
      <c r="CN132" s="124">
        <v>0</v>
      </c>
      <c r="CO132" s="124"/>
      <c r="CP132" s="124"/>
      <c r="CQ132" s="124"/>
      <c r="CR132" s="124"/>
      <c r="CS132" s="124"/>
      <c r="CT132" s="355"/>
      <c r="CU132" s="269"/>
      <c r="CV132" s="269"/>
      <c r="CW132" s="269"/>
      <c r="CX132" s="269"/>
      <c r="CY132" s="269"/>
      <c r="CZ132" s="269"/>
      <c r="DA132" s="269"/>
      <c r="DB132" s="269"/>
      <c r="DC132" s="269"/>
      <c r="DD132" s="269"/>
      <c r="DE132" s="269"/>
      <c r="DF132" s="269"/>
      <c r="DG132" s="269"/>
      <c r="DH132" s="269"/>
      <c r="DI132" s="269"/>
      <c r="DJ132" s="269"/>
      <c r="DK132" s="269"/>
      <c r="DL132" s="269"/>
      <c r="DM132" s="269"/>
      <c r="DN132" s="269"/>
      <c r="DO132" s="269"/>
      <c r="DP132" s="269"/>
      <c r="DQ132" s="269"/>
      <c r="DR132" s="269"/>
      <c r="DS132" s="269"/>
      <c r="DT132" s="269"/>
      <c r="DU132" s="269"/>
      <c r="DV132" s="269"/>
      <c r="DW132" s="269"/>
      <c r="DX132" s="269"/>
      <c r="DY132" s="269"/>
      <c r="DZ132" s="269"/>
      <c r="EA132" s="269"/>
      <c r="EB132" s="269"/>
    </row>
    <row r="133" spans="1:132" ht="15">
      <c r="A133" s="269"/>
      <c r="B133" s="269"/>
      <c r="C133" s="398">
        <v>37995.416666666177</v>
      </c>
      <c r="D133" s="403">
        <v>37995.458333332841</v>
      </c>
      <c r="E133" s="261">
        <v>0</v>
      </c>
      <c r="F133" s="125">
        <v>0</v>
      </c>
      <c r="G133" s="273">
        <v>0</v>
      </c>
      <c r="H133" s="125">
        <v>0</v>
      </c>
      <c r="I133" s="315">
        <v>0</v>
      </c>
      <c r="J133" s="125">
        <v>0</v>
      </c>
      <c r="K133" s="125">
        <v>0</v>
      </c>
      <c r="L133" s="125">
        <v>0</v>
      </c>
      <c r="M133" s="273">
        <v>0</v>
      </c>
      <c r="N133" s="125">
        <v>0</v>
      </c>
      <c r="O133" s="315">
        <v>0</v>
      </c>
      <c r="P133" s="315">
        <v>0</v>
      </c>
      <c r="Q133" s="315">
        <v>0</v>
      </c>
      <c r="R133" s="315">
        <v>0</v>
      </c>
      <c r="S133" s="315">
        <v>0</v>
      </c>
      <c r="T133" s="315">
        <v>0</v>
      </c>
      <c r="U133" s="315">
        <v>0</v>
      </c>
      <c r="V133" s="315">
        <v>0</v>
      </c>
      <c r="W133" s="315">
        <v>0</v>
      </c>
      <c r="X133" s="315">
        <v>0</v>
      </c>
      <c r="Y133" s="315">
        <v>0</v>
      </c>
      <c r="Z133" s="315">
        <v>0</v>
      </c>
      <c r="AA133" s="315">
        <v>0</v>
      </c>
      <c r="AB133" s="315">
        <v>0</v>
      </c>
      <c r="AC133" s="315">
        <v>0</v>
      </c>
      <c r="AD133" s="315">
        <v>0</v>
      </c>
      <c r="AE133" s="315">
        <v>0</v>
      </c>
      <c r="AF133" s="315">
        <v>0</v>
      </c>
      <c r="AG133" s="315">
        <v>0</v>
      </c>
      <c r="AH133" s="125">
        <v>0</v>
      </c>
      <c r="AI133" s="125">
        <v>0</v>
      </c>
      <c r="AJ133" s="125">
        <v>0</v>
      </c>
      <c r="AK133" s="125">
        <v>0</v>
      </c>
      <c r="AL133" s="125">
        <v>0</v>
      </c>
      <c r="AM133" s="125">
        <v>0</v>
      </c>
      <c r="AN133" s="125">
        <v>0</v>
      </c>
      <c r="AO133" s="125">
        <v>0</v>
      </c>
      <c r="AP133" s="125">
        <v>0</v>
      </c>
      <c r="AQ133" s="125">
        <v>0</v>
      </c>
      <c r="AR133" s="125"/>
      <c r="AS133" s="125"/>
      <c r="AT133" s="125"/>
      <c r="AU133" s="125"/>
      <c r="AV133" s="125"/>
      <c r="AW133" s="356"/>
      <c r="AX133" s="269"/>
      <c r="AY133" s="269"/>
      <c r="AZ133" s="398">
        <v>37995.416666666177</v>
      </c>
      <c r="BA133" s="403">
        <v>37995.458333332841</v>
      </c>
      <c r="BB133" s="261">
        <v>0</v>
      </c>
      <c r="BC133" s="125">
        <v>0</v>
      </c>
      <c r="BD133" s="273">
        <v>0</v>
      </c>
      <c r="BE133" s="125">
        <v>0</v>
      </c>
      <c r="BF133" s="315">
        <v>0</v>
      </c>
      <c r="BG133" s="125">
        <v>0</v>
      </c>
      <c r="BH133" s="125">
        <v>0</v>
      </c>
      <c r="BI133" s="125">
        <v>0</v>
      </c>
      <c r="BJ133" s="273">
        <v>0</v>
      </c>
      <c r="BK133" s="125">
        <v>0</v>
      </c>
      <c r="BL133" s="315">
        <v>0</v>
      </c>
      <c r="BM133" s="315">
        <v>0</v>
      </c>
      <c r="BN133" s="315">
        <v>0</v>
      </c>
      <c r="BO133" s="315">
        <v>0</v>
      </c>
      <c r="BP133" s="315">
        <v>0</v>
      </c>
      <c r="BQ133" s="315">
        <v>0</v>
      </c>
      <c r="BR133" s="315">
        <v>0</v>
      </c>
      <c r="BS133" s="315">
        <v>0</v>
      </c>
      <c r="BT133" s="315">
        <v>0</v>
      </c>
      <c r="BU133" s="315">
        <v>0</v>
      </c>
      <c r="BV133" s="315">
        <v>0</v>
      </c>
      <c r="BW133" s="315">
        <v>0</v>
      </c>
      <c r="BX133" s="315">
        <v>0</v>
      </c>
      <c r="BY133" s="315">
        <v>0</v>
      </c>
      <c r="BZ133" s="315">
        <v>0</v>
      </c>
      <c r="CA133" s="315">
        <v>0</v>
      </c>
      <c r="CB133" s="315">
        <v>0</v>
      </c>
      <c r="CC133" s="315">
        <v>0</v>
      </c>
      <c r="CD133" s="315">
        <v>0</v>
      </c>
      <c r="CE133" s="125">
        <v>0</v>
      </c>
      <c r="CF133" s="125">
        <v>0</v>
      </c>
      <c r="CG133" s="125">
        <v>0</v>
      </c>
      <c r="CH133" s="125">
        <v>0</v>
      </c>
      <c r="CI133" s="125">
        <v>0</v>
      </c>
      <c r="CJ133" s="125">
        <v>0</v>
      </c>
      <c r="CK133" s="125">
        <v>0</v>
      </c>
      <c r="CL133" s="125">
        <v>0</v>
      </c>
      <c r="CM133" s="125">
        <v>0</v>
      </c>
      <c r="CN133" s="125">
        <v>0</v>
      </c>
      <c r="CO133" s="125"/>
      <c r="CP133" s="125"/>
      <c r="CQ133" s="125"/>
      <c r="CR133" s="125"/>
      <c r="CS133" s="125"/>
      <c r="CT133" s="356"/>
      <c r="CU133" s="269"/>
      <c r="CV133" s="269"/>
      <c r="CW133" s="269"/>
      <c r="CX133" s="269"/>
      <c r="CY133" s="269"/>
      <c r="CZ133" s="269"/>
      <c r="DA133" s="269"/>
      <c r="DB133" s="269"/>
      <c r="DC133" s="269"/>
      <c r="DD133" s="269"/>
      <c r="DE133" s="269"/>
      <c r="DF133" s="269"/>
      <c r="DG133" s="269"/>
      <c r="DH133" s="269"/>
      <c r="DI133" s="269"/>
      <c r="DJ133" s="269"/>
      <c r="DK133" s="269"/>
      <c r="DL133" s="269"/>
      <c r="DM133" s="269"/>
      <c r="DN133" s="269"/>
      <c r="DO133" s="269"/>
      <c r="DP133" s="269"/>
      <c r="DQ133" s="269"/>
      <c r="DR133" s="269"/>
      <c r="DS133" s="269"/>
      <c r="DT133" s="269"/>
      <c r="DU133" s="269"/>
      <c r="DV133" s="269"/>
      <c r="DW133" s="269"/>
      <c r="DX133" s="269"/>
      <c r="DY133" s="269"/>
      <c r="DZ133" s="269"/>
      <c r="EA133" s="269"/>
      <c r="EB133" s="269"/>
    </row>
    <row r="134" spans="1:132" ht="15">
      <c r="A134" s="269"/>
      <c r="B134" s="269"/>
      <c r="C134" s="398">
        <v>37995.458333332841</v>
      </c>
      <c r="D134" s="403">
        <v>37995.499999999505</v>
      </c>
      <c r="E134" s="261">
        <v>0</v>
      </c>
      <c r="F134" s="125">
        <v>0</v>
      </c>
      <c r="G134" s="273">
        <v>0</v>
      </c>
      <c r="H134" s="125">
        <v>0</v>
      </c>
      <c r="I134" s="315">
        <v>0</v>
      </c>
      <c r="J134" s="125">
        <v>0</v>
      </c>
      <c r="K134" s="125">
        <v>0</v>
      </c>
      <c r="L134" s="125">
        <v>0</v>
      </c>
      <c r="M134" s="273">
        <v>0</v>
      </c>
      <c r="N134" s="125">
        <v>0</v>
      </c>
      <c r="O134" s="315">
        <v>0</v>
      </c>
      <c r="P134" s="315">
        <v>0</v>
      </c>
      <c r="Q134" s="315">
        <v>0</v>
      </c>
      <c r="R134" s="315">
        <v>0</v>
      </c>
      <c r="S134" s="315">
        <v>0</v>
      </c>
      <c r="T134" s="315">
        <v>0</v>
      </c>
      <c r="U134" s="315">
        <v>0</v>
      </c>
      <c r="V134" s="315">
        <v>0</v>
      </c>
      <c r="W134" s="315">
        <v>0</v>
      </c>
      <c r="X134" s="315">
        <v>0</v>
      </c>
      <c r="Y134" s="315">
        <v>0</v>
      </c>
      <c r="Z134" s="315">
        <v>0</v>
      </c>
      <c r="AA134" s="315">
        <v>0</v>
      </c>
      <c r="AB134" s="315">
        <v>0</v>
      </c>
      <c r="AC134" s="315">
        <v>0</v>
      </c>
      <c r="AD134" s="315">
        <v>0</v>
      </c>
      <c r="AE134" s="315">
        <v>0</v>
      </c>
      <c r="AF134" s="315">
        <v>0</v>
      </c>
      <c r="AG134" s="315">
        <v>0</v>
      </c>
      <c r="AH134" s="125">
        <v>0</v>
      </c>
      <c r="AI134" s="125">
        <v>0</v>
      </c>
      <c r="AJ134" s="125">
        <v>0</v>
      </c>
      <c r="AK134" s="125">
        <v>0</v>
      </c>
      <c r="AL134" s="125">
        <v>0</v>
      </c>
      <c r="AM134" s="125">
        <v>0</v>
      </c>
      <c r="AN134" s="125">
        <v>0</v>
      </c>
      <c r="AO134" s="125">
        <v>0</v>
      </c>
      <c r="AP134" s="125">
        <v>0</v>
      </c>
      <c r="AQ134" s="125">
        <v>0</v>
      </c>
      <c r="AR134" s="125"/>
      <c r="AS134" s="125"/>
      <c r="AT134" s="125"/>
      <c r="AU134" s="125"/>
      <c r="AV134" s="125"/>
      <c r="AW134" s="356"/>
      <c r="AX134" s="269"/>
      <c r="AY134" s="269"/>
      <c r="AZ134" s="398">
        <v>37995.458333332841</v>
      </c>
      <c r="BA134" s="403">
        <v>37995.499999999505</v>
      </c>
      <c r="BB134" s="261">
        <v>0</v>
      </c>
      <c r="BC134" s="125">
        <v>0</v>
      </c>
      <c r="BD134" s="273">
        <v>0</v>
      </c>
      <c r="BE134" s="125">
        <v>0</v>
      </c>
      <c r="BF134" s="315">
        <v>0</v>
      </c>
      <c r="BG134" s="125">
        <v>0</v>
      </c>
      <c r="BH134" s="125">
        <v>0</v>
      </c>
      <c r="BI134" s="125">
        <v>0</v>
      </c>
      <c r="BJ134" s="273">
        <v>0</v>
      </c>
      <c r="BK134" s="125">
        <v>0</v>
      </c>
      <c r="BL134" s="315">
        <v>0</v>
      </c>
      <c r="BM134" s="315">
        <v>0</v>
      </c>
      <c r="BN134" s="315">
        <v>0</v>
      </c>
      <c r="BO134" s="315">
        <v>0</v>
      </c>
      <c r="BP134" s="315">
        <v>0</v>
      </c>
      <c r="BQ134" s="315">
        <v>0</v>
      </c>
      <c r="BR134" s="315">
        <v>0</v>
      </c>
      <c r="BS134" s="315">
        <v>0</v>
      </c>
      <c r="BT134" s="315">
        <v>0</v>
      </c>
      <c r="BU134" s="315">
        <v>0</v>
      </c>
      <c r="BV134" s="315">
        <v>0</v>
      </c>
      <c r="BW134" s="315">
        <v>0</v>
      </c>
      <c r="BX134" s="315">
        <v>0</v>
      </c>
      <c r="BY134" s="315">
        <v>0</v>
      </c>
      <c r="BZ134" s="315">
        <v>0</v>
      </c>
      <c r="CA134" s="315">
        <v>0</v>
      </c>
      <c r="CB134" s="315">
        <v>0</v>
      </c>
      <c r="CC134" s="315">
        <v>0</v>
      </c>
      <c r="CD134" s="315">
        <v>0</v>
      </c>
      <c r="CE134" s="125">
        <v>0</v>
      </c>
      <c r="CF134" s="125">
        <v>0</v>
      </c>
      <c r="CG134" s="125">
        <v>0</v>
      </c>
      <c r="CH134" s="125">
        <v>0</v>
      </c>
      <c r="CI134" s="125">
        <v>0</v>
      </c>
      <c r="CJ134" s="125">
        <v>0</v>
      </c>
      <c r="CK134" s="125">
        <v>0</v>
      </c>
      <c r="CL134" s="125">
        <v>0</v>
      </c>
      <c r="CM134" s="125">
        <v>0</v>
      </c>
      <c r="CN134" s="125">
        <v>0</v>
      </c>
      <c r="CO134" s="125"/>
      <c r="CP134" s="125"/>
      <c r="CQ134" s="125"/>
      <c r="CR134" s="125"/>
      <c r="CS134" s="125"/>
      <c r="CT134" s="356"/>
      <c r="CU134" s="269"/>
      <c r="CV134" s="269"/>
      <c r="CW134" s="269"/>
      <c r="CX134" s="269"/>
      <c r="CY134" s="269"/>
      <c r="CZ134" s="269"/>
      <c r="DA134" s="269"/>
      <c r="DB134" s="269"/>
      <c r="DC134" s="269"/>
      <c r="DD134" s="269"/>
      <c r="DE134" s="269"/>
      <c r="DF134" s="269"/>
      <c r="DG134" s="269"/>
      <c r="DH134" s="269"/>
      <c r="DI134" s="269"/>
      <c r="DJ134" s="269"/>
      <c r="DK134" s="269"/>
      <c r="DL134" s="269"/>
      <c r="DM134" s="269"/>
      <c r="DN134" s="269"/>
      <c r="DO134" s="269"/>
      <c r="DP134" s="269"/>
      <c r="DQ134" s="269"/>
      <c r="DR134" s="269"/>
      <c r="DS134" s="269"/>
      <c r="DT134" s="269"/>
      <c r="DU134" s="269"/>
      <c r="DV134" s="269"/>
      <c r="DW134" s="269"/>
      <c r="DX134" s="269"/>
      <c r="DY134" s="269"/>
      <c r="DZ134" s="269"/>
      <c r="EA134" s="269"/>
      <c r="EB134" s="269"/>
    </row>
    <row r="135" spans="1:132" ht="15">
      <c r="A135" s="269"/>
      <c r="B135" s="269"/>
      <c r="C135" s="398">
        <v>37995.499999999505</v>
      </c>
      <c r="D135" s="403">
        <v>37995.541666666169</v>
      </c>
      <c r="E135" s="261">
        <v>0</v>
      </c>
      <c r="F135" s="125">
        <v>0</v>
      </c>
      <c r="G135" s="273">
        <v>0</v>
      </c>
      <c r="H135" s="125">
        <v>0</v>
      </c>
      <c r="I135" s="315">
        <v>0</v>
      </c>
      <c r="J135" s="125">
        <v>0</v>
      </c>
      <c r="K135" s="125">
        <v>0</v>
      </c>
      <c r="L135" s="125">
        <v>0</v>
      </c>
      <c r="M135" s="273">
        <v>0</v>
      </c>
      <c r="N135" s="125">
        <v>0</v>
      </c>
      <c r="O135" s="315">
        <v>0</v>
      </c>
      <c r="P135" s="315">
        <v>0</v>
      </c>
      <c r="Q135" s="315">
        <v>0</v>
      </c>
      <c r="R135" s="315">
        <v>0</v>
      </c>
      <c r="S135" s="315">
        <v>0</v>
      </c>
      <c r="T135" s="315">
        <v>0</v>
      </c>
      <c r="U135" s="315">
        <v>0</v>
      </c>
      <c r="V135" s="315">
        <v>0</v>
      </c>
      <c r="W135" s="315">
        <v>0</v>
      </c>
      <c r="X135" s="315">
        <v>0</v>
      </c>
      <c r="Y135" s="315">
        <v>0</v>
      </c>
      <c r="Z135" s="315">
        <v>0</v>
      </c>
      <c r="AA135" s="315">
        <v>0</v>
      </c>
      <c r="AB135" s="315">
        <v>0</v>
      </c>
      <c r="AC135" s="315">
        <v>0</v>
      </c>
      <c r="AD135" s="315">
        <v>0</v>
      </c>
      <c r="AE135" s="315">
        <v>0</v>
      </c>
      <c r="AF135" s="315">
        <v>0</v>
      </c>
      <c r="AG135" s="315">
        <v>0</v>
      </c>
      <c r="AH135" s="125">
        <v>0</v>
      </c>
      <c r="AI135" s="125">
        <v>0</v>
      </c>
      <c r="AJ135" s="125">
        <v>0</v>
      </c>
      <c r="AK135" s="125">
        <v>0</v>
      </c>
      <c r="AL135" s="125">
        <v>0</v>
      </c>
      <c r="AM135" s="125">
        <v>0</v>
      </c>
      <c r="AN135" s="125">
        <v>0</v>
      </c>
      <c r="AO135" s="125">
        <v>0</v>
      </c>
      <c r="AP135" s="125">
        <v>0</v>
      </c>
      <c r="AQ135" s="125">
        <v>0</v>
      </c>
      <c r="AR135" s="125"/>
      <c r="AS135" s="125"/>
      <c r="AT135" s="125"/>
      <c r="AU135" s="125"/>
      <c r="AV135" s="125"/>
      <c r="AW135" s="356"/>
      <c r="AX135" s="269"/>
      <c r="AY135" s="269"/>
      <c r="AZ135" s="398">
        <v>37995.499999999505</v>
      </c>
      <c r="BA135" s="403">
        <v>37995.541666666169</v>
      </c>
      <c r="BB135" s="261">
        <v>0</v>
      </c>
      <c r="BC135" s="125">
        <v>0</v>
      </c>
      <c r="BD135" s="273">
        <v>0</v>
      </c>
      <c r="BE135" s="125">
        <v>0</v>
      </c>
      <c r="BF135" s="315">
        <v>0</v>
      </c>
      <c r="BG135" s="125">
        <v>0</v>
      </c>
      <c r="BH135" s="125">
        <v>0</v>
      </c>
      <c r="BI135" s="125">
        <v>0</v>
      </c>
      <c r="BJ135" s="273">
        <v>0</v>
      </c>
      <c r="BK135" s="125">
        <v>0</v>
      </c>
      <c r="BL135" s="315">
        <v>0</v>
      </c>
      <c r="BM135" s="315">
        <v>0</v>
      </c>
      <c r="BN135" s="315">
        <v>0</v>
      </c>
      <c r="BO135" s="315">
        <v>0</v>
      </c>
      <c r="BP135" s="315">
        <v>0</v>
      </c>
      <c r="BQ135" s="315">
        <v>0</v>
      </c>
      <c r="BR135" s="315">
        <v>0</v>
      </c>
      <c r="BS135" s="315">
        <v>0</v>
      </c>
      <c r="BT135" s="315">
        <v>0</v>
      </c>
      <c r="BU135" s="315">
        <v>0</v>
      </c>
      <c r="BV135" s="315">
        <v>0</v>
      </c>
      <c r="BW135" s="315">
        <v>0</v>
      </c>
      <c r="BX135" s="315">
        <v>0</v>
      </c>
      <c r="BY135" s="315">
        <v>0</v>
      </c>
      <c r="BZ135" s="315">
        <v>0</v>
      </c>
      <c r="CA135" s="315">
        <v>0</v>
      </c>
      <c r="CB135" s="315">
        <v>0</v>
      </c>
      <c r="CC135" s="315">
        <v>0</v>
      </c>
      <c r="CD135" s="315">
        <v>0</v>
      </c>
      <c r="CE135" s="125">
        <v>0</v>
      </c>
      <c r="CF135" s="125">
        <v>0</v>
      </c>
      <c r="CG135" s="125">
        <v>0</v>
      </c>
      <c r="CH135" s="125">
        <v>0</v>
      </c>
      <c r="CI135" s="125">
        <v>0</v>
      </c>
      <c r="CJ135" s="125">
        <v>0</v>
      </c>
      <c r="CK135" s="125">
        <v>0</v>
      </c>
      <c r="CL135" s="125">
        <v>0</v>
      </c>
      <c r="CM135" s="125">
        <v>0</v>
      </c>
      <c r="CN135" s="125">
        <v>0</v>
      </c>
      <c r="CO135" s="125"/>
      <c r="CP135" s="125"/>
      <c r="CQ135" s="125"/>
      <c r="CR135" s="125"/>
      <c r="CS135" s="125"/>
      <c r="CT135" s="356"/>
      <c r="CU135" s="269"/>
      <c r="CV135" s="269"/>
      <c r="CW135" s="269"/>
      <c r="CX135" s="269"/>
      <c r="CY135" s="269"/>
      <c r="CZ135" s="269"/>
      <c r="DA135" s="269"/>
      <c r="DB135" s="269"/>
      <c r="DC135" s="269"/>
      <c r="DD135" s="269"/>
      <c r="DE135" s="269"/>
      <c r="DF135" s="269"/>
      <c r="DG135" s="269"/>
      <c r="DH135" s="269"/>
      <c r="DI135" s="269"/>
      <c r="DJ135" s="269"/>
      <c r="DK135" s="269"/>
      <c r="DL135" s="269"/>
      <c r="DM135" s="269"/>
      <c r="DN135" s="269"/>
      <c r="DO135" s="269"/>
      <c r="DP135" s="269"/>
      <c r="DQ135" s="269"/>
      <c r="DR135" s="269"/>
      <c r="DS135" s="269"/>
      <c r="DT135" s="269"/>
      <c r="DU135" s="269"/>
      <c r="DV135" s="269"/>
      <c r="DW135" s="269"/>
      <c r="DX135" s="269"/>
      <c r="DY135" s="269"/>
      <c r="DZ135" s="269"/>
      <c r="EA135" s="269"/>
      <c r="EB135" s="269"/>
    </row>
    <row r="136" spans="1:132" ht="15">
      <c r="A136" s="269"/>
      <c r="B136" s="269"/>
      <c r="C136" s="396">
        <v>37995.541666666169</v>
      </c>
      <c r="D136" s="402">
        <v>37995.583333332834</v>
      </c>
      <c r="E136" s="258">
        <v>0</v>
      </c>
      <c r="F136" s="124">
        <v>0</v>
      </c>
      <c r="G136" s="272">
        <v>0</v>
      </c>
      <c r="H136" s="124">
        <v>0</v>
      </c>
      <c r="I136" s="314">
        <v>0</v>
      </c>
      <c r="J136" s="124">
        <v>0</v>
      </c>
      <c r="K136" s="124">
        <v>0</v>
      </c>
      <c r="L136" s="124">
        <v>0</v>
      </c>
      <c r="M136" s="272">
        <v>0</v>
      </c>
      <c r="N136" s="124">
        <v>0</v>
      </c>
      <c r="O136" s="314">
        <v>0</v>
      </c>
      <c r="P136" s="314">
        <v>0</v>
      </c>
      <c r="Q136" s="314">
        <v>0</v>
      </c>
      <c r="R136" s="314">
        <v>0</v>
      </c>
      <c r="S136" s="314">
        <v>0</v>
      </c>
      <c r="T136" s="314">
        <v>0</v>
      </c>
      <c r="U136" s="314">
        <v>0</v>
      </c>
      <c r="V136" s="314">
        <v>0</v>
      </c>
      <c r="W136" s="314">
        <v>0</v>
      </c>
      <c r="X136" s="314">
        <v>0</v>
      </c>
      <c r="Y136" s="314">
        <v>0</v>
      </c>
      <c r="Z136" s="314">
        <v>0</v>
      </c>
      <c r="AA136" s="314">
        <v>0</v>
      </c>
      <c r="AB136" s="314">
        <v>0</v>
      </c>
      <c r="AC136" s="314">
        <v>0</v>
      </c>
      <c r="AD136" s="314">
        <v>0</v>
      </c>
      <c r="AE136" s="314">
        <v>0</v>
      </c>
      <c r="AF136" s="314">
        <v>0</v>
      </c>
      <c r="AG136" s="124">
        <v>0</v>
      </c>
      <c r="AH136" s="124">
        <v>0</v>
      </c>
      <c r="AI136" s="124">
        <v>0</v>
      </c>
      <c r="AJ136" s="124">
        <v>0</v>
      </c>
      <c r="AK136" s="124">
        <v>0</v>
      </c>
      <c r="AL136" s="124">
        <v>0</v>
      </c>
      <c r="AM136" s="124">
        <v>0</v>
      </c>
      <c r="AN136" s="124">
        <v>0</v>
      </c>
      <c r="AO136" s="124">
        <v>0</v>
      </c>
      <c r="AP136" s="124">
        <v>0</v>
      </c>
      <c r="AQ136" s="124">
        <v>0</v>
      </c>
      <c r="AR136" s="124"/>
      <c r="AS136" s="124"/>
      <c r="AT136" s="124"/>
      <c r="AU136" s="124"/>
      <c r="AV136" s="124"/>
      <c r="AW136" s="355"/>
      <c r="AX136" s="269"/>
      <c r="AY136" s="269"/>
      <c r="AZ136" s="396">
        <v>37995.541666666169</v>
      </c>
      <c r="BA136" s="402">
        <v>37995.583333332834</v>
      </c>
      <c r="BB136" s="258">
        <v>0</v>
      </c>
      <c r="BC136" s="124">
        <v>0</v>
      </c>
      <c r="BD136" s="272">
        <v>0</v>
      </c>
      <c r="BE136" s="124">
        <v>0</v>
      </c>
      <c r="BF136" s="314">
        <v>0</v>
      </c>
      <c r="BG136" s="124">
        <v>0</v>
      </c>
      <c r="BH136" s="124">
        <v>0</v>
      </c>
      <c r="BI136" s="124">
        <v>0</v>
      </c>
      <c r="BJ136" s="272">
        <v>0</v>
      </c>
      <c r="BK136" s="124">
        <v>0</v>
      </c>
      <c r="BL136" s="314">
        <v>0</v>
      </c>
      <c r="BM136" s="314">
        <v>0</v>
      </c>
      <c r="BN136" s="314">
        <v>0</v>
      </c>
      <c r="BO136" s="314">
        <v>0</v>
      </c>
      <c r="BP136" s="314">
        <v>0</v>
      </c>
      <c r="BQ136" s="314">
        <v>0</v>
      </c>
      <c r="BR136" s="314">
        <v>0</v>
      </c>
      <c r="BS136" s="314">
        <v>0</v>
      </c>
      <c r="BT136" s="314">
        <v>0</v>
      </c>
      <c r="BU136" s="314">
        <v>0</v>
      </c>
      <c r="BV136" s="314">
        <v>0</v>
      </c>
      <c r="BW136" s="314">
        <v>0</v>
      </c>
      <c r="BX136" s="314">
        <v>0</v>
      </c>
      <c r="BY136" s="314">
        <v>0</v>
      </c>
      <c r="BZ136" s="314">
        <v>0</v>
      </c>
      <c r="CA136" s="314">
        <v>0</v>
      </c>
      <c r="CB136" s="314">
        <v>0</v>
      </c>
      <c r="CC136" s="314">
        <v>0</v>
      </c>
      <c r="CD136" s="124">
        <v>0</v>
      </c>
      <c r="CE136" s="124">
        <v>0</v>
      </c>
      <c r="CF136" s="124">
        <v>0</v>
      </c>
      <c r="CG136" s="124">
        <v>0</v>
      </c>
      <c r="CH136" s="124">
        <v>0</v>
      </c>
      <c r="CI136" s="124">
        <v>0</v>
      </c>
      <c r="CJ136" s="124">
        <v>0</v>
      </c>
      <c r="CK136" s="124">
        <v>0</v>
      </c>
      <c r="CL136" s="124">
        <v>0</v>
      </c>
      <c r="CM136" s="124">
        <v>0</v>
      </c>
      <c r="CN136" s="124">
        <v>0</v>
      </c>
      <c r="CO136" s="124"/>
      <c r="CP136" s="124"/>
      <c r="CQ136" s="124"/>
      <c r="CR136" s="124"/>
      <c r="CS136" s="124"/>
      <c r="CT136" s="355"/>
      <c r="CU136" s="269"/>
      <c r="CV136" s="269"/>
      <c r="CW136" s="269"/>
      <c r="CX136" s="269"/>
      <c r="CY136" s="269"/>
      <c r="CZ136" s="269"/>
      <c r="DA136" s="269"/>
      <c r="DB136" s="269"/>
      <c r="DC136" s="269"/>
      <c r="DD136" s="269"/>
      <c r="DE136" s="269"/>
      <c r="DF136" s="269"/>
      <c r="DG136" s="269"/>
      <c r="DH136" s="269"/>
      <c r="DI136" s="269"/>
      <c r="DJ136" s="269"/>
      <c r="DK136" s="269"/>
      <c r="DL136" s="269"/>
      <c r="DM136" s="269"/>
      <c r="DN136" s="269"/>
      <c r="DO136" s="269"/>
      <c r="DP136" s="269"/>
      <c r="DQ136" s="269"/>
      <c r="DR136" s="269"/>
      <c r="DS136" s="269"/>
      <c r="DT136" s="269"/>
      <c r="DU136" s="269"/>
      <c r="DV136" s="269"/>
      <c r="DW136" s="269"/>
      <c r="DX136" s="269"/>
      <c r="DY136" s="269"/>
      <c r="DZ136" s="269"/>
      <c r="EA136" s="269"/>
      <c r="EB136" s="269"/>
    </row>
    <row r="137" spans="1:132" ht="15">
      <c r="A137" s="269"/>
      <c r="B137" s="269"/>
      <c r="C137" s="396">
        <v>37995.583333332834</v>
      </c>
      <c r="D137" s="402">
        <v>37995.624999999498</v>
      </c>
      <c r="E137" s="258">
        <v>0</v>
      </c>
      <c r="F137" s="124">
        <v>0</v>
      </c>
      <c r="G137" s="272">
        <v>0</v>
      </c>
      <c r="H137" s="124">
        <v>0</v>
      </c>
      <c r="I137" s="314">
        <v>0</v>
      </c>
      <c r="J137" s="124">
        <v>0</v>
      </c>
      <c r="K137" s="124">
        <v>0</v>
      </c>
      <c r="L137" s="124">
        <v>0</v>
      </c>
      <c r="M137" s="272">
        <v>0</v>
      </c>
      <c r="N137" s="124">
        <v>0</v>
      </c>
      <c r="O137" s="314">
        <v>0</v>
      </c>
      <c r="P137" s="314">
        <v>0</v>
      </c>
      <c r="Q137" s="314">
        <v>0</v>
      </c>
      <c r="R137" s="314">
        <v>0</v>
      </c>
      <c r="S137" s="314">
        <v>0</v>
      </c>
      <c r="T137" s="314">
        <v>0</v>
      </c>
      <c r="U137" s="314">
        <v>0</v>
      </c>
      <c r="V137" s="314">
        <v>0</v>
      </c>
      <c r="W137" s="314">
        <v>0</v>
      </c>
      <c r="X137" s="314">
        <v>0</v>
      </c>
      <c r="Y137" s="314">
        <v>0</v>
      </c>
      <c r="Z137" s="314">
        <v>0</v>
      </c>
      <c r="AA137" s="314">
        <v>0</v>
      </c>
      <c r="AB137" s="314">
        <v>0</v>
      </c>
      <c r="AC137" s="314">
        <v>0</v>
      </c>
      <c r="AD137" s="314">
        <v>0</v>
      </c>
      <c r="AE137" s="314">
        <v>0</v>
      </c>
      <c r="AF137" s="314">
        <v>0</v>
      </c>
      <c r="AG137" s="124">
        <v>0</v>
      </c>
      <c r="AH137" s="124">
        <v>0</v>
      </c>
      <c r="AI137" s="124">
        <v>0</v>
      </c>
      <c r="AJ137" s="124">
        <v>0</v>
      </c>
      <c r="AK137" s="124">
        <v>0</v>
      </c>
      <c r="AL137" s="124">
        <v>0</v>
      </c>
      <c r="AM137" s="124">
        <v>0</v>
      </c>
      <c r="AN137" s="124">
        <v>0</v>
      </c>
      <c r="AO137" s="124">
        <v>0</v>
      </c>
      <c r="AP137" s="124">
        <v>0</v>
      </c>
      <c r="AQ137" s="124">
        <v>0</v>
      </c>
      <c r="AR137" s="124"/>
      <c r="AS137" s="124"/>
      <c r="AT137" s="124"/>
      <c r="AU137" s="124"/>
      <c r="AV137" s="124"/>
      <c r="AW137" s="355"/>
      <c r="AX137" s="269"/>
      <c r="AY137" s="269"/>
      <c r="AZ137" s="396">
        <v>37995.583333332834</v>
      </c>
      <c r="BA137" s="402">
        <v>37995.624999999498</v>
      </c>
      <c r="BB137" s="258">
        <v>0</v>
      </c>
      <c r="BC137" s="124">
        <v>0</v>
      </c>
      <c r="BD137" s="272">
        <v>0</v>
      </c>
      <c r="BE137" s="124">
        <v>0</v>
      </c>
      <c r="BF137" s="314">
        <v>0</v>
      </c>
      <c r="BG137" s="124">
        <v>0</v>
      </c>
      <c r="BH137" s="124">
        <v>0</v>
      </c>
      <c r="BI137" s="124">
        <v>0</v>
      </c>
      <c r="BJ137" s="272">
        <v>0</v>
      </c>
      <c r="BK137" s="124">
        <v>0</v>
      </c>
      <c r="BL137" s="314">
        <v>0</v>
      </c>
      <c r="BM137" s="314">
        <v>0</v>
      </c>
      <c r="BN137" s="314">
        <v>0</v>
      </c>
      <c r="BO137" s="314">
        <v>0</v>
      </c>
      <c r="BP137" s="314">
        <v>0</v>
      </c>
      <c r="BQ137" s="314">
        <v>0</v>
      </c>
      <c r="BR137" s="314">
        <v>0</v>
      </c>
      <c r="BS137" s="314">
        <v>0</v>
      </c>
      <c r="BT137" s="314">
        <v>0</v>
      </c>
      <c r="BU137" s="314">
        <v>0</v>
      </c>
      <c r="BV137" s="314">
        <v>0</v>
      </c>
      <c r="BW137" s="314">
        <v>0</v>
      </c>
      <c r="BX137" s="314">
        <v>0</v>
      </c>
      <c r="BY137" s="314">
        <v>0</v>
      </c>
      <c r="BZ137" s="314">
        <v>0</v>
      </c>
      <c r="CA137" s="314">
        <v>0</v>
      </c>
      <c r="CB137" s="314">
        <v>0</v>
      </c>
      <c r="CC137" s="314">
        <v>0</v>
      </c>
      <c r="CD137" s="124">
        <v>0</v>
      </c>
      <c r="CE137" s="124">
        <v>0</v>
      </c>
      <c r="CF137" s="124">
        <v>0</v>
      </c>
      <c r="CG137" s="124">
        <v>0</v>
      </c>
      <c r="CH137" s="124">
        <v>0</v>
      </c>
      <c r="CI137" s="124">
        <v>0</v>
      </c>
      <c r="CJ137" s="124">
        <v>0</v>
      </c>
      <c r="CK137" s="124">
        <v>0</v>
      </c>
      <c r="CL137" s="124">
        <v>0</v>
      </c>
      <c r="CM137" s="124">
        <v>0</v>
      </c>
      <c r="CN137" s="124">
        <v>0</v>
      </c>
      <c r="CO137" s="124"/>
      <c r="CP137" s="124"/>
      <c r="CQ137" s="124"/>
      <c r="CR137" s="124"/>
      <c r="CS137" s="124"/>
      <c r="CT137" s="355"/>
      <c r="CU137" s="269"/>
      <c r="CV137" s="269"/>
      <c r="CW137" s="269"/>
      <c r="CX137" s="269"/>
      <c r="CY137" s="269"/>
      <c r="CZ137" s="269"/>
      <c r="DA137" s="269"/>
      <c r="DB137" s="269"/>
      <c r="DC137" s="269"/>
      <c r="DD137" s="269"/>
      <c r="DE137" s="269"/>
      <c r="DF137" s="269"/>
      <c r="DG137" s="269"/>
      <c r="DH137" s="269"/>
      <c r="DI137" s="269"/>
      <c r="DJ137" s="269"/>
      <c r="DK137" s="269"/>
      <c r="DL137" s="269"/>
      <c r="DM137" s="269"/>
      <c r="DN137" s="269"/>
      <c r="DO137" s="269"/>
      <c r="DP137" s="269"/>
      <c r="DQ137" s="269"/>
      <c r="DR137" s="269"/>
      <c r="DS137" s="269"/>
      <c r="DT137" s="269"/>
      <c r="DU137" s="269"/>
      <c r="DV137" s="269"/>
      <c r="DW137" s="269"/>
      <c r="DX137" s="269"/>
      <c r="DY137" s="269"/>
      <c r="DZ137" s="269"/>
      <c r="EA137" s="269"/>
      <c r="EB137" s="269"/>
    </row>
    <row r="138" spans="1:132" ht="15">
      <c r="A138" s="269"/>
      <c r="B138" s="269"/>
      <c r="C138" s="396">
        <v>37995.624999999498</v>
      </c>
      <c r="D138" s="402">
        <v>37995.666666666162</v>
      </c>
      <c r="E138" s="258">
        <v>0</v>
      </c>
      <c r="F138" s="124">
        <v>0</v>
      </c>
      <c r="G138" s="272">
        <v>0</v>
      </c>
      <c r="H138" s="124">
        <v>0</v>
      </c>
      <c r="I138" s="314">
        <v>0</v>
      </c>
      <c r="J138" s="124">
        <v>0</v>
      </c>
      <c r="K138" s="124">
        <v>0</v>
      </c>
      <c r="L138" s="124">
        <v>0</v>
      </c>
      <c r="M138" s="272">
        <v>0</v>
      </c>
      <c r="N138" s="124">
        <v>0</v>
      </c>
      <c r="O138" s="314">
        <v>0</v>
      </c>
      <c r="P138" s="314">
        <v>0</v>
      </c>
      <c r="Q138" s="314">
        <v>0</v>
      </c>
      <c r="R138" s="314">
        <v>0</v>
      </c>
      <c r="S138" s="314">
        <v>0</v>
      </c>
      <c r="T138" s="314">
        <v>0</v>
      </c>
      <c r="U138" s="314">
        <v>0</v>
      </c>
      <c r="V138" s="314">
        <v>0</v>
      </c>
      <c r="W138" s="314">
        <v>0</v>
      </c>
      <c r="X138" s="314">
        <v>0</v>
      </c>
      <c r="Y138" s="314">
        <v>0</v>
      </c>
      <c r="Z138" s="314">
        <v>0</v>
      </c>
      <c r="AA138" s="314">
        <v>0</v>
      </c>
      <c r="AB138" s="314">
        <v>0</v>
      </c>
      <c r="AC138" s="314">
        <v>0</v>
      </c>
      <c r="AD138" s="314">
        <v>0</v>
      </c>
      <c r="AE138" s="314">
        <v>0</v>
      </c>
      <c r="AF138" s="314">
        <v>0</v>
      </c>
      <c r="AG138" s="124">
        <v>0</v>
      </c>
      <c r="AH138" s="124">
        <v>0</v>
      </c>
      <c r="AI138" s="124">
        <v>0</v>
      </c>
      <c r="AJ138" s="124">
        <v>0</v>
      </c>
      <c r="AK138" s="124">
        <v>0</v>
      </c>
      <c r="AL138" s="124">
        <v>0</v>
      </c>
      <c r="AM138" s="124">
        <v>0</v>
      </c>
      <c r="AN138" s="124">
        <v>0</v>
      </c>
      <c r="AO138" s="124">
        <v>0</v>
      </c>
      <c r="AP138" s="124">
        <v>0</v>
      </c>
      <c r="AQ138" s="124">
        <v>0</v>
      </c>
      <c r="AR138" s="124"/>
      <c r="AS138" s="124"/>
      <c r="AT138" s="124"/>
      <c r="AU138" s="124"/>
      <c r="AV138" s="124"/>
      <c r="AW138" s="355"/>
      <c r="AX138" s="269"/>
      <c r="AY138" s="269"/>
      <c r="AZ138" s="396">
        <v>37995.624999999498</v>
      </c>
      <c r="BA138" s="402">
        <v>37995.666666666162</v>
      </c>
      <c r="BB138" s="258">
        <v>0</v>
      </c>
      <c r="BC138" s="124">
        <v>0</v>
      </c>
      <c r="BD138" s="272">
        <v>0</v>
      </c>
      <c r="BE138" s="124">
        <v>0</v>
      </c>
      <c r="BF138" s="314">
        <v>0</v>
      </c>
      <c r="BG138" s="124">
        <v>0</v>
      </c>
      <c r="BH138" s="124">
        <v>0</v>
      </c>
      <c r="BI138" s="124">
        <v>0</v>
      </c>
      <c r="BJ138" s="272">
        <v>0</v>
      </c>
      <c r="BK138" s="124">
        <v>0</v>
      </c>
      <c r="BL138" s="314">
        <v>0</v>
      </c>
      <c r="BM138" s="314">
        <v>0</v>
      </c>
      <c r="BN138" s="314">
        <v>0</v>
      </c>
      <c r="BO138" s="314">
        <v>0</v>
      </c>
      <c r="BP138" s="314">
        <v>0</v>
      </c>
      <c r="BQ138" s="314">
        <v>0</v>
      </c>
      <c r="BR138" s="314">
        <v>0</v>
      </c>
      <c r="BS138" s="314">
        <v>0</v>
      </c>
      <c r="BT138" s="314">
        <v>0</v>
      </c>
      <c r="BU138" s="314">
        <v>0</v>
      </c>
      <c r="BV138" s="314">
        <v>0</v>
      </c>
      <c r="BW138" s="314">
        <v>0</v>
      </c>
      <c r="BX138" s="314">
        <v>0</v>
      </c>
      <c r="BY138" s="314">
        <v>0</v>
      </c>
      <c r="BZ138" s="314">
        <v>0</v>
      </c>
      <c r="CA138" s="314">
        <v>0</v>
      </c>
      <c r="CB138" s="314">
        <v>0</v>
      </c>
      <c r="CC138" s="314">
        <v>0</v>
      </c>
      <c r="CD138" s="124">
        <v>0</v>
      </c>
      <c r="CE138" s="124">
        <v>0</v>
      </c>
      <c r="CF138" s="124">
        <v>0</v>
      </c>
      <c r="CG138" s="124">
        <v>0</v>
      </c>
      <c r="CH138" s="124">
        <v>0</v>
      </c>
      <c r="CI138" s="124">
        <v>0</v>
      </c>
      <c r="CJ138" s="124">
        <v>0</v>
      </c>
      <c r="CK138" s="124">
        <v>0</v>
      </c>
      <c r="CL138" s="124">
        <v>0</v>
      </c>
      <c r="CM138" s="124">
        <v>0</v>
      </c>
      <c r="CN138" s="124">
        <v>0</v>
      </c>
      <c r="CO138" s="124"/>
      <c r="CP138" s="124"/>
      <c r="CQ138" s="124"/>
      <c r="CR138" s="124"/>
      <c r="CS138" s="124"/>
      <c r="CT138" s="355"/>
      <c r="CU138" s="269"/>
      <c r="CV138" s="269"/>
      <c r="CW138" s="269"/>
      <c r="CX138" s="269"/>
      <c r="CY138" s="269"/>
      <c r="CZ138" s="269"/>
      <c r="DA138" s="269"/>
      <c r="DB138" s="269"/>
      <c r="DC138" s="269"/>
      <c r="DD138" s="269"/>
      <c r="DE138" s="269"/>
      <c r="DF138" s="269"/>
      <c r="DG138" s="269"/>
      <c r="DH138" s="269"/>
      <c r="DI138" s="269"/>
      <c r="DJ138" s="269"/>
      <c r="DK138" s="269"/>
      <c r="DL138" s="269"/>
      <c r="DM138" s="269"/>
      <c r="DN138" s="269"/>
      <c r="DO138" s="269"/>
      <c r="DP138" s="269"/>
      <c r="DQ138" s="269"/>
      <c r="DR138" s="269"/>
      <c r="DS138" s="269"/>
      <c r="DT138" s="269"/>
      <c r="DU138" s="269"/>
      <c r="DV138" s="269"/>
      <c r="DW138" s="269"/>
      <c r="DX138" s="269"/>
      <c r="DY138" s="269"/>
      <c r="DZ138" s="269"/>
      <c r="EA138" s="269"/>
      <c r="EB138" s="269"/>
    </row>
    <row r="139" spans="1:132" ht="15">
      <c r="A139" s="269"/>
      <c r="B139" s="269"/>
      <c r="C139" s="396">
        <v>37995.666666666162</v>
      </c>
      <c r="D139" s="402">
        <v>37995.708333332826</v>
      </c>
      <c r="E139" s="258">
        <v>0</v>
      </c>
      <c r="F139" s="124">
        <v>0</v>
      </c>
      <c r="G139" s="272">
        <v>0</v>
      </c>
      <c r="H139" s="124">
        <v>0</v>
      </c>
      <c r="I139" s="314">
        <v>0</v>
      </c>
      <c r="J139" s="124">
        <v>0</v>
      </c>
      <c r="K139" s="124">
        <v>0</v>
      </c>
      <c r="L139" s="124">
        <v>0</v>
      </c>
      <c r="M139" s="272">
        <v>0</v>
      </c>
      <c r="N139" s="124">
        <v>0</v>
      </c>
      <c r="O139" s="314">
        <v>0</v>
      </c>
      <c r="P139" s="314">
        <v>0</v>
      </c>
      <c r="Q139" s="314">
        <v>0</v>
      </c>
      <c r="R139" s="314">
        <v>0</v>
      </c>
      <c r="S139" s="314">
        <v>0</v>
      </c>
      <c r="T139" s="314">
        <v>0</v>
      </c>
      <c r="U139" s="314">
        <v>0</v>
      </c>
      <c r="V139" s="314">
        <v>0</v>
      </c>
      <c r="W139" s="314">
        <v>0</v>
      </c>
      <c r="X139" s="314">
        <v>0</v>
      </c>
      <c r="Y139" s="314">
        <v>0</v>
      </c>
      <c r="Z139" s="314">
        <v>0</v>
      </c>
      <c r="AA139" s="314">
        <v>0</v>
      </c>
      <c r="AB139" s="314">
        <v>0</v>
      </c>
      <c r="AC139" s="314">
        <v>0</v>
      </c>
      <c r="AD139" s="314">
        <v>0</v>
      </c>
      <c r="AE139" s="314">
        <v>0</v>
      </c>
      <c r="AF139" s="314">
        <v>0</v>
      </c>
      <c r="AG139" s="124">
        <v>0</v>
      </c>
      <c r="AH139" s="124">
        <v>0</v>
      </c>
      <c r="AI139" s="124">
        <v>0</v>
      </c>
      <c r="AJ139" s="124">
        <v>0</v>
      </c>
      <c r="AK139" s="124">
        <v>0</v>
      </c>
      <c r="AL139" s="124">
        <v>0</v>
      </c>
      <c r="AM139" s="124">
        <v>0</v>
      </c>
      <c r="AN139" s="124">
        <v>0</v>
      </c>
      <c r="AO139" s="124">
        <v>0</v>
      </c>
      <c r="AP139" s="124">
        <v>0</v>
      </c>
      <c r="AQ139" s="124">
        <v>0</v>
      </c>
      <c r="AR139" s="124"/>
      <c r="AS139" s="124"/>
      <c r="AT139" s="124"/>
      <c r="AU139" s="124"/>
      <c r="AV139" s="124"/>
      <c r="AW139" s="355"/>
      <c r="AX139" s="269"/>
      <c r="AY139" s="269"/>
      <c r="AZ139" s="396">
        <v>37995.666666666162</v>
      </c>
      <c r="BA139" s="402">
        <v>37995.708333332826</v>
      </c>
      <c r="BB139" s="258">
        <v>0</v>
      </c>
      <c r="BC139" s="124">
        <v>0</v>
      </c>
      <c r="BD139" s="272">
        <v>0</v>
      </c>
      <c r="BE139" s="124">
        <v>0</v>
      </c>
      <c r="BF139" s="314">
        <v>0</v>
      </c>
      <c r="BG139" s="124">
        <v>0</v>
      </c>
      <c r="BH139" s="124">
        <v>0</v>
      </c>
      <c r="BI139" s="124">
        <v>0</v>
      </c>
      <c r="BJ139" s="272">
        <v>0</v>
      </c>
      <c r="BK139" s="124">
        <v>0</v>
      </c>
      <c r="BL139" s="314">
        <v>0</v>
      </c>
      <c r="BM139" s="314">
        <v>0</v>
      </c>
      <c r="BN139" s="314">
        <v>0</v>
      </c>
      <c r="BO139" s="314">
        <v>0</v>
      </c>
      <c r="BP139" s="314">
        <v>0</v>
      </c>
      <c r="BQ139" s="314">
        <v>0</v>
      </c>
      <c r="BR139" s="314">
        <v>0</v>
      </c>
      <c r="BS139" s="314">
        <v>0</v>
      </c>
      <c r="BT139" s="314">
        <v>0</v>
      </c>
      <c r="BU139" s="314">
        <v>0</v>
      </c>
      <c r="BV139" s="314">
        <v>0</v>
      </c>
      <c r="BW139" s="314">
        <v>0</v>
      </c>
      <c r="BX139" s="314">
        <v>0</v>
      </c>
      <c r="BY139" s="314">
        <v>0</v>
      </c>
      <c r="BZ139" s="314">
        <v>0</v>
      </c>
      <c r="CA139" s="314">
        <v>0</v>
      </c>
      <c r="CB139" s="314">
        <v>0</v>
      </c>
      <c r="CC139" s="314">
        <v>0</v>
      </c>
      <c r="CD139" s="124">
        <v>0</v>
      </c>
      <c r="CE139" s="124">
        <v>0</v>
      </c>
      <c r="CF139" s="124">
        <v>0</v>
      </c>
      <c r="CG139" s="124">
        <v>0</v>
      </c>
      <c r="CH139" s="124">
        <v>0</v>
      </c>
      <c r="CI139" s="124">
        <v>0</v>
      </c>
      <c r="CJ139" s="124">
        <v>0</v>
      </c>
      <c r="CK139" s="124">
        <v>0</v>
      </c>
      <c r="CL139" s="124">
        <v>0</v>
      </c>
      <c r="CM139" s="124">
        <v>0</v>
      </c>
      <c r="CN139" s="124">
        <v>0</v>
      </c>
      <c r="CO139" s="124"/>
      <c r="CP139" s="124"/>
      <c r="CQ139" s="124"/>
      <c r="CR139" s="124"/>
      <c r="CS139" s="124"/>
      <c r="CT139" s="355"/>
      <c r="CU139" s="269"/>
      <c r="CV139" s="269"/>
      <c r="CW139" s="269"/>
      <c r="CX139" s="269"/>
      <c r="CY139" s="269"/>
      <c r="CZ139" s="269"/>
      <c r="DA139" s="269"/>
      <c r="DB139" s="269"/>
      <c r="DC139" s="269"/>
      <c r="DD139" s="269"/>
      <c r="DE139" s="269"/>
      <c r="DF139" s="269"/>
      <c r="DG139" s="269"/>
      <c r="DH139" s="269"/>
      <c r="DI139" s="269"/>
      <c r="DJ139" s="269"/>
      <c r="DK139" s="269"/>
      <c r="DL139" s="269"/>
      <c r="DM139" s="269"/>
      <c r="DN139" s="269"/>
      <c r="DO139" s="269"/>
      <c r="DP139" s="269"/>
      <c r="DQ139" s="269"/>
      <c r="DR139" s="269"/>
      <c r="DS139" s="269"/>
      <c r="DT139" s="269"/>
      <c r="DU139" s="269"/>
      <c r="DV139" s="269"/>
      <c r="DW139" s="269"/>
      <c r="DX139" s="269"/>
      <c r="DY139" s="269"/>
      <c r="DZ139" s="269"/>
      <c r="EA139" s="269"/>
      <c r="EB139" s="269"/>
    </row>
    <row r="140" spans="1:132" ht="15">
      <c r="A140" s="269"/>
      <c r="B140" s="269"/>
      <c r="C140" s="396">
        <v>37995.708333332826</v>
      </c>
      <c r="D140" s="402">
        <v>37995.749999999491</v>
      </c>
      <c r="E140" s="258">
        <v>0</v>
      </c>
      <c r="F140" s="124">
        <v>0</v>
      </c>
      <c r="G140" s="272">
        <v>0</v>
      </c>
      <c r="H140" s="124">
        <v>0</v>
      </c>
      <c r="I140" s="314">
        <v>0</v>
      </c>
      <c r="J140" s="124">
        <v>0</v>
      </c>
      <c r="K140" s="124">
        <v>0</v>
      </c>
      <c r="L140" s="124">
        <v>0</v>
      </c>
      <c r="M140" s="272">
        <v>0</v>
      </c>
      <c r="N140" s="124">
        <v>0</v>
      </c>
      <c r="O140" s="314">
        <v>0</v>
      </c>
      <c r="P140" s="314">
        <v>0</v>
      </c>
      <c r="Q140" s="314">
        <v>0</v>
      </c>
      <c r="R140" s="314">
        <v>0</v>
      </c>
      <c r="S140" s="314">
        <v>0</v>
      </c>
      <c r="T140" s="314">
        <v>0</v>
      </c>
      <c r="U140" s="314">
        <v>0</v>
      </c>
      <c r="V140" s="314">
        <v>0</v>
      </c>
      <c r="W140" s="314">
        <v>0</v>
      </c>
      <c r="X140" s="314">
        <v>0</v>
      </c>
      <c r="Y140" s="314">
        <v>0</v>
      </c>
      <c r="Z140" s="314">
        <v>0</v>
      </c>
      <c r="AA140" s="314">
        <v>0</v>
      </c>
      <c r="AB140" s="314">
        <v>0</v>
      </c>
      <c r="AC140" s="314">
        <v>0</v>
      </c>
      <c r="AD140" s="314">
        <v>0</v>
      </c>
      <c r="AE140" s="314">
        <v>0</v>
      </c>
      <c r="AF140" s="314">
        <v>0</v>
      </c>
      <c r="AG140" s="124">
        <v>0</v>
      </c>
      <c r="AH140" s="124">
        <v>0</v>
      </c>
      <c r="AI140" s="124">
        <v>0</v>
      </c>
      <c r="AJ140" s="124">
        <v>0</v>
      </c>
      <c r="AK140" s="124">
        <v>0</v>
      </c>
      <c r="AL140" s="124">
        <v>0</v>
      </c>
      <c r="AM140" s="124">
        <v>0</v>
      </c>
      <c r="AN140" s="124">
        <v>0</v>
      </c>
      <c r="AO140" s="124">
        <v>0</v>
      </c>
      <c r="AP140" s="124">
        <v>0</v>
      </c>
      <c r="AQ140" s="124">
        <v>0</v>
      </c>
      <c r="AR140" s="124"/>
      <c r="AS140" s="124"/>
      <c r="AT140" s="124"/>
      <c r="AU140" s="124"/>
      <c r="AV140" s="124"/>
      <c r="AW140" s="355"/>
      <c r="AX140" s="269"/>
      <c r="AY140" s="269"/>
      <c r="AZ140" s="396">
        <v>37995.708333332826</v>
      </c>
      <c r="BA140" s="402">
        <v>37995.749999999491</v>
      </c>
      <c r="BB140" s="258">
        <v>0</v>
      </c>
      <c r="BC140" s="124">
        <v>0</v>
      </c>
      <c r="BD140" s="272">
        <v>0</v>
      </c>
      <c r="BE140" s="124">
        <v>0</v>
      </c>
      <c r="BF140" s="314">
        <v>0</v>
      </c>
      <c r="BG140" s="124">
        <v>0</v>
      </c>
      <c r="BH140" s="124">
        <v>0</v>
      </c>
      <c r="BI140" s="124">
        <v>0</v>
      </c>
      <c r="BJ140" s="272">
        <v>0</v>
      </c>
      <c r="BK140" s="124">
        <v>0</v>
      </c>
      <c r="BL140" s="314">
        <v>0</v>
      </c>
      <c r="BM140" s="314">
        <v>0</v>
      </c>
      <c r="BN140" s="314">
        <v>0</v>
      </c>
      <c r="BO140" s="314">
        <v>0</v>
      </c>
      <c r="BP140" s="314">
        <v>0</v>
      </c>
      <c r="BQ140" s="314">
        <v>0</v>
      </c>
      <c r="BR140" s="314">
        <v>0</v>
      </c>
      <c r="BS140" s="314">
        <v>0</v>
      </c>
      <c r="BT140" s="314">
        <v>0</v>
      </c>
      <c r="BU140" s="314">
        <v>0</v>
      </c>
      <c r="BV140" s="314">
        <v>0</v>
      </c>
      <c r="BW140" s="314">
        <v>0</v>
      </c>
      <c r="BX140" s="314">
        <v>0</v>
      </c>
      <c r="BY140" s="314">
        <v>0</v>
      </c>
      <c r="BZ140" s="314">
        <v>0</v>
      </c>
      <c r="CA140" s="314">
        <v>0</v>
      </c>
      <c r="CB140" s="314">
        <v>0</v>
      </c>
      <c r="CC140" s="314">
        <v>0</v>
      </c>
      <c r="CD140" s="124">
        <v>0</v>
      </c>
      <c r="CE140" s="124">
        <v>0</v>
      </c>
      <c r="CF140" s="124">
        <v>0</v>
      </c>
      <c r="CG140" s="124">
        <v>0</v>
      </c>
      <c r="CH140" s="124">
        <v>0</v>
      </c>
      <c r="CI140" s="124">
        <v>0</v>
      </c>
      <c r="CJ140" s="124">
        <v>0</v>
      </c>
      <c r="CK140" s="124">
        <v>0</v>
      </c>
      <c r="CL140" s="124">
        <v>0</v>
      </c>
      <c r="CM140" s="124">
        <v>0</v>
      </c>
      <c r="CN140" s="124">
        <v>0</v>
      </c>
      <c r="CO140" s="124"/>
      <c r="CP140" s="124"/>
      <c r="CQ140" s="124"/>
      <c r="CR140" s="124"/>
      <c r="CS140" s="124"/>
      <c r="CT140" s="355"/>
      <c r="CU140" s="269"/>
      <c r="CV140" s="269"/>
      <c r="CW140" s="269"/>
      <c r="CX140" s="269"/>
      <c r="CY140" s="269"/>
      <c r="CZ140" s="269"/>
      <c r="DA140" s="269"/>
      <c r="DB140" s="269"/>
      <c r="DC140" s="269"/>
      <c r="DD140" s="269"/>
      <c r="DE140" s="269"/>
      <c r="DF140" s="269"/>
      <c r="DG140" s="269"/>
      <c r="DH140" s="269"/>
      <c r="DI140" s="269"/>
      <c r="DJ140" s="269"/>
      <c r="DK140" s="269"/>
      <c r="DL140" s="269"/>
      <c r="DM140" s="269"/>
      <c r="DN140" s="269"/>
      <c r="DO140" s="269"/>
      <c r="DP140" s="269"/>
      <c r="DQ140" s="269"/>
      <c r="DR140" s="269"/>
      <c r="DS140" s="269"/>
      <c r="DT140" s="269"/>
      <c r="DU140" s="269"/>
      <c r="DV140" s="269"/>
      <c r="DW140" s="269"/>
      <c r="DX140" s="269"/>
      <c r="DY140" s="269"/>
      <c r="DZ140" s="269"/>
      <c r="EA140" s="269"/>
      <c r="EB140" s="269"/>
    </row>
    <row r="141" spans="1:132" ht="15">
      <c r="A141" s="269"/>
      <c r="B141" s="269"/>
      <c r="C141" s="398">
        <v>37995.749999999491</v>
      </c>
      <c r="D141" s="403">
        <v>37995.791666666155</v>
      </c>
      <c r="E141" s="261">
        <v>0</v>
      </c>
      <c r="F141" s="125">
        <v>0</v>
      </c>
      <c r="G141" s="273">
        <v>0</v>
      </c>
      <c r="H141" s="125">
        <v>0</v>
      </c>
      <c r="I141" s="315">
        <v>0</v>
      </c>
      <c r="J141" s="125">
        <v>0</v>
      </c>
      <c r="K141" s="125">
        <v>0</v>
      </c>
      <c r="L141" s="125">
        <v>0</v>
      </c>
      <c r="M141" s="273">
        <v>0</v>
      </c>
      <c r="N141" s="125">
        <v>0</v>
      </c>
      <c r="O141" s="315">
        <v>0</v>
      </c>
      <c r="P141" s="315">
        <v>0</v>
      </c>
      <c r="Q141" s="315">
        <v>0</v>
      </c>
      <c r="R141" s="315">
        <v>0</v>
      </c>
      <c r="S141" s="315">
        <v>0</v>
      </c>
      <c r="T141" s="315">
        <v>0</v>
      </c>
      <c r="U141" s="315">
        <v>0</v>
      </c>
      <c r="V141" s="315">
        <v>0</v>
      </c>
      <c r="W141" s="315">
        <v>0</v>
      </c>
      <c r="X141" s="315">
        <v>0</v>
      </c>
      <c r="Y141" s="315">
        <v>0</v>
      </c>
      <c r="Z141" s="315">
        <v>0</v>
      </c>
      <c r="AA141" s="315">
        <v>0</v>
      </c>
      <c r="AB141" s="315">
        <v>0</v>
      </c>
      <c r="AC141" s="315">
        <v>0</v>
      </c>
      <c r="AD141" s="315">
        <v>0</v>
      </c>
      <c r="AE141" s="315">
        <v>0</v>
      </c>
      <c r="AF141" s="315">
        <v>0</v>
      </c>
      <c r="AG141" s="315">
        <v>0</v>
      </c>
      <c r="AH141" s="125">
        <v>0</v>
      </c>
      <c r="AI141" s="125">
        <v>0</v>
      </c>
      <c r="AJ141" s="125">
        <v>0</v>
      </c>
      <c r="AK141" s="125">
        <v>0</v>
      </c>
      <c r="AL141" s="125">
        <v>0</v>
      </c>
      <c r="AM141" s="125">
        <v>0</v>
      </c>
      <c r="AN141" s="125">
        <v>0</v>
      </c>
      <c r="AO141" s="125">
        <v>0</v>
      </c>
      <c r="AP141" s="125">
        <v>0</v>
      </c>
      <c r="AQ141" s="125">
        <v>0</v>
      </c>
      <c r="AR141" s="125"/>
      <c r="AS141" s="125"/>
      <c r="AT141" s="125"/>
      <c r="AU141" s="125"/>
      <c r="AV141" s="125"/>
      <c r="AW141" s="356"/>
      <c r="AX141" s="269"/>
      <c r="AY141" s="269"/>
      <c r="AZ141" s="398">
        <v>37995.749999999491</v>
      </c>
      <c r="BA141" s="403">
        <v>37995.791666666155</v>
      </c>
      <c r="BB141" s="261">
        <v>0</v>
      </c>
      <c r="BC141" s="125">
        <v>0</v>
      </c>
      <c r="BD141" s="273">
        <v>0</v>
      </c>
      <c r="BE141" s="125">
        <v>0</v>
      </c>
      <c r="BF141" s="315">
        <v>0</v>
      </c>
      <c r="BG141" s="125">
        <v>0</v>
      </c>
      <c r="BH141" s="125">
        <v>0</v>
      </c>
      <c r="BI141" s="125">
        <v>0</v>
      </c>
      <c r="BJ141" s="273">
        <v>0</v>
      </c>
      <c r="BK141" s="125">
        <v>0</v>
      </c>
      <c r="BL141" s="315">
        <v>0</v>
      </c>
      <c r="BM141" s="315">
        <v>0</v>
      </c>
      <c r="BN141" s="315">
        <v>0</v>
      </c>
      <c r="BO141" s="315">
        <v>0</v>
      </c>
      <c r="BP141" s="315">
        <v>0</v>
      </c>
      <c r="BQ141" s="315">
        <v>0</v>
      </c>
      <c r="BR141" s="315">
        <v>0</v>
      </c>
      <c r="BS141" s="315">
        <v>0</v>
      </c>
      <c r="BT141" s="315">
        <v>0</v>
      </c>
      <c r="BU141" s="315">
        <v>0</v>
      </c>
      <c r="BV141" s="315">
        <v>0</v>
      </c>
      <c r="BW141" s="315">
        <v>0</v>
      </c>
      <c r="BX141" s="315">
        <v>0</v>
      </c>
      <c r="BY141" s="315">
        <v>0</v>
      </c>
      <c r="BZ141" s="315">
        <v>0</v>
      </c>
      <c r="CA141" s="315">
        <v>0</v>
      </c>
      <c r="CB141" s="315">
        <v>0</v>
      </c>
      <c r="CC141" s="315">
        <v>0</v>
      </c>
      <c r="CD141" s="315">
        <v>0</v>
      </c>
      <c r="CE141" s="125">
        <v>0</v>
      </c>
      <c r="CF141" s="125">
        <v>0</v>
      </c>
      <c r="CG141" s="125">
        <v>0</v>
      </c>
      <c r="CH141" s="125">
        <v>0</v>
      </c>
      <c r="CI141" s="125">
        <v>0</v>
      </c>
      <c r="CJ141" s="125">
        <v>0</v>
      </c>
      <c r="CK141" s="125">
        <v>0</v>
      </c>
      <c r="CL141" s="125">
        <v>0</v>
      </c>
      <c r="CM141" s="125">
        <v>0</v>
      </c>
      <c r="CN141" s="125">
        <v>0</v>
      </c>
      <c r="CO141" s="125"/>
      <c r="CP141" s="125"/>
      <c r="CQ141" s="125"/>
      <c r="CR141" s="125"/>
      <c r="CS141" s="125"/>
      <c r="CT141" s="356"/>
      <c r="CU141" s="269"/>
      <c r="CV141" s="269"/>
      <c r="CW141" s="269"/>
      <c r="CX141" s="269"/>
      <c r="CY141" s="269"/>
      <c r="CZ141" s="269"/>
      <c r="DA141" s="269"/>
      <c r="DB141" s="269"/>
      <c r="DC141" s="269"/>
      <c r="DD141" s="269"/>
      <c r="DE141" s="269"/>
      <c r="DF141" s="269"/>
      <c r="DG141" s="269"/>
      <c r="DH141" s="269"/>
      <c r="DI141" s="269"/>
      <c r="DJ141" s="269"/>
      <c r="DK141" s="269"/>
      <c r="DL141" s="269"/>
      <c r="DM141" s="269"/>
      <c r="DN141" s="269"/>
      <c r="DO141" s="269"/>
      <c r="DP141" s="269"/>
      <c r="DQ141" s="269"/>
      <c r="DR141" s="269"/>
      <c r="DS141" s="269"/>
      <c r="DT141" s="269"/>
      <c r="DU141" s="269"/>
      <c r="DV141" s="269"/>
      <c r="DW141" s="269"/>
      <c r="DX141" s="269"/>
      <c r="DY141" s="269"/>
      <c r="DZ141" s="269"/>
      <c r="EA141" s="269"/>
      <c r="EB141" s="269"/>
    </row>
    <row r="142" spans="1:132" ht="15">
      <c r="A142" s="269"/>
      <c r="B142" s="269"/>
      <c r="C142" s="398">
        <v>37995.791666666155</v>
      </c>
      <c r="D142" s="403">
        <v>37995.833333332819</v>
      </c>
      <c r="E142" s="261">
        <v>0</v>
      </c>
      <c r="F142" s="125">
        <v>0</v>
      </c>
      <c r="G142" s="273">
        <v>0</v>
      </c>
      <c r="H142" s="125">
        <v>0</v>
      </c>
      <c r="I142" s="315">
        <v>0</v>
      </c>
      <c r="J142" s="125">
        <v>0</v>
      </c>
      <c r="K142" s="125">
        <v>0</v>
      </c>
      <c r="L142" s="125">
        <v>0</v>
      </c>
      <c r="M142" s="273">
        <v>0</v>
      </c>
      <c r="N142" s="125">
        <v>0</v>
      </c>
      <c r="O142" s="315">
        <v>0</v>
      </c>
      <c r="P142" s="315">
        <v>0</v>
      </c>
      <c r="Q142" s="315">
        <v>0</v>
      </c>
      <c r="R142" s="315">
        <v>0</v>
      </c>
      <c r="S142" s="315">
        <v>0</v>
      </c>
      <c r="T142" s="315">
        <v>0</v>
      </c>
      <c r="U142" s="315">
        <v>0</v>
      </c>
      <c r="V142" s="315">
        <v>0</v>
      </c>
      <c r="W142" s="315">
        <v>0</v>
      </c>
      <c r="X142" s="315">
        <v>0</v>
      </c>
      <c r="Y142" s="315">
        <v>0</v>
      </c>
      <c r="Z142" s="315">
        <v>0</v>
      </c>
      <c r="AA142" s="315">
        <v>0</v>
      </c>
      <c r="AB142" s="315">
        <v>0</v>
      </c>
      <c r="AC142" s="315">
        <v>0</v>
      </c>
      <c r="AD142" s="315">
        <v>0</v>
      </c>
      <c r="AE142" s="315">
        <v>0</v>
      </c>
      <c r="AF142" s="315">
        <v>0</v>
      </c>
      <c r="AG142" s="315">
        <v>0</v>
      </c>
      <c r="AH142" s="125">
        <v>0</v>
      </c>
      <c r="AI142" s="125">
        <v>0</v>
      </c>
      <c r="AJ142" s="125">
        <v>0</v>
      </c>
      <c r="AK142" s="125">
        <v>0</v>
      </c>
      <c r="AL142" s="125">
        <v>0</v>
      </c>
      <c r="AM142" s="125">
        <v>0</v>
      </c>
      <c r="AN142" s="125">
        <v>0</v>
      </c>
      <c r="AO142" s="125">
        <v>0</v>
      </c>
      <c r="AP142" s="125">
        <v>0</v>
      </c>
      <c r="AQ142" s="125">
        <v>0</v>
      </c>
      <c r="AR142" s="125"/>
      <c r="AS142" s="125"/>
      <c r="AT142" s="125"/>
      <c r="AU142" s="125"/>
      <c r="AV142" s="125"/>
      <c r="AW142" s="356"/>
      <c r="AX142" s="269"/>
      <c r="AY142" s="269"/>
      <c r="AZ142" s="398">
        <v>37995.791666666155</v>
      </c>
      <c r="BA142" s="403">
        <v>37995.833333332819</v>
      </c>
      <c r="BB142" s="261">
        <v>0</v>
      </c>
      <c r="BC142" s="125">
        <v>0</v>
      </c>
      <c r="BD142" s="273">
        <v>0</v>
      </c>
      <c r="BE142" s="125">
        <v>0</v>
      </c>
      <c r="BF142" s="315">
        <v>0</v>
      </c>
      <c r="BG142" s="125">
        <v>0</v>
      </c>
      <c r="BH142" s="125">
        <v>0</v>
      </c>
      <c r="BI142" s="125">
        <v>0</v>
      </c>
      <c r="BJ142" s="273">
        <v>0</v>
      </c>
      <c r="BK142" s="125">
        <v>0</v>
      </c>
      <c r="BL142" s="315">
        <v>0</v>
      </c>
      <c r="BM142" s="315">
        <v>0</v>
      </c>
      <c r="BN142" s="315">
        <v>0</v>
      </c>
      <c r="BO142" s="315">
        <v>0</v>
      </c>
      <c r="BP142" s="315">
        <v>0</v>
      </c>
      <c r="BQ142" s="315">
        <v>0</v>
      </c>
      <c r="BR142" s="315">
        <v>0</v>
      </c>
      <c r="BS142" s="315">
        <v>0</v>
      </c>
      <c r="BT142" s="315">
        <v>0</v>
      </c>
      <c r="BU142" s="315">
        <v>0</v>
      </c>
      <c r="BV142" s="315">
        <v>0</v>
      </c>
      <c r="BW142" s="315">
        <v>0</v>
      </c>
      <c r="BX142" s="315">
        <v>0</v>
      </c>
      <c r="BY142" s="315">
        <v>0</v>
      </c>
      <c r="BZ142" s="315">
        <v>0</v>
      </c>
      <c r="CA142" s="315">
        <v>0</v>
      </c>
      <c r="CB142" s="315">
        <v>0</v>
      </c>
      <c r="CC142" s="315">
        <v>0</v>
      </c>
      <c r="CD142" s="315">
        <v>0</v>
      </c>
      <c r="CE142" s="125">
        <v>0</v>
      </c>
      <c r="CF142" s="125">
        <v>0</v>
      </c>
      <c r="CG142" s="125">
        <v>0</v>
      </c>
      <c r="CH142" s="125">
        <v>0</v>
      </c>
      <c r="CI142" s="125">
        <v>0</v>
      </c>
      <c r="CJ142" s="125">
        <v>0</v>
      </c>
      <c r="CK142" s="125">
        <v>0</v>
      </c>
      <c r="CL142" s="125">
        <v>0</v>
      </c>
      <c r="CM142" s="125">
        <v>0</v>
      </c>
      <c r="CN142" s="125">
        <v>0</v>
      </c>
      <c r="CO142" s="125"/>
      <c r="CP142" s="125"/>
      <c r="CQ142" s="125"/>
      <c r="CR142" s="125"/>
      <c r="CS142" s="125"/>
      <c r="CT142" s="356"/>
      <c r="CU142" s="269"/>
      <c r="CV142" s="269"/>
      <c r="CW142" s="269"/>
      <c r="CX142" s="269"/>
      <c r="CY142" s="269"/>
      <c r="CZ142" s="269"/>
      <c r="DA142" s="269"/>
      <c r="DB142" s="269"/>
      <c r="DC142" s="269"/>
      <c r="DD142" s="269"/>
      <c r="DE142" s="269"/>
      <c r="DF142" s="269"/>
      <c r="DG142" s="269"/>
      <c r="DH142" s="269"/>
      <c r="DI142" s="269"/>
      <c r="DJ142" s="269"/>
      <c r="DK142" s="269"/>
      <c r="DL142" s="269"/>
      <c r="DM142" s="269"/>
      <c r="DN142" s="269"/>
      <c r="DO142" s="269"/>
      <c r="DP142" s="269"/>
      <c r="DQ142" s="269"/>
      <c r="DR142" s="269"/>
      <c r="DS142" s="269"/>
      <c r="DT142" s="269"/>
      <c r="DU142" s="269"/>
      <c r="DV142" s="269"/>
      <c r="DW142" s="269"/>
      <c r="DX142" s="269"/>
      <c r="DY142" s="269"/>
      <c r="DZ142" s="269"/>
      <c r="EA142" s="269"/>
      <c r="EB142" s="269"/>
    </row>
    <row r="143" spans="1:132" ht="15">
      <c r="A143" s="269"/>
      <c r="B143" s="269"/>
      <c r="C143" s="398">
        <v>37995.833333332819</v>
      </c>
      <c r="D143" s="403">
        <v>37995.874999999483</v>
      </c>
      <c r="E143" s="261">
        <v>0</v>
      </c>
      <c r="F143" s="125">
        <v>0</v>
      </c>
      <c r="G143" s="273">
        <v>0</v>
      </c>
      <c r="H143" s="125">
        <v>0</v>
      </c>
      <c r="I143" s="315">
        <v>0</v>
      </c>
      <c r="J143" s="125">
        <v>0</v>
      </c>
      <c r="K143" s="125">
        <v>0</v>
      </c>
      <c r="L143" s="125">
        <v>0</v>
      </c>
      <c r="M143" s="273">
        <v>0</v>
      </c>
      <c r="N143" s="125">
        <v>0</v>
      </c>
      <c r="O143" s="315">
        <v>0</v>
      </c>
      <c r="P143" s="315">
        <v>0</v>
      </c>
      <c r="Q143" s="315">
        <v>0</v>
      </c>
      <c r="R143" s="315">
        <v>0</v>
      </c>
      <c r="S143" s="315">
        <v>0</v>
      </c>
      <c r="T143" s="315">
        <v>-199.7</v>
      </c>
      <c r="U143" s="315">
        <v>0</v>
      </c>
      <c r="V143" s="315">
        <v>0</v>
      </c>
      <c r="W143" s="315">
        <v>0</v>
      </c>
      <c r="X143" s="315">
        <v>0</v>
      </c>
      <c r="Y143" s="315">
        <v>0</v>
      </c>
      <c r="Z143" s="315">
        <v>0</v>
      </c>
      <c r="AA143" s="315">
        <v>0</v>
      </c>
      <c r="AB143" s="315">
        <v>0</v>
      </c>
      <c r="AC143" s="315">
        <v>0</v>
      </c>
      <c r="AD143" s="315">
        <v>0</v>
      </c>
      <c r="AE143" s="315">
        <v>0</v>
      </c>
      <c r="AF143" s="315">
        <v>0</v>
      </c>
      <c r="AG143" s="315">
        <v>0</v>
      </c>
      <c r="AH143" s="125">
        <v>0</v>
      </c>
      <c r="AI143" s="125">
        <v>0</v>
      </c>
      <c r="AJ143" s="125">
        <v>0</v>
      </c>
      <c r="AK143" s="125">
        <v>0</v>
      </c>
      <c r="AL143" s="125">
        <v>0</v>
      </c>
      <c r="AM143" s="125">
        <v>0</v>
      </c>
      <c r="AN143" s="125">
        <v>0</v>
      </c>
      <c r="AO143" s="125">
        <v>0</v>
      </c>
      <c r="AP143" s="125">
        <v>0</v>
      </c>
      <c r="AQ143" s="125">
        <v>0</v>
      </c>
      <c r="AR143" s="125"/>
      <c r="AS143" s="125"/>
      <c r="AT143" s="125"/>
      <c r="AU143" s="125"/>
      <c r="AV143" s="125"/>
      <c r="AW143" s="356"/>
      <c r="AX143" s="269"/>
      <c r="AY143" s="269"/>
      <c r="AZ143" s="398">
        <v>37995.833333332819</v>
      </c>
      <c r="BA143" s="403">
        <v>37995.874999999483</v>
      </c>
      <c r="BB143" s="261">
        <v>0</v>
      </c>
      <c r="BC143" s="125">
        <v>0</v>
      </c>
      <c r="BD143" s="273">
        <v>0</v>
      </c>
      <c r="BE143" s="125">
        <v>0</v>
      </c>
      <c r="BF143" s="315">
        <v>0</v>
      </c>
      <c r="BG143" s="125">
        <v>0</v>
      </c>
      <c r="BH143" s="125">
        <v>0</v>
      </c>
      <c r="BI143" s="125">
        <v>0</v>
      </c>
      <c r="BJ143" s="273">
        <v>0</v>
      </c>
      <c r="BK143" s="125">
        <v>0</v>
      </c>
      <c r="BL143" s="315">
        <v>0</v>
      </c>
      <c r="BM143" s="315">
        <v>0</v>
      </c>
      <c r="BN143" s="315">
        <v>0</v>
      </c>
      <c r="BO143" s="315">
        <v>0</v>
      </c>
      <c r="BP143" s="315">
        <v>0</v>
      </c>
      <c r="BQ143" s="315">
        <v>0</v>
      </c>
      <c r="BR143" s="315">
        <v>0</v>
      </c>
      <c r="BS143" s="315">
        <v>0</v>
      </c>
      <c r="BT143" s="315">
        <v>0</v>
      </c>
      <c r="BU143" s="315">
        <v>0</v>
      </c>
      <c r="BV143" s="315">
        <v>0</v>
      </c>
      <c r="BW143" s="315">
        <v>0</v>
      </c>
      <c r="BX143" s="315">
        <v>0</v>
      </c>
      <c r="BY143" s="315">
        <v>0</v>
      </c>
      <c r="BZ143" s="315">
        <v>0</v>
      </c>
      <c r="CA143" s="315">
        <v>0</v>
      </c>
      <c r="CB143" s="315">
        <v>0</v>
      </c>
      <c r="CC143" s="315">
        <v>0</v>
      </c>
      <c r="CD143" s="315">
        <v>0</v>
      </c>
      <c r="CE143" s="125">
        <v>0</v>
      </c>
      <c r="CF143" s="125">
        <v>0</v>
      </c>
      <c r="CG143" s="125">
        <v>0</v>
      </c>
      <c r="CH143" s="125">
        <v>0</v>
      </c>
      <c r="CI143" s="125">
        <v>0</v>
      </c>
      <c r="CJ143" s="125">
        <v>0</v>
      </c>
      <c r="CK143" s="125">
        <v>0</v>
      </c>
      <c r="CL143" s="125">
        <v>0</v>
      </c>
      <c r="CM143" s="125">
        <v>0</v>
      </c>
      <c r="CN143" s="125">
        <v>0</v>
      </c>
      <c r="CO143" s="125"/>
      <c r="CP143" s="125"/>
      <c r="CQ143" s="125"/>
      <c r="CR143" s="125"/>
      <c r="CS143" s="125"/>
      <c r="CT143" s="356"/>
      <c r="CU143" s="269"/>
      <c r="CV143" s="269"/>
      <c r="CW143" s="269"/>
      <c r="CX143" s="269"/>
      <c r="CY143" s="269"/>
      <c r="CZ143" s="269"/>
      <c r="DA143" s="269"/>
      <c r="DB143" s="269"/>
      <c r="DC143" s="269"/>
      <c r="DD143" s="269"/>
      <c r="DE143" s="269"/>
      <c r="DF143" s="269"/>
      <c r="DG143" s="269"/>
      <c r="DH143" s="269"/>
      <c r="DI143" s="269"/>
      <c r="DJ143" s="269"/>
      <c r="DK143" s="269"/>
      <c r="DL143" s="269"/>
      <c r="DM143" s="269"/>
      <c r="DN143" s="269"/>
      <c r="DO143" s="269"/>
      <c r="DP143" s="269"/>
      <c r="DQ143" s="269"/>
      <c r="DR143" s="269"/>
      <c r="DS143" s="269"/>
      <c r="DT143" s="269"/>
      <c r="DU143" s="269"/>
      <c r="DV143" s="269"/>
      <c r="DW143" s="269"/>
      <c r="DX143" s="269"/>
      <c r="DY143" s="269"/>
      <c r="DZ143" s="269"/>
      <c r="EA143" s="269"/>
      <c r="EB143" s="269"/>
    </row>
    <row r="144" spans="1:132" ht="15">
      <c r="A144" s="269"/>
      <c r="B144" s="269"/>
      <c r="C144" s="396">
        <v>37995.874999999483</v>
      </c>
      <c r="D144" s="402">
        <v>37995.916666666148</v>
      </c>
      <c r="E144" s="258">
        <v>0</v>
      </c>
      <c r="F144" s="124">
        <v>0</v>
      </c>
      <c r="G144" s="272">
        <v>0</v>
      </c>
      <c r="H144" s="124">
        <v>0</v>
      </c>
      <c r="I144" s="314">
        <v>0</v>
      </c>
      <c r="J144" s="124">
        <v>0</v>
      </c>
      <c r="K144" s="124">
        <v>0</v>
      </c>
      <c r="L144" s="124">
        <v>0</v>
      </c>
      <c r="M144" s="272">
        <v>0</v>
      </c>
      <c r="N144" s="124">
        <v>0</v>
      </c>
      <c r="O144" s="314">
        <v>0</v>
      </c>
      <c r="P144" s="314">
        <v>0</v>
      </c>
      <c r="Q144" s="314">
        <v>0</v>
      </c>
      <c r="R144" s="314">
        <v>0</v>
      </c>
      <c r="S144" s="314">
        <v>0</v>
      </c>
      <c r="T144" s="314">
        <v>0</v>
      </c>
      <c r="U144" s="314">
        <v>0</v>
      </c>
      <c r="V144" s="314">
        <v>0</v>
      </c>
      <c r="W144" s="314">
        <v>0</v>
      </c>
      <c r="X144" s="314">
        <v>0</v>
      </c>
      <c r="Y144" s="314">
        <v>0</v>
      </c>
      <c r="Z144" s="314">
        <v>0</v>
      </c>
      <c r="AA144" s="314">
        <v>0</v>
      </c>
      <c r="AB144" s="314">
        <v>0</v>
      </c>
      <c r="AC144" s="314">
        <v>0</v>
      </c>
      <c r="AD144" s="314">
        <v>0</v>
      </c>
      <c r="AE144" s="314">
        <v>0</v>
      </c>
      <c r="AF144" s="314">
        <v>0</v>
      </c>
      <c r="AG144" s="124">
        <v>0</v>
      </c>
      <c r="AH144" s="124">
        <v>0</v>
      </c>
      <c r="AI144" s="124">
        <v>0</v>
      </c>
      <c r="AJ144" s="124">
        <v>0</v>
      </c>
      <c r="AK144" s="124">
        <v>0</v>
      </c>
      <c r="AL144" s="124">
        <v>0</v>
      </c>
      <c r="AM144" s="124">
        <v>0</v>
      </c>
      <c r="AN144" s="124">
        <v>0</v>
      </c>
      <c r="AO144" s="124">
        <v>0</v>
      </c>
      <c r="AP144" s="124">
        <v>0</v>
      </c>
      <c r="AQ144" s="124">
        <v>0</v>
      </c>
      <c r="AR144" s="124"/>
      <c r="AS144" s="124"/>
      <c r="AT144" s="124"/>
      <c r="AU144" s="124"/>
      <c r="AV144" s="124"/>
      <c r="AW144" s="355"/>
      <c r="AX144" s="269"/>
      <c r="AY144" s="269"/>
      <c r="AZ144" s="396">
        <v>37995.874999999483</v>
      </c>
      <c r="BA144" s="402">
        <v>37995.916666666148</v>
      </c>
      <c r="BB144" s="258">
        <v>0</v>
      </c>
      <c r="BC144" s="124">
        <v>0</v>
      </c>
      <c r="BD144" s="272">
        <v>0</v>
      </c>
      <c r="BE144" s="124">
        <v>0</v>
      </c>
      <c r="BF144" s="314">
        <v>0</v>
      </c>
      <c r="BG144" s="124">
        <v>0</v>
      </c>
      <c r="BH144" s="124">
        <v>0</v>
      </c>
      <c r="BI144" s="124">
        <v>0</v>
      </c>
      <c r="BJ144" s="272">
        <v>0</v>
      </c>
      <c r="BK144" s="124">
        <v>0</v>
      </c>
      <c r="BL144" s="314">
        <v>0</v>
      </c>
      <c r="BM144" s="314">
        <v>0</v>
      </c>
      <c r="BN144" s="314">
        <v>0</v>
      </c>
      <c r="BO144" s="314">
        <v>0</v>
      </c>
      <c r="BP144" s="314">
        <v>0</v>
      </c>
      <c r="BQ144" s="314">
        <v>0</v>
      </c>
      <c r="BR144" s="314">
        <v>0</v>
      </c>
      <c r="BS144" s="314">
        <v>0</v>
      </c>
      <c r="BT144" s="314">
        <v>0</v>
      </c>
      <c r="BU144" s="314">
        <v>0</v>
      </c>
      <c r="BV144" s="314">
        <v>0</v>
      </c>
      <c r="BW144" s="314">
        <v>0</v>
      </c>
      <c r="BX144" s="314">
        <v>0</v>
      </c>
      <c r="BY144" s="314">
        <v>0</v>
      </c>
      <c r="BZ144" s="314">
        <v>0</v>
      </c>
      <c r="CA144" s="314">
        <v>0</v>
      </c>
      <c r="CB144" s="314">
        <v>0</v>
      </c>
      <c r="CC144" s="314">
        <v>0</v>
      </c>
      <c r="CD144" s="124">
        <v>0</v>
      </c>
      <c r="CE144" s="124">
        <v>0</v>
      </c>
      <c r="CF144" s="124">
        <v>0</v>
      </c>
      <c r="CG144" s="124">
        <v>0</v>
      </c>
      <c r="CH144" s="124">
        <v>0</v>
      </c>
      <c r="CI144" s="124">
        <v>0</v>
      </c>
      <c r="CJ144" s="124">
        <v>0</v>
      </c>
      <c r="CK144" s="124">
        <v>0</v>
      </c>
      <c r="CL144" s="124">
        <v>0</v>
      </c>
      <c r="CM144" s="124">
        <v>0</v>
      </c>
      <c r="CN144" s="124">
        <v>0</v>
      </c>
      <c r="CO144" s="124"/>
      <c r="CP144" s="124"/>
      <c r="CQ144" s="124"/>
      <c r="CR144" s="124"/>
      <c r="CS144" s="124"/>
      <c r="CT144" s="355"/>
      <c r="CU144" s="269"/>
      <c r="CV144" s="269"/>
      <c r="CW144" s="269"/>
      <c r="CX144" s="269"/>
      <c r="CY144" s="269"/>
      <c r="CZ144" s="269"/>
      <c r="DA144" s="269"/>
      <c r="DB144" s="269"/>
      <c r="DC144" s="269"/>
      <c r="DD144" s="269"/>
      <c r="DE144" s="269"/>
      <c r="DF144" s="269"/>
      <c r="DG144" s="269"/>
      <c r="DH144" s="269"/>
      <c r="DI144" s="269"/>
      <c r="DJ144" s="269"/>
      <c r="DK144" s="269"/>
      <c r="DL144" s="269"/>
      <c r="DM144" s="269"/>
      <c r="DN144" s="269"/>
      <c r="DO144" s="269"/>
      <c r="DP144" s="269"/>
      <c r="DQ144" s="269"/>
      <c r="DR144" s="269"/>
      <c r="DS144" s="269"/>
      <c r="DT144" s="269"/>
      <c r="DU144" s="269"/>
      <c r="DV144" s="269"/>
      <c r="DW144" s="269"/>
      <c r="DX144" s="269"/>
      <c r="DY144" s="269"/>
      <c r="DZ144" s="269"/>
      <c r="EA144" s="269"/>
      <c r="EB144" s="269"/>
    </row>
    <row r="145" spans="1:132" ht="15">
      <c r="A145" s="269"/>
      <c r="B145" s="269"/>
      <c r="C145" s="396">
        <v>37995.916666666148</v>
      </c>
      <c r="D145" s="402">
        <v>37995.958333332812</v>
      </c>
      <c r="E145" s="258">
        <v>0</v>
      </c>
      <c r="F145" s="124">
        <v>0</v>
      </c>
      <c r="G145" s="272">
        <v>0</v>
      </c>
      <c r="H145" s="124">
        <v>0</v>
      </c>
      <c r="I145" s="314">
        <v>0</v>
      </c>
      <c r="J145" s="124">
        <v>0</v>
      </c>
      <c r="K145" s="124">
        <v>0</v>
      </c>
      <c r="L145" s="124">
        <v>0</v>
      </c>
      <c r="M145" s="272">
        <v>0</v>
      </c>
      <c r="N145" s="124">
        <v>0</v>
      </c>
      <c r="O145" s="314">
        <v>0</v>
      </c>
      <c r="P145" s="314">
        <v>0</v>
      </c>
      <c r="Q145" s="314">
        <v>0</v>
      </c>
      <c r="R145" s="314">
        <v>0</v>
      </c>
      <c r="S145" s="314">
        <v>0</v>
      </c>
      <c r="T145" s="314">
        <v>0</v>
      </c>
      <c r="U145" s="314">
        <v>0</v>
      </c>
      <c r="V145" s="314">
        <v>0</v>
      </c>
      <c r="W145" s="314">
        <v>0</v>
      </c>
      <c r="X145" s="314">
        <v>0</v>
      </c>
      <c r="Y145" s="314">
        <v>0</v>
      </c>
      <c r="Z145" s="314">
        <v>0</v>
      </c>
      <c r="AA145" s="314">
        <v>0</v>
      </c>
      <c r="AB145" s="314">
        <v>0</v>
      </c>
      <c r="AC145" s="314">
        <v>0</v>
      </c>
      <c r="AD145" s="314">
        <v>0</v>
      </c>
      <c r="AE145" s="314">
        <v>0</v>
      </c>
      <c r="AF145" s="314">
        <v>0</v>
      </c>
      <c r="AG145" s="124">
        <v>0</v>
      </c>
      <c r="AH145" s="124">
        <v>0</v>
      </c>
      <c r="AI145" s="124">
        <v>0</v>
      </c>
      <c r="AJ145" s="124">
        <v>0</v>
      </c>
      <c r="AK145" s="124">
        <v>0</v>
      </c>
      <c r="AL145" s="124">
        <v>0</v>
      </c>
      <c r="AM145" s="124">
        <v>0</v>
      </c>
      <c r="AN145" s="124">
        <v>0</v>
      </c>
      <c r="AO145" s="124">
        <v>0</v>
      </c>
      <c r="AP145" s="124">
        <v>0</v>
      </c>
      <c r="AQ145" s="124">
        <v>0</v>
      </c>
      <c r="AR145" s="124"/>
      <c r="AS145" s="124"/>
      <c r="AT145" s="124"/>
      <c r="AU145" s="124"/>
      <c r="AV145" s="124"/>
      <c r="AW145" s="355"/>
      <c r="AX145" s="269"/>
      <c r="AY145" s="269"/>
      <c r="AZ145" s="396">
        <v>37995.916666666148</v>
      </c>
      <c r="BA145" s="402">
        <v>37995.958333332812</v>
      </c>
      <c r="BB145" s="258">
        <v>0</v>
      </c>
      <c r="BC145" s="124">
        <v>0</v>
      </c>
      <c r="BD145" s="272">
        <v>0</v>
      </c>
      <c r="BE145" s="124">
        <v>0</v>
      </c>
      <c r="BF145" s="314">
        <v>0</v>
      </c>
      <c r="BG145" s="124">
        <v>0</v>
      </c>
      <c r="BH145" s="124">
        <v>0</v>
      </c>
      <c r="BI145" s="124">
        <v>0</v>
      </c>
      <c r="BJ145" s="272">
        <v>0</v>
      </c>
      <c r="BK145" s="124">
        <v>0</v>
      </c>
      <c r="BL145" s="314">
        <v>0</v>
      </c>
      <c r="BM145" s="314">
        <v>0</v>
      </c>
      <c r="BN145" s="314">
        <v>0</v>
      </c>
      <c r="BO145" s="314">
        <v>0</v>
      </c>
      <c r="BP145" s="314">
        <v>0</v>
      </c>
      <c r="BQ145" s="314">
        <v>0</v>
      </c>
      <c r="BR145" s="314">
        <v>0</v>
      </c>
      <c r="BS145" s="314">
        <v>0</v>
      </c>
      <c r="BT145" s="314">
        <v>0</v>
      </c>
      <c r="BU145" s="314">
        <v>0</v>
      </c>
      <c r="BV145" s="314">
        <v>0</v>
      </c>
      <c r="BW145" s="314">
        <v>0</v>
      </c>
      <c r="BX145" s="314">
        <v>0</v>
      </c>
      <c r="BY145" s="314">
        <v>0</v>
      </c>
      <c r="BZ145" s="314">
        <v>0</v>
      </c>
      <c r="CA145" s="314">
        <v>0</v>
      </c>
      <c r="CB145" s="314">
        <v>0</v>
      </c>
      <c r="CC145" s="314">
        <v>0</v>
      </c>
      <c r="CD145" s="124">
        <v>0</v>
      </c>
      <c r="CE145" s="124">
        <v>0</v>
      </c>
      <c r="CF145" s="124">
        <v>0</v>
      </c>
      <c r="CG145" s="124">
        <v>0</v>
      </c>
      <c r="CH145" s="124">
        <v>0</v>
      </c>
      <c r="CI145" s="124">
        <v>0</v>
      </c>
      <c r="CJ145" s="124">
        <v>0</v>
      </c>
      <c r="CK145" s="124">
        <v>0</v>
      </c>
      <c r="CL145" s="124">
        <v>0</v>
      </c>
      <c r="CM145" s="124">
        <v>0</v>
      </c>
      <c r="CN145" s="124">
        <v>0</v>
      </c>
      <c r="CO145" s="124"/>
      <c r="CP145" s="124"/>
      <c r="CQ145" s="124"/>
      <c r="CR145" s="124"/>
      <c r="CS145" s="124"/>
      <c r="CT145" s="355"/>
      <c r="CU145" s="269"/>
      <c r="CV145" s="269"/>
      <c r="CW145" s="269"/>
      <c r="CX145" s="269"/>
      <c r="CY145" s="269"/>
      <c r="CZ145" s="269"/>
      <c r="DA145" s="269"/>
      <c r="DB145" s="269"/>
      <c r="DC145" s="269"/>
      <c r="DD145" s="269"/>
      <c r="DE145" s="269"/>
      <c r="DF145" s="269"/>
      <c r="DG145" s="269"/>
      <c r="DH145" s="269"/>
      <c r="DI145" s="269"/>
      <c r="DJ145" s="269"/>
      <c r="DK145" s="269"/>
      <c r="DL145" s="269"/>
      <c r="DM145" s="269"/>
      <c r="DN145" s="269"/>
      <c r="DO145" s="269"/>
      <c r="DP145" s="269"/>
      <c r="DQ145" s="269"/>
      <c r="DR145" s="269"/>
      <c r="DS145" s="269"/>
      <c r="DT145" s="269"/>
      <c r="DU145" s="269"/>
      <c r="DV145" s="269"/>
      <c r="DW145" s="269"/>
      <c r="DX145" s="269"/>
      <c r="DY145" s="269"/>
      <c r="DZ145" s="269"/>
      <c r="EA145" s="269"/>
      <c r="EB145" s="269"/>
    </row>
    <row r="146" spans="1:132" ht="15.75" thickBot="1">
      <c r="A146" s="269"/>
      <c r="B146" s="269"/>
      <c r="C146" s="404">
        <v>37995.958333332812</v>
      </c>
      <c r="D146" s="405">
        <v>37995.999999999476</v>
      </c>
      <c r="E146" s="263">
        <v>0</v>
      </c>
      <c r="F146" s="264">
        <v>0</v>
      </c>
      <c r="G146" s="353">
        <v>0</v>
      </c>
      <c r="H146" s="264">
        <v>0</v>
      </c>
      <c r="I146" s="317">
        <v>0</v>
      </c>
      <c r="J146" s="264">
        <v>0</v>
      </c>
      <c r="K146" s="264">
        <v>0</v>
      </c>
      <c r="L146" s="264">
        <v>0</v>
      </c>
      <c r="M146" s="353">
        <v>0</v>
      </c>
      <c r="N146" s="264">
        <v>0</v>
      </c>
      <c r="O146" s="317">
        <v>0</v>
      </c>
      <c r="P146" s="317">
        <v>0</v>
      </c>
      <c r="Q146" s="317">
        <v>0</v>
      </c>
      <c r="R146" s="317">
        <v>0</v>
      </c>
      <c r="S146" s="317">
        <v>0</v>
      </c>
      <c r="T146" s="317">
        <v>0</v>
      </c>
      <c r="U146" s="317">
        <v>0</v>
      </c>
      <c r="V146" s="317">
        <v>0</v>
      </c>
      <c r="W146" s="317">
        <v>0</v>
      </c>
      <c r="X146" s="317">
        <v>0</v>
      </c>
      <c r="Y146" s="317">
        <v>0</v>
      </c>
      <c r="Z146" s="317">
        <v>0</v>
      </c>
      <c r="AA146" s="317">
        <v>0</v>
      </c>
      <c r="AB146" s="317">
        <v>0</v>
      </c>
      <c r="AC146" s="317">
        <v>0</v>
      </c>
      <c r="AD146" s="317">
        <v>0</v>
      </c>
      <c r="AE146" s="317">
        <v>0</v>
      </c>
      <c r="AF146" s="317">
        <v>0</v>
      </c>
      <c r="AG146" s="264">
        <v>0</v>
      </c>
      <c r="AH146" s="264">
        <v>0</v>
      </c>
      <c r="AI146" s="264">
        <v>0</v>
      </c>
      <c r="AJ146" s="264">
        <v>0</v>
      </c>
      <c r="AK146" s="264">
        <v>0</v>
      </c>
      <c r="AL146" s="264">
        <v>0</v>
      </c>
      <c r="AM146" s="264">
        <v>0</v>
      </c>
      <c r="AN146" s="264">
        <v>0</v>
      </c>
      <c r="AO146" s="264">
        <v>0</v>
      </c>
      <c r="AP146" s="264">
        <v>0</v>
      </c>
      <c r="AQ146" s="264">
        <v>0</v>
      </c>
      <c r="AR146" s="264"/>
      <c r="AS146" s="264"/>
      <c r="AT146" s="264"/>
      <c r="AU146" s="264"/>
      <c r="AV146" s="264"/>
      <c r="AW146" s="411"/>
      <c r="AX146" s="269"/>
      <c r="AY146" s="269"/>
      <c r="AZ146" s="404">
        <v>37995.958333332812</v>
      </c>
      <c r="BA146" s="405">
        <v>37995.999999999476</v>
      </c>
      <c r="BB146" s="263">
        <v>0</v>
      </c>
      <c r="BC146" s="264">
        <v>0</v>
      </c>
      <c r="BD146" s="353">
        <v>0</v>
      </c>
      <c r="BE146" s="264">
        <v>0</v>
      </c>
      <c r="BF146" s="317">
        <v>0</v>
      </c>
      <c r="BG146" s="264">
        <v>0</v>
      </c>
      <c r="BH146" s="264">
        <v>0</v>
      </c>
      <c r="BI146" s="264">
        <v>0</v>
      </c>
      <c r="BJ146" s="353">
        <v>0</v>
      </c>
      <c r="BK146" s="264">
        <v>0</v>
      </c>
      <c r="BL146" s="317">
        <v>0</v>
      </c>
      <c r="BM146" s="317">
        <v>0</v>
      </c>
      <c r="BN146" s="317">
        <v>0</v>
      </c>
      <c r="BO146" s="317">
        <v>0</v>
      </c>
      <c r="BP146" s="317">
        <v>0</v>
      </c>
      <c r="BQ146" s="317">
        <v>0</v>
      </c>
      <c r="BR146" s="317">
        <v>0</v>
      </c>
      <c r="BS146" s="317">
        <v>0</v>
      </c>
      <c r="BT146" s="317">
        <v>0</v>
      </c>
      <c r="BU146" s="317">
        <v>0</v>
      </c>
      <c r="BV146" s="317">
        <v>0</v>
      </c>
      <c r="BW146" s="317">
        <v>0</v>
      </c>
      <c r="BX146" s="317">
        <v>0</v>
      </c>
      <c r="BY146" s="317">
        <v>0</v>
      </c>
      <c r="BZ146" s="317">
        <v>0</v>
      </c>
      <c r="CA146" s="317">
        <v>0</v>
      </c>
      <c r="CB146" s="317">
        <v>0</v>
      </c>
      <c r="CC146" s="317">
        <v>0</v>
      </c>
      <c r="CD146" s="264">
        <v>0</v>
      </c>
      <c r="CE146" s="264">
        <v>0</v>
      </c>
      <c r="CF146" s="264">
        <v>0</v>
      </c>
      <c r="CG146" s="264">
        <v>0</v>
      </c>
      <c r="CH146" s="264">
        <v>0</v>
      </c>
      <c r="CI146" s="264">
        <v>0</v>
      </c>
      <c r="CJ146" s="264">
        <v>0</v>
      </c>
      <c r="CK146" s="264">
        <v>0</v>
      </c>
      <c r="CL146" s="264">
        <v>0</v>
      </c>
      <c r="CM146" s="264">
        <v>0</v>
      </c>
      <c r="CN146" s="264">
        <v>0</v>
      </c>
      <c r="CO146" s="264"/>
      <c r="CP146" s="264"/>
      <c r="CQ146" s="264"/>
      <c r="CR146" s="264"/>
      <c r="CS146" s="264"/>
      <c r="CT146" s="411"/>
      <c r="CU146" s="269"/>
      <c r="CV146" s="269"/>
      <c r="CW146" s="269"/>
      <c r="CX146" s="269"/>
      <c r="CY146" s="269"/>
      <c r="CZ146" s="269"/>
      <c r="DA146" s="269"/>
      <c r="DB146" s="269"/>
      <c r="DC146" s="269"/>
      <c r="DD146" s="269"/>
      <c r="DE146" s="269"/>
      <c r="DF146" s="269"/>
      <c r="DG146" s="269"/>
      <c r="DH146" s="269"/>
      <c r="DI146" s="269"/>
      <c r="DJ146" s="269"/>
      <c r="DK146" s="269"/>
      <c r="DL146" s="269"/>
      <c r="DM146" s="269"/>
      <c r="DN146" s="269"/>
      <c r="DO146" s="269"/>
      <c r="DP146" s="269"/>
      <c r="DQ146" s="269"/>
      <c r="DR146" s="269"/>
      <c r="DS146" s="269"/>
      <c r="DT146" s="269"/>
      <c r="DU146" s="269"/>
      <c r="DV146" s="269"/>
      <c r="DW146" s="269"/>
      <c r="DX146" s="269"/>
      <c r="DY146" s="269"/>
      <c r="DZ146" s="269"/>
      <c r="EA146" s="269"/>
      <c r="EB146" s="269"/>
    </row>
    <row r="147" spans="1:132" ht="15.75">
      <c r="A147" s="269"/>
      <c r="B147" s="269"/>
      <c r="C147" s="529"/>
      <c r="D147" s="530"/>
      <c r="E147" s="530"/>
      <c r="F147" s="530"/>
      <c r="G147" s="530"/>
      <c r="H147" s="530"/>
      <c r="I147" s="530"/>
      <c r="J147" s="530"/>
      <c r="K147" s="530"/>
      <c r="L147" s="530"/>
      <c r="M147" s="530"/>
      <c r="N147" s="530"/>
      <c r="O147" s="530"/>
      <c r="P147" s="530"/>
      <c r="Q147" s="530"/>
      <c r="R147" s="530"/>
      <c r="S147" s="530"/>
      <c r="T147" s="530"/>
      <c r="U147" s="530"/>
      <c r="V147" s="530"/>
      <c r="W147" s="530"/>
      <c r="X147" s="530"/>
      <c r="Y147" s="530"/>
      <c r="Z147" s="530"/>
      <c r="AA147" s="530"/>
      <c r="AB147" s="530"/>
      <c r="AC147" s="530"/>
      <c r="AD147" s="530"/>
      <c r="AE147" s="530"/>
      <c r="AF147" s="530"/>
      <c r="AG147" s="530"/>
      <c r="AH147" s="530"/>
      <c r="AI147" s="530"/>
      <c r="AJ147" s="530"/>
      <c r="AK147" s="530"/>
      <c r="AL147" s="530"/>
      <c r="AM147" s="530"/>
      <c r="AN147" s="530"/>
      <c r="AO147" s="530"/>
      <c r="AP147" s="530"/>
      <c r="AQ147" s="530"/>
      <c r="AR147" s="530"/>
      <c r="AS147" s="530"/>
      <c r="AT147" s="530"/>
      <c r="AU147" s="530"/>
      <c r="AV147" s="530"/>
      <c r="AW147" s="530"/>
      <c r="AX147" s="269"/>
      <c r="AY147" s="269"/>
      <c r="AZ147" s="529"/>
      <c r="BA147" s="530"/>
      <c r="BB147" s="530"/>
      <c r="BC147" s="530"/>
      <c r="BD147" s="530"/>
      <c r="BE147" s="530"/>
      <c r="BF147" s="530"/>
      <c r="BG147" s="530"/>
      <c r="BH147" s="530"/>
      <c r="BI147" s="530"/>
      <c r="BJ147" s="530"/>
      <c r="BK147" s="530"/>
      <c r="BL147" s="530"/>
      <c r="BM147" s="530"/>
      <c r="BN147" s="530"/>
      <c r="BO147" s="530"/>
      <c r="BP147" s="530"/>
      <c r="BQ147" s="530"/>
      <c r="BR147" s="530"/>
      <c r="BS147" s="530"/>
      <c r="BT147" s="530"/>
      <c r="BU147" s="530"/>
      <c r="BV147" s="530"/>
      <c r="BW147" s="530"/>
      <c r="BX147" s="530"/>
      <c r="BY147" s="530"/>
      <c r="BZ147" s="530"/>
      <c r="CA147" s="530"/>
      <c r="CB147" s="530"/>
      <c r="CC147" s="530"/>
      <c r="CD147" s="530"/>
      <c r="CE147" s="530"/>
      <c r="CF147" s="530"/>
      <c r="CG147" s="530"/>
      <c r="CH147" s="530"/>
      <c r="CI147" s="530"/>
      <c r="CJ147" s="530"/>
      <c r="CK147" s="530"/>
      <c r="CL147" s="530"/>
      <c r="CM147" s="530"/>
      <c r="CN147" s="530"/>
      <c r="CO147" s="530"/>
      <c r="CP147" s="530"/>
      <c r="CQ147" s="530"/>
      <c r="CR147" s="530"/>
      <c r="CS147" s="530"/>
      <c r="CT147" s="530"/>
      <c r="CU147" s="269"/>
      <c r="CV147" s="269"/>
      <c r="CW147" s="269"/>
      <c r="CX147" s="269"/>
      <c r="CY147" s="269"/>
      <c r="CZ147" s="269"/>
      <c r="DA147" s="269"/>
      <c r="DB147" s="269"/>
      <c r="DC147" s="269"/>
      <c r="DD147" s="269"/>
      <c r="DE147" s="269"/>
      <c r="DF147" s="269"/>
      <c r="DG147" s="269"/>
      <c r="DH147" s="269"/>
      <c r="DI147" s="269"/>
      <c r="DJ147" s="269"/>
      <c r="DK147" s="269"/>
      <c r="DL147" s="269"/>
      <c r="DM147" s="269"/>
      <c r="DN147" s="269"/>
      <c r="DO147" s="269"/>
      <c r="DP147" s="269"/>
      <c r="DQ147" s="269"/>
      <c r="DR147" s="269"/>
      <c r="DS147" s="269"/>
      <c r="DT147" s="269"/>
      <c r="DU147" s="269"/>
      <c r="DV147" s="269"/>
      <c r="DW147" s="269"/>
      <c r="DX147" s="269"/>
      <c r="DY147" s="269"/>
      <c r="DZ147" s="269"/>
      <c r="EA147" s="269"/>
      <c r="EB147" s="269"/>
    </row>
    <row r="148" spans="1:132" ht="15">
      <c r="A148" s="269"/>
      <c r="B148" s="269"/>
      <c r="C148" s="268"/>
      <c r="D148" s="267"/>
      <c r="E148" s="267"/>
      <c r="F148" s="267"/>
      <c r="G148" s="267"/>
      <c r="H148" s="267"/>
      <c r="I148" s="267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  <c r="AC148" s="267"/>
      <c r="AD148" s="267"/>
      <c r="AE148" s="267"/>
      <c r="AF148" s="267"/>
      <c r="AG148" s="267"/>
      <c r="AH148" s="267"/>
      <c r="AI148" s="267"/>
      <c r="AJ148" s="267"/>
      <c r="AK148" s="267"/>
      <c r="AL148" s="267"/>
      <c r="AM148" s="267"/>
      <c r="AN148" s="267"/>
      <c r="AO148" s="267"/>
      <c r="AP148" s="267"/>
      <c r="AQ148" s="267"/>
      <c r="AR148" s="267"/>
      <c r="AS148" s="267"/>
      <c r="AT148" s="267"/>
      <c r="AU148" s="267"/>
      <c r="AV148" s="267"/>
      <c r="AW148" s="267"/>
      <c r="AX148" s="268"/>
      <c r="AY148" s="268"/>
      <c r="AZ148" s="267"/>
      <c r="BA148" s="267"/>
      <c r="BB148" s="267"/>
      <c r="BC148" s="267"/>
      <c r="BD148" s="267"/>
      <c r="BE148" s="267"/>
      <c r="BF148" s="267"/>
      <c r="BG148" s="267"/>
      <c r="BH148" s="267"/>
      <c r="BI148" s="267"/>
      <c r="BJ148" s="267"/>
      <c r="BK148" s="267"/>
      <c r="BL148" s="267"/>
      <c r="BM148" s="267"/>
      <c r="BN148" s="267"/>
      <c r="BO148" s="267"/>
      <c r="BP148" s="267"/>
      <c r="BQ148" s="267"/>
      <c r="BR148" s="267"/>
      <c r="BS148" s="267"/>
      <c r="BT148" s="267"/>
      <c r="BU148" s="267"/>
      <c r="BV148" s="267"/>
      <c r="BW148" s="267"/>
      <c r="BX148" s="267"/>
      <c r="BY148" s="267"/>
      <c r="BZ148" s="267"/>
      <c r="CA148" s="267"/>
      <c r="CB148" s="267"/>
      <c r="CC148" s="267"/>
      <c r="CD148" s="267"/>
      <c r="CE148" s="267"/>
      <c r="CF148" s="267"/>
      <c r="CG148" s="267"/>
      <c r="CH148" s="267"/>
      <c r="CI148" s="267"/>
      <c r="CJ148" s="267"/>
      <c r="CK148" s="267"/>
      <c r="CL148" s="267"/>
      <c r="CM148" s="267"/>
      <c r="CN148" s="267"/>
      <c r="CO148" s="267"/>
      <c r="CP148" s="267"/>
      <c r="CQ148" s="267"/>
      <c r="CR148" s="267"/>
      <c r="CS148" s="267"/>
      <c r="CT148" s="269"/>
      <c r="CU148" s="269"/>
      <c r="CV148" s="269"/>
      <c r="CW148" s="269"/>
      <c r="CX148" s="269"/>
      <c r="CY148" s="269"/>
      <c r="CZ148" s="269"/>
      <c r="DA148" s="269"/>
      <c r="DB148" s="269"/>
      <c r="DC148" s="269"/>
      <c r="DD148" s="269"/>
      <c r="DE148" s="269"/>
      <c r="DF148" s="269"/>
      <c r="DG148" s="269"/>
      <c r="DH148" s="269"/>
      <c r="DI148" s="269"/>
      <c r="DJ148" s="269"/>
      <c r="DK148" s="269"/>
      <c r="DL148" s="269"/>
      <c r="DM148" s="269"/>
      <c r="DN148" s="269"/>
      <c r="DO148" s="269"/>
      <c r="DP148" s="269"/>
      <c r="DQ148" s="269"/>
      <c r="DR148" s="269"/>
      <c r="DS148" s="269"/>
      <c r="DT148" s="269"/>
      <c r="DU148" s="269"/>
      <c r="DV148" s="269"/>
      <c r="DW148" s="269"/>
      <c r="DX148" s="269"/>
      <c r="DY148" s="269"/>
      <c r="DZ148" s="269"/>
      <c r="EA148" s="269"/>
      <c r="EB148" s="269"/>
    </row>
    <row r="149" spans="1:132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  <c r="AA149" s="269"/>
      <c r="AB149" s="269"/>
      <c r="AC149" s="269"/>
      <c r="AD149" s="269"/>
      <c r="AE149" s="269"/>
      <c r="AF149" s="269"/>
      <c r="AG149" s="269"/>
      <c r="AH149" s="269"/>
      <c r="AI149" s="269"/>
      <c r="AJ149" s="269"/>
      <c r="AK149" s="269"/>
      <c r="AL149" s="269"/>
      <c r="AM149" s="269"/>
      <c r="AN149" s="269"/>
      <c r="AO149" s="269"/>
      <c r="AP149" s="269"/>
      <c r="AQ149" s="269"/>
      <c r="AR149" s="269"/>
      <c r="AS149" s="269"/>
      <c r="AT149" s="269"/>
      <c r="AU149" s="269"/>
      <c r="AV149" s="269"/>
      <c r="AW149" s="269"/>
      <c r="AX149" s="269"/>
      <c r="AY149" s="269"/>
      <c r="AZ149" s="269"/>
      <c r="BA149" s="269"/>
      <c r="BB149" s="269"/>
      <c r="BC149" s="269"/>
      <c r="BD149" s="269"/>
      <c r="BE149" s="269"/>
      <c r="BF149" s="269"/>
      <c r="BG149" s="269"/>
      <c r="BH149" s="269"/>
      <c r="BI149" s="269"/>
      <c r="BJ149" s="269"/>
      <c r="BK149" s="269"/>
      <c r="BL149" s="269"/>
      <c r="BM149" s="269"/>
      <c r="BN149" s="269"/>
      <c r="BO149" s="269"/>
      <c r="BP149" s="269"/>
      <c r="BQ149" s="269"/>
      <c r="BR149" s="269"/>
      <c r="BS149" s="269"/>
      <c r="BT149" s="269"/>
      <c r="BU149" s="269"/>
      <c r="BV149" s="269"/>
      <c r="BW149" s="269"/>
      <c r="BX149" s="269"/>
      <c r="BY149" s="269"/>
      <c r="BZ149" s="269"/>
      <c r="CA149" s="269"/>
      <c r="CB149" s="269"/>
      <c r="CC149" s="269"/>
      <c r="CD149" s="269"/>
      <c r="CE149" s="269"/>
      <c r="CF149" s="269"/>
      <c r="CG149" s="269"/>
      <c r="CH149" s="269"/>
      <c r="CI149" s="269"/>
      <c r="CJ149" s="269"/>
      <c r="CK149" s="269"/>
      <c r="CL149" s="269"/>
      <c r="CM149" s="269"/>
      <c r="CN149" s="269"/>
      <c r="CO149" s="269"/>
      <c r="CP149" s="269"/>
      <c r="CQ149" s="269"/>
      <c r="CR149" s="269"/>
      <c r="CS149" s="269"/>
      <c r="CT149" s="269"/>
      <c r="CU149" s="269"/>
      <c r="CV149" s="269"/>
      <c r="CW149" s="269"/>
      <c r="CX149" s="269"/>
      <c r="CY149" s="269"/>
      <c r="CZ149" s="269"/>
      <c r="DA149" s="269"/>
      <c r="DB149" s="269"/>
      <c r="DC149" s="269"/>
      <c r="DD149" s="269"/>
      <c r="DE149" s="269"/>
      <c r="DF149" s="269"/>
      <c r="DG149" s="269"/>
      <c r="DH149" s="269"/>
      <c r="DI149" s="269"/>
      <c r="DJ149" s="269"/>
      <c r="DK149" s="269"/>
      <c r="DL149" s="269"/>
      <c r="DM149" s="269"/>
      <c r="DN149" s="269"/>
      <c r="DO149" s="269"/>
      <c r="DP149" s="269"/>
      <c r="DQ149" s="269"/>
      <c r="DR149" s="269"/>
      <c r="DS149" s="269"/>
      <c r="DT149" s="269"/>
      <c r="DU149" s="269"/>
      <c r="DV149" s="269"/>
      <c r="DW149" s="269"/>
      <c r="DX149" s="269"/>
      <c r="DY149" s="269"/>
      <c r="DZ149" s="269"/>
      <c r="EA149" s="269"/>
      <c r="EB149" s="269"/>
    </row>
    <row r="150" spans="1:132">
      <c r="A150" s="269"/>
      <c r="B150" s="269"/>
      <c r="C150" s="269"/>
      <c r="D150" s="269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  <c r="AA150" s="269"/>
      <c r="AB150" s="269"/>
      <c r="AC150" s="269"/>
      <c r="AD150" s="269"/>
      <c r="AE150" s="269"/>
      <c r="AF150" s="269"/>
      <c r="AG150" s="269"/>
      <c r="AH150" s="269"/>
      <c r="AI150" s="269"/>
      <c r="AJ150" s="269"/>
      <c r="AK150" s="269"/>
      <c r="AL150" s="269"/>
      <c r="AM150" s="269"/>
      <c r="AN150" s="269"/>
      <c r="AO150" s="269"/>
      <c r="AP150" s="269"/>
      <c r="AQ150" s="269"/>
      <c r="AR150" s="269"/>
      <c r="AS150" s="269"/>
      <c r="AT150" s="269"/>
      <c r="AU150" s="269"/>
      <c r="AV150" s="269"/>
      <c r="AW150" s="269"/>
      <c r="AX150" s="269"/>
      <c r="AY150" s="269"/>
      <c r="AZ150" s="269"/>
      <c r="BA150" s="269"/>
      <c r="BB150" s="269"/>
      <c r="BC150" s="269"/>
      <c r="BD150" s="269"/>
      <c r="BE150" s="269"/>
      <c r="BF150" s="269"/>
      <c r="BG150" s="269"/>
      <c r="BH150" s="269"/>
      <c r="BI150" s="269"/>
      <c r="BJ150" s="269"/>
      <c r="BK150" s="269"/>
      <c r="BL150" s="269"/>
      <c r="BM150" s="269"/>
      <c r="BN150" s="269"/>
      <c r="BO150" s="269"/>
      <c r="BP150" s="269"/>
      <c r="BQ150" s="269"/>
      <c r="BR150" s="269"/>
      <c r="BS150" s="269"/>
      <c r="BT150" s="269"/>
      <c r="BU150" s="269"/>
      <c r="BV150" s="269"/>
      <c r="BW150" s="269"/>
      <c r="BX150" s="269"/>
      <c r="BY150" s="269"/>
      <c r="BZ150" s="269"/>
      <c r="CA150" s="269"/>
      <c r="CB150" s="269"/>
      <c r="CC150" s="269"/>
      <c r="CD150" s="269"/>
      <c r="CE150" s="269"/>
      <c r="CF150" s="269"/>
      <c r="CG150" s="269"/>
      <c r="CH150" s="269"/>
      <c r="CI150" s="269"/>
      <c r="CJ150" s="269"/>
      <c r="CK150" s="269"/>
      <c r="CL150" s="269"/>
      <c r="CM150" s="269"/>
      <c r="CN150" s="269"/>
      <c r="CO150" s="269"/>
      <c r="CP150" s="269"/>
      <c r="CQ150" s="269"/>
      <c r="CR150" s="269"/>
      <c r="CS150" s="269"/>
      <c r="CT150" s="269"/>
      <c r="CU150" s="269"/>
      <c r="CV150" s="269"/>
      <c r="CW150" s="269"/>
      <c r="CX150" s="269"/>
      <c r="CY150" s="269"/>
      <c r="CZ150" s="269"/>
      <c r="DA150" s="269"/>
      <c r="DB150" s="269"/>
      <c r="DC150" s="269"/>
      <c r="DD150" s="269"/>
      <c r="DE150" s="269"/>
      <c r="DF150" s="269"/>
      <c r="DG150" s="269"/>
      <c r="DH150" s="269"/>
      <c r="DI150" s="269"/>
      <c r="DJ150" s="269"/>
      <c r="DK150" s="269"/>
      <c r="DL150" s="269"/>
      <c r="DM150" s="269"/>
      <c r="DN150" s="269"/>
      <c r="DO150" s="269"/>
      <c r="DP150" s="269"/>
      <c r="DQ150" s="269"/>
      <c r="DR150" s="269"/>
      <c r="DS150" s="269"/>
      <c r="DT150" s="269"/>
      <c r="DU150" s="269"/>
      <c r="DV150" s="269"/>
      <c r="DW150" s="269"/>
      <c r="DX150" s="269"/>
      <c r="DY150" s="269"/>
      <c r="DZ150" s="269"/>
      <c r="EA150" s="269"/>
      <c r="EB150" s="269"/>
    </row>
    <row r="151" spans="1:132">
      <c r="A151" s="268" t="s">
        <v>18</v>
      </c>
      <c r="B151" s="269"/>
      <c r="C151" s="268"/>
      <c r="D151" s="269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  <c r="AA151" s="269"/>
      <c r="AB151" s="269"/>
      <c r="AC151" s="269"/>
      <c r="AD151" s="269"/>
      <c r="AE151" s="269"/>
      <c r="AF151" s="269"/>
      <c r="AG151" s="269"/>
      <c r="AH151" s="269"/>
      <c r="AI151" s="269"/>
      <c r="AJ151" s="269"/>
      <c r="AK151" s="269"/>
      <c r="AL151" s="269"/>
      <c r="AM151" s="269"/>
      <c r="AN151" s="269"/>
      <c r="AO151" s="269"/>
      <c r="AP151" s="269"/>
      <c r="AQ151" s="269"/>
      <c r="AR151" s="269"/>
      <c r="AS151" s="269"/>
      <c r="AT151" s="269"/>
      <c r="AU151" s="269"/>
      <c r="AV151" s="269"/>
      <c r="AW151" s="269"/>
      <c r="AX151" s="269"/>
      <c r="AY151" s="269"/>
      <c r="AZ151" s="269"/>
      <c r="BA151" s="269"/>
      <c r="BB151" s="269"/>
      <c r="BC151" s="269"/>
      <c r="BD151" s="269"/>
      <c r="BE151" s="269"/>
      <c r="BF151" s="269"/>
      <c r="BG151" s="269"/>
      <c r="BH151" s="269"/>
      <c r="BI151" s="269"/>
      <c r="BJ151" s="269"/>
      <c r="BK151" s="269"/>
      <c r="BL151" s="269"/>
      <c r="BM151" s="269"/>
      <c r="BN151" s="269"/>
      <c r="BO151" s="269"/>
      <c r="BP151" s="269"/>
      <c r="BQ151" s="269"/>
      <c r="BR151" s="269"/>
      <c r="BS151" s="269"/>
      <c r="BT151" s="269"/>
      <c r="BU151" s="269"/>
      <c r="BV151" s="269"/>
      <c r="BW151" s="269"/>
      <c r="BX151" s="269"/>
      <c r="BY151" s="269"/>
      <c r="BZ151" s="269"/>
      <c r="CA151" s="269"/>
      <c r="CB151" s="269"/>
      <c r="CC151" s="269"/>
      <c r="CD151" s="269"/>
      <c r="CE151" s="269"/>
      <c r="CF151" s="269"/>
      <c r="CG151" s="269"/>
      <c r="CH151" s="269"/>
      <c r="CI151" s="269"/>
      <c r="CJ151" s="269"/>
      <c r="CK151" s="269"/>
      <c r="CL151" s="269"/>
      <c r="CM151" s="269"/>
      <c r="CN151" s="269"/>
      <c r="CO151" s="269"/>
      <c r="CP151" s="269"/>
      <c r="CQ151" s="269"/>
      <c r="CR151" s="269"/>
      <c r="CS151" s="269"/>
      <c r="CT151" s="269"/>
      <c r="CU151" s="269"/>
      <c r="CV151" s="269"/>
      <c r="CW151" s="269"/>
      <c r="CX151" s="269"/>
      <c r="CY151" s="269"/>
      <c r="CZ151" s="269"/>
      <c r="DA151" s="269"/>
      <c r="DB151" s="269"/>
      <c r="DC151" s="269"/>
      <c r="DD151" s="269"/>
      <c r="DE151" s="269"/>
      <c r="DF151" s="269"/>
      <c r="DG151" s="269"/>
      <c r="DH151" s="269"/>
      <c r="DI151" s="269"/>
      <c r="DJ151" s="269"/>
      <c r="DK151" s="269"/>
      <c r="DL151" s="269"/>
      <c r="DM151" s="269"/>
      <c r="DN151" s="269"/>
      <c r="DO151" s="269"/>
      <c r="DP151" s="269"/>
      <c r="DQ151" s="269"/>
      <c r="DR151" s="269"/>
      <c r="DS151" s="269"/>
      <c r="DT151" s="269"/>
      <c r="DU151" s="269"/>
      <c r="DV151" s="269"/>
      <c r="DW151" s="269"/>
      <c r="DX151" s="269"/>
      <c r="DY151" s="269"/>
      <c r="DZ151" s="269"/>
      <c r="EA151" s="269"/>
      <c r="EB151" s="269"/>
    </row>
    <row r="152" spans="1:132">
      <c r="A152" s="269"/>
      <c r="B152" s="269"/>
      <c r="C152" s="269"/>
      <c r="D152" s="269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  <c r="AA152" s="269"/>
      <c r="AB152" s="269"/>
      <c r="AC152" s="269"/>
      <c r="AD152" s="269"/>
      <c r="AE152" s="269"/>
      <c r="AF152" s="269"/>
      <c r="AG152" s="269"/>
      <c r="AH152" s="269"/>
      <c r="AI152" s="269"/>
      <c r="AJ152" s="269"/>
      <c r="AK152" s="269"/>
      <c r="AL152" s="269"/>
      <c r="AM152" s="269"/>
      <c r="AN152" s="269"/>
      <c r="AO152" s="269"/>
      <c r="AP152" s="269"/>
      <c r="AQ152" s="269"/>
      <c r="AR152" s="269"/>
      <c r="AS152" s="269"/>
      <c r="AT152" s="269"/>
      <c r="AU152" s="269"/>
      <c r="AV152" s="269"/>
      <c r="AW152" s="269"/>
      <c r="AX152" s="269"/>
      <c r="AY152" s="269"/>
      <c r="AZ152" s="269"/>
      <c r="BA152" s="269"/>
      <c r="BB152" s="269"/>
      <c r="BC152" s="269"/>
      <c r="BD152" s="269"/>
      <c r="BE152" s="269"/>
      <c r="BF152" s="269"/>
      <c r="BG152" s="269"/>
      <c r="BH152" s="269"/>
      <c r="BI152" s="269"/>
      <c r="BJ152" s="269"/>
      <c r="BK152" s="269"/>
      <c r="BL152" s="269"/>
      <c r="BM152" s="269"/>
      <c r="BN152" s="269"/>
      <c r="BO152" s="269"/>
      <c r="BP152" s="269"/>
      <c r="BQ152" s="269"/>
      <c r="BR152" s="269"/>
      <c r="BS152" s="269"/>
      <c r="BT152" s="269"/>
      <c r="BU152" s="269"/>
      <c r="BV152" s="269"/>
      <c r="BW152" s="269"/>
      <c r="BX152" s="269"/>
      <c r="BY152" s="269"/>
      <c r="BZ152" s="269"/>
      <c r="CA152" s="269"/>
      <c r="CB152" s="269"/>
      <c r="CC152" s="269"/>
      <c r="CD152" s="269"/>
      <c r="CE152" s="269"/>
      <c r="CF152" s="269"/>
      <c r="CG152" s="269"/>
      <c r="CH152" s="269"/>
      <c r="CI152" s="269"/>
      <c r="CJ152" s="269"/>
      <c r="CK152" s="269"/>
      <c r="CL152" s="269"/>
      <c r="CM152" s="269"/>
      <c r="CN152" s="269"/>
      <c r="CO152" s="269"/>
      <c r="CP152" s="269"/>
      <c r="CQ152" s="269"/>
      <c r="CR152" s="269"/>
      <c r="CS152" s="269"/>
      <c r="CT152" s="269"/>
      <c r="CU152" s="269"/>
      <c r="CV152" s="269"/>
      <c r="CW152" s="269"/>
      <c r="CX152" s="269"/>
      <c r="CY152" s="269"/>
      <c r="CZ152" s="269"/>
      <c r="DA152" s="269"/>
      <c r="DB152" s="269"/>
      <c r="DC152" s="269"/>
      <c r="DD152" s="269"/>
      <c r="DE152" s="269"/>
      <c r="DF152" s="269"/>
      <c r="DG152" s="269"/>
      <c r="DH152" s="269"/>
      <c r="DI152" s="269"/>
      <c r="DJ152" s="269"/>
      <c r="DK152" s="269"/>
      <c r="DL152" s="269"/>
      <c r="DM152" s="269"/>
      <c r="DN152" s="269"/>
      <c r="DO152" s="269"/>
      <c r="DP152" s="269"/>
      <c r="DQ152" s="269"/>
      <c r="DR152" s="269"/>
      <c r="DS152" s="269"/>
      <c r="DT152" s="269"/>
      <c r="DU152" s="269"/>
      <c r="DV152" s="269"/>
      <c r="DW152" s="269"/>
      <c r="DX152" s="269"/>
      <c r="DY152" s="269"/>
      <c r="DZ152" s="269"/>
      <c r="EA152" s="269"/>
      <c r="EB152" s="269"/>
    </row>
    <row r="153" spans="1:132">
      <c r="A153" s="269"/>
      <c r="B153" s="269"/>
      <c r="C153" s="269"/>
      <c r="D153" s="269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  <c r="AA153" s="269"/>
      <c r="AB153" s="269"/>
      <c r="AC153" s="269"/>
      <c r="AD153" s="269"/>
      <c r="AE153" s="269"/>
      <c r="AF153" s="269"/>
      <c r="AG153" s="269"/>
      <c r="AH153" s="269"/>
      <c r="AI153" s="269"/>
      <c r="AJ153" s="269"/>
      <c r="AK153" s="269"/>
      <c r="AL153" s="269"/>
      <c r="AM153" s="269"/>
      <c r="AN153" s="269"/>
      <c r="AO153" s="269"/>
      <c r="AP153" s="269"/>
      <c r="AQ153" s="269"/>
      <c r="AR153" s="269"/>
      <c r="AS153" s="269"/>
      <c r="AT153" s="269"/>
      <c r="AU153" s="269"/>
      <c r="AV153" s="269"/>
      <c r="AW153" s="269"/>
      <c r="AX153" s="269"/>
      <c r="AY153" s="269"/>
      <c r="AZ153" s="269"/>
      <c r="BA153" s="269"/>
      <c r="BB153" s="269"/>
      <c r="BC153" s="269"/>
      <c r="BD153" s="269"/>
      <c r="BE153" s="269"/>
      <c r="BF153" s="269"/>
      <c r="BG153" s="269"/>
      <c r="BH153" s="269"/>
      <c r="BI153" s="269"/>
      <c r="BJ153" s="269"/>
      <c r="BK153" s="269"/>
      <c r="BL153" s="269"/>
      <c r="BM153" s="269"/>
      <c r="BN153" s="269"/>
      <c r="BO153" s="269"/>
      <c r="BP153" s="269"/>
      <c r="BQ153" s="269"/>
      <c r="BR153" s="269"/>
      <c r="BS153" s="269"/>
      <c r="BT153" s="269"/>
      <c r="BU153" s="269"/>
      <c r="BV153" s="269"/>
      <c r="BW153" s="269"/>
      <c r="BX153" s="269"/>
      <c r="BY153" s="269"/>
      <c r="BZ153" s="269"/>
      <c r="CA153" s="269"/>
      <c r="CB153" s="269"/>
      <c r="CC153" s="269"/>
      <c r="CD153" s="269"/>
      <c r="CE153" s="269"/>
      <c r="CF153" s="269"/>
      <c r="CG153" s="269"/>
      <c r="CH153" s="269"/>
      <c r="CI153" s="269"/>
      <c r="CJ153" s="269"/>
      <c r="CK153" s="269"/>
      <c r="CL153" s="269"/>
      <c r="CM153" s="269"/>
      <c r="CN153" s="269"/>
      <c r="CO153" s="269"/>
      <c r="CP153" s="269"/>
      <c r="CQ153" s="269"/>
      <c r="CR153" s="269"/>
      <c r="CS153" s="269"/>
      <c r="CT153" s="269"/>
      <c r="CU153" s="269"/>
      <c r="CV153" s="269"/>
      <c r="CW153" s="269"/>
      <c r="CX153" s="269"/>
      <c r="CY153" s="269"/>
      <c r="CZ153" s="269"/>
      <c r="DA153" s="269"/>
      <c r="DB153" s="269"/>
      <c r="DC153" s="269"/>
      <c r="DD153" s="269"/>
      <c r="DE153" s="269"/>
      <c r="DF153" s="269"/>
      <c r="DG153" s="269"/>
      <c r="DH153" s="269"/>
      <c r="DI153" s="269"/>
      <c r="DJ153" s="269"/>
      <c r="DK153" s="269"/>
      <c r="DL153" s="269"/>
      <c r="DM153" s="269"/>
      <c r="DN153" s="269"/>
      <c r="DO153" s="269"/>
      <c r="DP153" s="269"/>
      <c r="DQ153" s="269"/>
      <c r="DR153" s="269"/>
      <c r="DS153" s="269"/>
      <c r="DT153" s="269"/>
      <c r="DU153" s="269"/>
      <c r="DV153" s="269"/>
      <c r="DW153" s="269"/>
      <c r="DX153" s="269"/>
      <c r="DY153" s="269"/>
      <c r="DZ153" s="269"/>
      <c r="EA153" s="269"/>
      <c r="EB153" s="269"/>
    </row>
    <row r="154" spans="1:132">
      <c r="A154" s="269"/>
      <c r="B154" s="269"/>
      <c r="C154" s="268"/>
      <c r="D154" s="269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  <c r="AA154" s="269"/>
      <c r="AB154" s="269"/>
      <c r="AC154" s="269"/>
      <c r="AD154" s="269"/>
      <c r="AE154" s="269"/>
      <c r="AF154" s="269"/>
      <c r="AG154" s="269"/>
      <c r="AH154" s="269"/>
      <c r="AI154" s="269"/>
      <c r="AJ154" s="269"/>
      <c r="AK154" s="269"/>
      <c r="AL154" s="269"/>
      <c r="AM154" s="269"/>
      <c r="AN154" s="269"/>
      <c r="AO154" s="269"/>
      <c r="AP154" s="269"/>
      <c r="AQ154" s="269"/>
      <c r="AR154" s="269"/>
      <c r="AS154" s="269"/>
      <c r="AT154" s="269"/>
      <c r="AU154" s="269"/>
      <c r="AV154" s="269"/>
      <c r="AW154" s="269"/>
      <c r="AX154" s="269"/>
      <c r="AY154" s="269"/>
      <c r="AZ154" s="269"/>
      <c r="BA154" s="269"/>
      <c r="BB154" s="269"/>
      <c r="BC154" s="269"/>
      <c r="BD154" s="269"/>
      <c r="BE154" s="269"/>
      <c r="BF154" s="269"/>
      <c r="BG154" s="269"/>
      <c r="BH154" s="269"/>
      <c r="BI154" s="269"/>
      <c r="BJ154" s="269"/>
      <c r="BK154" s="269"/>
      <c r="BL154" s="269"/>
      <c r="BM154" s="269"/>
      <c r="BN154" s="269"/>
      <c r="BO154" s="269"/>
      <c r="BP154" s="269"/>
      <c r="BQ154" s="269"/>
      <c r="BR154" s="269"/>
      <c r="BS154" s="269"/>
      <c r="BT154" s="269"/>
      <c r="BU154" s="269"/>
      <c r="BV154" s="269"/>
      <c r="BW154" s="269"/>
      <c r="BX154" s="269"/>
      <c r="BY154" s="269"/>
      <c r="BZ154" s="269"/>
      <c r="CA154" s="269"/>
      <c r="CB154" s="269"/>
      <c r="CC154" s="269"/>
      <c r="CD154" s="269"/>
      <c r="CE154" s="269"/>
      <c r="CF154" s="269"/>
      <c r="CG154" s="269"/>
      <c r="CH154" s="269"/>
      <c r="CI154" s="269"/>
      <c r="CJ154" s="269"/>
      <c r="CK154" s="269"/>
      <c r="CL154" s="269"/>
      <c r="CM154" s="269"/>
      <c r="CN154" s="269"/>
      <c r="CO154" s="269"/>
      <c r="CP154" s="269"/>
      <c r="CQ154" s="269"/>
      <c r="CR154" s="269"/>
      <c r="CS154" s="269"/>
      <c r="CT154" s="269"/>
      <c r="CU154" s="269"/>
      <c r="CV154" s="269"/>
      <c r="CW154" s="269"/>
      <c r="CX154" s="269"/>
      <c r="CY154" s="269"/>
      <c r="CZ154" s="269"/>
      <c r="DA154" s="269"/>
      <c r="DB154" s="269"/>
      <c r="DC154" s="269"/>
      <c r="DD154" s="269"/>
      <c r="DE154" s="269"/>
      <c r="DF154" s="269"/>
      <c r="DG154" s="269"/>
      <c r="DH154" s="269"/>
      <c r="DI154" s="269"/>
      <c r="DJ154" s="269"/>
      <c r="DK154" s="269"/>
      <c r="DL154" s="269"/>
      <c r="DM154" s="269"/>
      <c r="DN154" s="269"/>
      <c r="DO154" s="269"/>
      <c r="DP154" s="269"/>
      <c r="DQ154" s="269"/>
      <c r="DR154" s="269"/>
      <c r="DS154" s="269"/>
      <c r="DT154" s="269"/>
      <c r="DU154" s="269"/>
      <c r="DV154" s="269"/>
      <c r="DW154" s="269"/>
      <c r="DX154" s="269"/>
      <c r="DY154" s="269"/>
      <c r="DZ154" s="269"/>
      <c r="EA154" s="269"/>
      <c r="EB154" s="269"/>
    </row>
    <row r="155" spans="1:132">
      <c r="A155" s="269"/>
      <c r="B155" s="269"/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  <c r="AA155" s="269"/>
      <c r="AB155" s="269"/>
      <c r="AC155" s="269"/>
      <c r="AD155" s="269"/>
      <c r="AE155" s="269"/>
      <c r="AF155" s="269"/>
      <c r="AG155" s="269"/>
      <c r="AH155" s="269"/>
      <c r="AI155" s="269"/>
      <c r="AJ155" s="269"/>
      <c r="AK155" s="269"/>
      <c r="AL155" s="269"/>
      <c r="AM155" s="269"/>
      <c r="AN155" s="269"/>
      <c r="AO155" s="269"/>
      <c r="AP155" s="269"/>
      <c r="AQ155" s="269"/>
      <c r="AR155" s="269"/>
      <c r="AS155" s="269"/>
      <c r="AT155" s="269"/>
      <c r="AU155" s="269"/>
      <c r="AV155" s="269"/>
      <c r="AW155" s="269"/>
      <c r="AX155" s="269"/>
      <c r="AY155" s="269"/>
      <c r="AZ155" s="269"/>
      <c r="BA155" s="269"/>
      <c r="BB155" s="269"/>
      <c r="BC155" s="269"/>
      <c r="BD155" s="269"/>
      <c r="BE155" s="269"/>
      <c r="BF155" s="269"/>
      <c r="BG155" s="269"/>
      <c r="BH155" s="269"/>
      <c r="BI155" s="269"/>
      <c r="BJ155" s="269"/>
      <c r="BK155" s="269"/>
      <c r="BL155" s="269"/>
      <c r="BM155" s="269"/>
      <c r="BN155" s="269"/>
      <c r="BO155" s="269"/>
      <c r="BP155" s="269"/>
      <c r="BQ155" s="269"/>
      <c r="BR155" s="269"/>
      <c r="BS155" s="269"/>
      <c r="BT155" s="269"/>
      <c r="BU155" s="269"/>
      <c r="BV155" s="269"/>
      <c r="BW155" s="269"/>
      <c r="BX155" s="269"/>
      <c r="BY155" s="269"/>
      <c r="BZ155" s="269"/>
      <c r="CA155" s="269"/>
      <c r="CB155" s="269"/>
      <c r="CC155" s="269"/>
      <c r="CD155" s="269"/>
      <c r="CE155" s="269"/>
      <c r="CF155" s="269"/>
      <c r="CG155" s="269"/>
      <c r="CH155" s="269"/>
      <c r="CI155" s="269"/>
      <c r="CJ155" s="269"/>
      <c r="CK155" s="269"/>
      <c r="CL155" s="269"/>
      <c r="CM155" s="269"/>
      <c r="CN155" s="269"/>
      <c r="CO155" s="269"/>
      <c r="CP155" s="269"/>
      <c r="CQ155" s="269"/>
      <c r="CR155" s="269"/>
      <c r="CS155" s="269"/>
      <c r="CT155" s="269"/>
      <c r="CU155" s="269"/>
      <c r="CV155" s="269"/>
      <c r="CW155" s="269"/>
      <c r="CX155" s="269"/>
      <c r="CY155" s="269"/>
      <c r="CZ155" s="269"/>
      <c r="DA155" s="269"/>
      <c r="DB155" s="269"/>
      <c r="DC155" s="269"/>
      <c r="DD155" s="269"/>
      <c r="DE155" s="269"/>
      <c r="DF155" s="269"/>
      <c r="DG155" s="269"/>
      <c r="DH155" s="269"/>
      <c r="DI155" s="269"/>
      <c r="DJ155" s="269"/>
      <c r="DK155" s="269"/>
      <c r="DL155" s="269"/>
      <c r="DM155" s="269"/>
      <c r="DN155" s="269"/>
      <c r="DO155" s="269"/>
      <c r="DP155" s="269"/>
      <c r="DQ155" s="269"/>
      <c r="DR155" s="269"/>
      <c r="DS155" s="269"/>
      <c r="DT155" s="269"/>
      <c r="DU155" s="269"/>
      <c r="DV155" s="269"/>
      <c r="DW155" s="269"/>
      <c r="DX155" s="269"/>
      <c r="DY155" s="269"/>
      <c r="DZ155" s="269"/>
      <c r="EA155" s="269"/>
      <c r="EB155" s="269"/>
    </row>
    <row r="156" spans="1:132">
      <c r="A156" s="269"/>
      <c r="B156" s="269"/>
      <c r="C156" s="269"/>
      <c r="D156" s="269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  <c r="AA156" s="269"/>
      <c r="AB156" s="269"/>
      <c r="AC156" s="269"/>
      <c r="AD156" s="269"/>
      <c r="AE156" s="269"/>
      <c r="AF156" s="269"/>
      <c r="AG156" s="269"/>
      <c r="AH156" s="269"/>
      <c r="AI156" s="269"/>
      <c r="AJ156" s="269"/>
      <c r="AK156" s="269"/>
      <c r="AL156" s="269"/>
      <c r="AM156" s="269"/>
      <c r="AN156" s="269"/>
      <c r="AO156" s="269"/>
      <c r="AP156" s="269"/>
      <c r="AQ156" s="269"/>
      <c r="AR156" s="269"/>
      <c r="AS156" s="269"/>
      <c r="AT156" s="269"/>
      <c r="AU156" s="269"/>
      <c r="AV156" s="269"/>
      <c r="AW156" s="269"/>
      <c r="AX156" s="269"/>
      <c r="AY156" s="269"/>
      <c r="AZ156" s="269"/>
      <c r="BA156" s="269"/>
      <c r="BB156" s="269"/>
      <c r="BC156" s="269"/>
      <c r="BD156" s="269"/>
      <c r="BE156" s="269"/>
      <c r="BF156" s="269"/>
      <c r="BG156" s="269"/>
      <c r="BH156" s="269"/>
      <c r="BI156" s="269"/>
      <c r="BJ156" s="269"/>
      <c r="BK156" s="269"/>
      <c r="BL156" s="269"/>
      <c r="BM156" s="269"/>
      <c r="BN156" s="269"/>
      <c r="BO156" s="269"/>
      <c r="BP156" s="269"/>
      <c r="BQ156" s="269"/>
      <c r="BR156" s="269"/>
      <c r="BS156" s="269"/>
      <c r="BT156" s="269"/>
      <c r="BU156" s="269"/>
      <c r="BV156" s="269"/>
      <c r="BW156" s="269"/>
      <c r="BX156" s="269"/>
      <c r="BY156" s="269"/>
      <c r="BZ156" s="269"/>
      <c r="CA156" s="269"/>
      <c r="CB156" s="269"/>
      <c r="CC156" s="269"/>
      <c r="CD156" s="269"/>
      <c r="CE156" s="269"/>
      <c r="CF156" s="269"/>
      <c r="CG156" s="269"/>
      <c r="CH156" s="269"/>
      <c r="CI156" s="269"/>
      <c r="CJ156" s="269"/>
      <c r="CK156" s="269"/>
      <c r="CL156" s="269"/>
      <c r="CM156" s="269"/>
      <c r="CN156" s="269"/>
      <c r="CO156" s="269"/>
      <c r="CP156" s="269"/>
      <c r="CQ156" s="269"/>
      <c r="CR156" s="269"/>
      <c r="CS156" s="269"/>
      <c r="CT156" s="269"/>
      <c r="CU156" s="269"/>
      <c r="CV156" s="269"/>
      <c r="CW156" s="269"/>
      <c r="CX156" s="269"/>
      <c r="CY156" s="269"/>
      <c r="CZ156" s="269"/>
      <c r="DA156" s="269"/>
      <c r="DB156" s="269"/>
      <c r="DC156" s="269"/>
      <c r="DD156" s="269"/>
      <c r="DE156" s="269"/>
      <c r="DF156" s="269"/>
      <c r="DG156" s="269"/>
      <c r="DH156" s="269"/>
      <c r="DI156" s="269"/>
      <c r="DJ156" s="269"/>
      <c r="DK156" s="269"/>
      <c r="DL156" s="269"/>
      <c r="DM156" s="269"/>
      <c r="DN156" s="269"/>
      <c r="DO156" s="269"/>
      <c r="DP156" s="269"/>
      <c r="DQ156" s="269"/>
      <c r="DR156" s="269"/>
      <c r="DS156" s="269"/>
      <c r="DT156" s="269"/>
      <c r="DU156" s="269"/>
      <c r="DV156" s="269"/>
      <c r="DW156" s="269"/>
      <c r="DX156" s="269"/>
      <c r="DY156" s="269"/>
      <c r="DZ156" s="269"/>
      <c r="EA156" s="269"/>
      <c r="EB156" s="269"/>
    </row>
    <row r="157" spans="1:132">
      <c r="A157" s="269"/>
      <c r="B157" s="269"/>
      <c r="C157" s="269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  <c r="AA157" s="269"/>
      <c r="AB157" s="269"/>
      <c r="AC157" s="269"/>
      <c r="AD157" s="269"/>
      <c r="AE157" s="269"/>
      <c r="AF157" s="269"/>
      <c r="AG157" s="269"/>
      <c r="AH157" s="269"/>
      <c r="AI157" s="269"/>
      <c r="AJ157" s="269"/>
      <c r="AK157" s="269"/>
      <c r="AL157" s="269"/>
      <c r="AM157" s="269"/>
      <c r="AN157" s="269"/>
      <c r="AO157" s="269"/>
      <c r="AP157" s="269"/>
      <c r="AQ157" s="269"/>
      <c r="AR157" s="269"/>
      <c r="AS157" s="269"/>
      <c r="AT157" s="269"/>
      <c r="AU157" s="269"/>
      <c r="AV157" s="269"/>
      <c r="AW157" s="269"/>
      <c r="AX157" s="269"/>
      <c r="AY157" s="269"/>
      <c r="AZ157" s="269"/>
      <c r="BA157" s="269"/>
      <c r="BB157" s="269"/>
      <c r="BC157" s="269"/>
      <c r="BD157" s="269"/>
      <c r="BE157" s="269"/>
      <c r="BF157" s="269"/>
      <c r="BG157" s="269"/>
      <c r="BH157" s="269"/>
      <c r="BI157" s="269"/>
      <c r="BJ157" s="269"/>
      <c r="BK157" s="269"/>
      <c r="BL157" s="269"/>
      <c r="BM157" s="269"/>
      <c r="BN157" s="269"/>
      <c r="BO157" s="269"/>
      <c r="BP157" s="269"/>
      <c r="BQ157" s="269"/>
      <c r="BR157" s="269"/>
      <c r="BS157" s="269"/>
      <c r="BT157" s="269"/>
      <c r="BU157" s="269"/>
      <c r="BV157" s="269"/>
      <c r="BW157" s="269"/>
      <c r="BX157" s="269"/>
      <c r="BY157" s="269"/>
      <c r="BZ157" s="269"/>
      <c r="CA157" s="269"/>
      <c r="CB157" s="269"/>
      <c r="CC157" s="269"/>
      <c r="CD157" s="269"/>
      <c r="CE157" s="269"/>
      <c r="CF157" s="269"/>
      <c r="CG157" s="269"/>
      <c r="CH157" s="269"/>
      <c r="CI157" s="269"/>
      <c r="CJ157" s="269"/>
      <c r="CK157" s="269"/>
      <c r="CL157" s="269"/>
      <c r="CM157" s="269"/>
      <c r="CN157" s="269"/>
      <c r="CO157" s="269"/>
      <c r="CP157" s="269"/>
      <c r="CQ157" s="269"/>
      <c r="CR157" s="269"/>
      <c r="CS157" s="269"/>
      <c r="CT157" s="269"/>
      <c r="CU157" s="269"/>
      <c r="CV157" s="269"/>
      <c r="CW157" s="269"/>
      <c r="CX157" s="269"/>
      <c r="CY157" s="269"/>
      <c r="CZ157" s="269"/>
      <c r="DA157" s="269"/>
      <c r="DB157" s="269"/>
      <c r="DC157" s="269"/>
      <c r="DD157" s="269"/>
      <c r="DE157" s="269"/>
      <c r="DF157" s="269"/>
      <c r="DG157" s="269"/>
      <c r="DH157" s="269"/>
      <c r="DI157" s="269"/>
      <c r="DJ157" s="269"/>
      <c r="DK157" s="269"/>
      <c r="DL157" s="269"/>
      <c r="DM157" s="269"/>
      <c r="DN157" s="269"/>
      <c r="DO157" s="269"/>
      <c r="DP157" s="269"/>
      <c r="DQ157" s="269"/>
      <c r="DR157" s="269"/>
      <c r="DS157" s="269"/>
      <c r="DT157" s="269"/>
      <c r="DU157" s="269"/>
      <c r="DV157" s="269"/>
      <c r="DW157" s="269"/>
      <c r="DX157" s="269"/>
      <c r="DY157" s="269"/>
      <c r="DZ157" s="269"/>
      <c r="EA157" s="269"/>
      <c r="EB157" s="269"/>
    </row>
    <row r="158" spans="1:132">
      <c r="A158" s="269"/>
      <c r="B158" s="269"/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  <c r="AA158" s="269"/>
      <c r="AB158" s="269"/>
      <c r="AC158" s="269"/>
      <c r="AD158" s="269"/>
      <c r="AE158" s="269"/>
      <c r="AF158" s="269"/>
      <c r="AG158" s="269"/>
      <c r="AH158" s="269"/>
      <c r="AI158" s="269"/>
      <c r="AJ158" s="269"/>
      <c r="AK158" s="269"/>
      <c r="AL158" s="269"/>
      <c r="AM158" s="269"/>
      <c r="AN158" s="269"/>
      <c r="AO158" s="269"/>
      <c r="AP158" s="269"/>
      <c r="AQ158" s="269"/>
      <c r="AR158" s="269"/>
      <c r="AS158" s="269"/>
      <c r="AT158" s="269"/>
      <c r="AU158" s="269"/>
      <c r="AV158" s="269"/>
      <c r="AW158" s="269"/>
      <c r="AX158" s="269"/>
      <c r="AY158" s="269"/>
      <c r="AZ158" s="269"/>
      <c r="BA158" s="269"/>
      <c r="BB158" s="269"/>
      <c r="BC158" s="269"/>
      <c r="BD158" s="269"/>
      <c r="BE158" s="269"/>
      <c r="BF158" s="269"/>
      <c r="BG158" s="269"/>
      <c r="BH158" s="269"/>
      <c r="BI158" s="269"/>
      <c r="BJ158" s="269"/>
      <c r="BK158" s="269"/>
      <c r="BL158" s="269"/>
      <c r="BM158" s="269"/>
      <c r="BN158" s="269"/>
      <c r="BO158" s="269"/>
      <c r="BP158" s="269"/>
      <c r="BQ158" s="269"/>
      <c r="BR158" s="269"/>
      <c r="BS158" s="269"/>
      <c r="BT158" s="269"/>
      <c r="BU158" s="269"/>
      <c r="BV158" s="269"/>
      <c r="BW158" s="269"/>
      <c r="BX158" s="269"/>
      <c r="BY158" s="269"/>
      <c r="BZ158" s="269"/>
      <c r="CA158" s="269"/>
      <c r="CB158" s="269"/>
      <c r="CC158" s="269"/>
      <c r="CD158" s="269"/>
      <c r="CE158" s="269"/>
      <c r="CF158" s="269"/>
      <c r="CG158" s="269"/>
      <c r="CH158" s="269"/>
      <c r="CI158" s="269"/>
      <c r="CJ158" s="269"/>
      <c r="CK158" s="269"/>
      <c r="CL158" s="269"/>
      <c r="CM158" s="269"/>
      <c r="CN158" s="269"/>
      <c r="CO158" s="269"/>
      <c r="CP158" s="269"/>
      <c r="CQ158" s="269"/>
      <c r="CR158" s="269"/>
      <c r="CS158" s="269"/>
      <c r="CT158" s="269"/>
      <c r="CU158" s="269"/>
      <c r="CV158" s="269"/>
      <c r="CW158" s="269"/>
      <c r="CX158" s="269"/>
      <c r="CY158" s="269"/>
      <c r="CZ158" s="269"/>
      <c r="DA158" s="269"/>
      <c r="DB158" s="269"/>
      <c r="DC158" s="269"/>
      <c r="DD158" s="269"/>
      <c r="DE158" s="269"/>
      <c r="DF158" s="269"/>
      <c r="DG158" s="269"/>
      <c r="DH158" s="269"/>
      <c r="DI158" s="269"/>
      <c r="DJ158" s="269"/>
      <c r="DK158" s="269"/>
      <c r="DL158" s="269"/>
      <c r="DM158" s="269"/>
      <c r="DN158" s="269"/>
      <c r="DO158" s="269"/>
      <c r="DP158" s="269"/>
      <c r="DQ158" s="269"/>
      <c r="DR158" s="269"/>
      <c r="DS158" s="269"/>
      <c r="DT158" s="269"/>
      <c r="DU158" s="269"/>
      <c r="DV158" s="269"/>
      <c r="DW158" s="269"/>
      <c r="DX158" s="269"/>
      <c r="DY158" s="269"/>
      <c r="DZ158" s="269"/>
      <c r="EA158" s="269"/>
      <c r="EB158" s="269"/>
    </row>
    <row r="159" spans="1:132">
      <c r="A159" s="269"/>
      <c r="B159" s="269"/>
      <c r="C159" s="269"/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  <c r="AA159" s="269"/>
      <c r="AB159" s="269"/>
      <c r="AC159" s="269"/>
      <c r="AD159" s="269"/>
      <c r="AE159" s="269"/>
      <c r="AF159" s="269"/>
      <c r="AG159" s="269"/>
      <c r="AH159" s="269"/>
      <c r="AI159" s="269"/>
      <c r="AJ159" s="269"/>
      <c r="AK159" s="269"/>
      <c r="AL159" s="269"/>
      <c r="AM159" s="269"/>
      <c r="AN159" s="269"/>
      <c r="AO159" s="269"/>
      <c r="AP159" s="269"/>
      <c r="AQ159" s="269"/>
      <c r="AR159" s="269"/>
      <c r="AS159" s="269"/>
      <c r="AT159" s="269"/>
      <c r="AU159" s="269"/>
      <c r="AV159" s="269"/>
      <c r="AW159" s="269"/>
      <c r="AX159" s="269"/>
      <c r="AY159" s="269"/>
      <c r="AZ159" s="269"/>
      <c r="BA159" s="269"/>
      <c r="BB159" s="269"/>
      <c r="BC159" s="269"/>
      <c r="BD159" s="269"/>
      <c r="BE159" s="269"/>
      <c r="BF159" s="269"/>
      <c r="BG159" s="269"/>
      <c r="BH159" s="269"/>
      <c r="BI159" s="269"/>
      <c r="BJ159" s="269"/>
      <c r="BK159" s="269"/>
      <c r="BL159" s="269"/>
      <c r="BM159" s="269"/>
      <c r="BN159" s="269"/>
      <c r="BO159" s="269"/>
      <c r="BP159" s="269"/>
      <c r="BQ159" s="269"/>
      <c r="BR159" s="269"/>
      <c r="BS159" s="269"/>
      <c r="BT159" s="269"/>
      <c r="BU159" s="269"/>
      <c r="BV159" s="269"/>
      <c r="BW159" s="269"/>
      <c r="BX159" s="269"/>
      <c r="BY159" s="269"/>
      <c r="BZ159" s="269"/>
      <c r="CA159" s="269"/>
      <c r="CB159" s="269"/>
      <c r="CC159" s="269"/>
      <c r="CD159" s="269"/>
      <c r="CE159" s="269"/>
      <c r="CF159" s="269"/>
      <c r="CG159" s="269"/>
      <c r="CH159" s="269"/>
      <c r="CI159" s="269"/>
      <c r="CJ159" s="269"/>
      <c r="CK159" s="269"/>
      <c r="CL159" s="269"/>
      <c r="CM159" s="269"/>
      <c r="CN159" s="269"/>
      <c r="CO159" s="269"/>
      <c r="CP159" s="269"/>
      <c r="CQ159" s="269"/>
      <c r="CR159" s="269"/>
      <c r="CS159" s="269"/>
      <c r="CT159" s="269"/>
      <c r="CU159" s="269"/>
      <c r="CV159" s="269"/>
      <c r="CW159" s="269"/>
      <c r="CX159" s="269"/>
      <c r="CY159" s="269"/>
      <c r="CZ159" s="269"/>
      <c r="DA159" s="269"/>
      <c r="DB159" s="269"/>
      <c r="DC159" s="269"/>
      <c r="DD159" s="269"/>
      <c r="DE159" s="269"/>
      <c r="DF159" s="269"/>
      <c r="DG159" s="269"/>
      <c r="DH159" s="269"/>
      <c r="DI159" s="269"/>
      <c r="DJ159" s="269"/>
      <c r="DK159" s="269"/>
      <c r="DL159" s="269"/>
      <c r="DM159" s="269"/>
      <c r="DN159" s="269"/>
      <c r="DO159" s="269"/>
      <c r="DP159" s="269"/>
      <c r="DQ159" s="269"/>
      <c r="DR159" s="269"/>
      <c r="DS159" s="269"/>
      <c r="DT159" s="269"/>
      <c r="DU159" s="269"/>
      <c r="DV159" s="269"/>
      <c r="DW159" s="269"/>
      <c r="DX159" s="269"/>
      <c r="DY159" s="269"/>
      <c r="DZ159" s="269"/>
      <c r="EA159" s="269"/>
      <c r="EB159" s="269"/>
    </row>
    <row r="160" spans="1:132">
      <c r="A160" s="269"/>
      <c r="B160" s="269"/>
      <c r="C160" s="269"/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  <c r="AA160" s="269"/>
      <c r="AB160" s="269"/>
      <c r="AC160" s="269"/>
      <c r="AD160" s="269"/>
      <c r="AE160" s="269"/>
      <c r="AF160" s="269"/>
      <c r="AG160" s="269"/>
      <c r="AH160" s="269"/>
      <c r="AI160" s="269"/>
      <c r="AJ160" s="269"/>
      <c r="AK160" s="269"/>
      <c r="AL160" s="269"/>
      <c r="AM160" s="269"/>
      <c r="AN160" s="269"/>
      <c r="AO160" s="269"/>
      <c r="AP160" s="269"/>
      <c r="AQ160" s="269"/>
      <c r="AR160" s="269"/>
      <c r="AS160" s="269"/>
      <c r="AT160" s="269"/>
      <c r="AU160" s="269"/>
      <c r="AV160" s="269"/>
      <c r="AW160" s="269"/>
      <c r="AX160" s="269"/>
      <c r="AY160" s="269"/>
      <c r="AZ160" s="269"/>
      <c r="BA160" s="269"/>
      <c r="BB160" s="269"/>
      <c r="BC160" s="269"/>
      <c r="BD160" s="269"/>
      <c r="BE160" s="269"/>
      <c r="BF160" s="269"/>
      <c r="BG160" s="269"/>
      <c r="BH160" s="269"/>
      <c r="BI160" s="269"/>
      <c r="BJ160" s="269"/>
      <c r="BK160" s="269"/>
      <c r="BL160" s="269"/>
      <c r="BM160" s="269"/>
      <c r="BN160" s="269"/>
      <c r="BO160" s="269"/>
      <c r="BP160" s="269"/>
      <c r="BQ160" s="269"/>
      <c r="BR160" s="269"/>
      <c r="BS160" s="269"/>
      <c r="BT160" s="269"/>
      <c r="BU160" s="269"/>
      <c r="BV160" s="269"/>
      <c r="BW160" s="269"/>
      <c r="BX160" s="269"/>
      <c r="BY160" s="269"/>
      <c r="BZ160" s="269"/>
      <c r="CA160" s="269"/>
      <c r="CB160" s="269"/>
      <c r="CC160" s="269"/>
      <c r="CD160" s="269"/>
      <c r="CE160" s="269"/>
      <c r="CF160" s="269"/>
      <c r="CG160" s="269"/>
      <c r="CH160" s="269"/>
      <c r="CI160" s="269"/>
      <c r="CJ160" s="269"/>
      <c r="CK160" s="269"/>
      <c r="CL160" s="269"/>
      <c r="CM160" s="269"/>
      <c r="CN160" s="269"/>
      <c r="CO160" s="269"/>
      <c r="CP160" s="269"/>
      <c r="CQ160" s="269"/>
      <c r="CR160" s="269"/>
      <c r="CS160" s="269"/>
      <c r="CT160" s="269"/>
      <c r="CU160" s="269"/>
      <c r="CV160" s="269"/>
      <c r="CW160" s="269"/>
      <c r="CX160" s="269"/>
      <c r="CY160" s="269"/>
      <c r="CZ160" s="269"/>
      <c r="DA160" s="269"/>
      <c r="DB160" s="269"/>
      <c r="DC160" s="269"/>
      <c r="DD160" s="269"/>
      <c r="DE160" s="269"/>
      <c r="DF160" s="269"/>
      <c r="DG160" s="269"/>
      <c r="DH160" s="269"/>
      <c r="DI160" s="269"/>
      <c r="DJ160" s="269"/>
      <c r="DK160" s="269"/>
      <c r="DL160" s="269"/>
      <c r="DM160" s="269"/>
      <c r="DN160" s="269"/>
      <c r="DO160" s="269"/>
      <c r="DP160" s="269"/>
      <c r="DQ160" s="269"/>
      <c r="DR160" s="269"/>
      <c r="DS160" s="269"/>
      <c r="DT160" s="269"/>
      <c r="DU160" s="269"/>
      <c r="DV160" s="269"/>
      <c r="DW160" s="269"/>
      <c r="DX160" s="269"/>
      <c r="DY160" s="269"/>
      <c r="DZ160" s="269"/>
      <c r="EA160" s="269"/>
      <c r="EB160" s="269"/>
    </row>
    <row r="161" spans="1:132">
      <c r="A161" s="269"/>
      <c r="B161" s="269"/>
      <c r="C161" s="269"/>
      <c r="D161" s="269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  <c r="AA161" s="269"/>
      <c r="AB161" s="269"/>
      <c r="AC161" s="269"/>
      <c r="AD161" s="269"/>
      <c r="AE161" s="269"/>
      <c r="AF161" s="269"/>
      <c r="AG161" s="269"/>
      <c r="AH161" s="269"/>
      <c r="AI161" s="269"/>
      <c r="AJ161" s="269"/>
      <c r="AK161" s="269"/>
      <c r="AL161" s="269"/>
      <c r="AM161" s="269"/>
      <c r="AN161" s="269"/>
      <c r="AO161" s="269"/>
      <c r="AP161" s="269"/>
      <c r="AQ161" s="269"/>
      <c r="AR161" s="269"/>
      <c r="AS161" s="269"/>
      <c r="AT161" s="269"/>
      <c r="AU161" s="269"/>
      <c r="AV161" s="269"/>
      <c r="AW161" s="269"/>
      <c r="AX161" s="269"/>
      <c r="AY161" s="269"/>
      <c r="AZ161" s="269"/>
      <c r="BA161" s="269"/>
      <c r="BB161" s="269"/>
      <c r="BC161" s="269"/>
      <c r="BD161" s="269"/>
      <c r="BE161" s="269"/>
      <c r="BF161" s="269"/>
      <c r="BG161" s="269"/>
      <c r="BH161" s="269"/>
      <c r="BI161" s="269"/>
      <c r="BJ161" s="269"/>
      <c r="BK161" s="269"/>
      <c r="BL161" s="269"/>
      <c r="BM161" s="269"/>
      <c r="BN161" s="269"/>
      <c r="BO161" s="269"/>
      <c r="BP161" s="269"/>
      <c r="BQ161" s="269"/>
      <c r="BR161" s="269"/>
      <c r="BS161" s="269"/>
      <c r="BT161" s="269"/>
      <c r="BU161" s="269"/>
      <c r="BV161" s="269"/>
      <c r="BW161" s="269"/>
      <c r="BX161" s="269"/>
      <c r="BY161" s="269"/>
      <c r="BZ161" s="269"/>
      <c r="CA161" s="269"/>
      <c r="CB161" s="269"/>
      <c r="CC161" s="269"/>
      <c r="CD161" s="269"/>
      <c r="CE161" s="269"/>
      <c r="CF161" s="269"/>
      <c r="CG161" s="269"/>
      <c r="CH161" s="269"/>
      <c r="CI161" s="269"/>
      <c r="CJ161" s="269"/>
      <c r="CK161" s="269"/>
      <c r="CL161" s="269"/>
      <c r="CM161" s="269"/>
      <c r="CN161" s="269"/>
      <c r="CO161" s="269"/>
      <c r="CP161" s="269"/>
      <c r="CQ161" s="269"/>
      <c r="CR161" s="269"/>
      <c r="CS161" s="269"/>
      <c r="CT161" s="269"/>
      <c r="CU161" s="269"/>
      <c r="CV161" s="269"/>
      <c r="CW161" s="269"/>
      <c r="CX161" s="269"/>
      <c r="CY161" s="269"/>
      <c r="CZ161" s="269"/>
      <c r="DA161" s="269"/>
      <c r="DB161" s="269"/>
      <c r="DC161" s="269"/>
      <c r="DD161" s="269"/>
      <c r="DE161" s="269"/>
      <c r="DF161" s="269"/>
      <c r="DG161" s="269"/>
      <c r="DH161" s="269"/>
      <c r="DI161" s="269"/>
      <c r="DJ161" s="269"/>
      <c r="DK161" s="269"/>
      <c r="DL161" s="269"/>
      <c r="DM161" s="269"/>
      <c r="DN161" s="269"/>
      <c r="DO161" s="269"/>
      <c r="DP161" s="269"/>
      <c r="DQ161" s="269"/>
      <c r="DR161" s="269"/>
      <c r="DS161" s="269"/>
      <c r="DT161" s="269"/>
      <c r="DU161" s="269"/>
      <c r="DV161" s="269"/>
      <c r="DW161" s="269"/>
      <c r="DX161" s="269"/>
      <c r="DY161" s="269"/>
      <c r="DZ161" s="269"/>
      <c r="EA161" s="269"/>
      <c r="EB161" s="269"/>
    </row>
  </sheetData>
  <mergeCells count="98">
    <mergeCell ref="L25:M25"/>
    <mergeCell ref="C121:AW121"/>
    <mergeCell ref="H27:I27"/>
    <mergeCell ref="J27:K27"/>
    <mergeCell ref="L27:M27"/>
    <mergeCell ref="C91:AW91"/>
    <mergeCell ref="C92:D92"/>
    <mergeCell ref="H26:I26"/>
    <mergeCell ref="J26:K26"/>
    <mergeCell ref="L26:M26"/>
    <mergeCell ref="C27:G27"/>
    <mergeCell ref="C57:AW57"/>
    <mergeCell ref="C122:D122"/>
    <mergeCell ref="J21:K21"/>
    <mergeCell ref="J22:K22"/>
    <mergeCell ref="L21:M21"/>
    <mergeCell ref="L22:M22"/>
    <mergeCell ref="C26:G26"/>
    <mergeCell ref="C21:G21"/>
    <mergeCell ref="C22:G22"/>
    <mergeCell ref="C23:G23"/>
    <mergeCell ref="C24:G24"/>
    <mergeCell ref="C25:G25"/>
    <mergeCell ref="H21:I21"/>
    <mergeCell ref="H22:I22"/>
    <mergeCell ref="H23:I23"/>
    <mergeCell ref="H25:I25"/>
    <mergeCell ref="J25:K25"/>
    <mergeCell ref="AX30:AY30"/>
    <mergeCell ref="C31:D32"/>
    <mergeCell ref="E31:AW31"/>
    <mergeCell ref="AX31:AX32"/>
    <mergeCell ref="AY31:AY32"/>
    <mergeCell ref="C30:AW30"/>
    <mergeCell ref="C17:G17"/>
    <mergeCell ref="H17:I17"/>
    <mergeCell ref="J17:K17"/>
    <mergeCell ref="L17:M17"/>
    <mergeCell ref="H14:I14"/>
    <mergeCell ref="C16:G16"/>
    <mergeCell ref="J14:K14"/>
    <mergeCell ref="H15:I15"/>
    <mergeCell ref="J15:K15"/>
    <mergeCell ref="L14:M14"/>
    <mergeCell ref="C14:G14"/>
    <mergeCell ref="H16:I16"/>
    <mergeCell ref="J16:K16"/>
    <mergeCell ref="L16:M16"/>
    <mergeCell ref="C15:G15"/>
    <mergeCell ref="A3:D3"/>
    <mergeCell ref="H11:I11"/>
    <mergeCell ref="L13:M13"/>
    <mergeCell ref="H13:I13"/>
    <mergeCell ref="J13:K13"/>
    <mergeCell ref="J11:K11"/>
    <mergeCell ref="C13:G13"/>
    <mergeCell ref="L12:M12"/>
    <mergeCell ref="L11:M11"/>
    <mergeCell ref="C11:G11"/>
    <mergeCell ref="C7:AD7"/>
    <mergeCell ref="C8:AD8"/>
    <mergeCell ref="L19:M19"/>
    <mergeCell ref="C12:G12"/>
    <mergeCell ref="H12:I12"/>
    <mergeCell ref="J12:K12"/>
    <mergeCell ref="C20:G20"/>
    <mergeCell ref="H20:I20"/>
    <mergeCell ref="J20:K20"/>
    <mergeCell ref="L20:M20"/>
    <mergeCell ref="L15:M15"/>
    <mergeCell ref="L18:M18"/>
    <mergeCell ref="C18:G18"/>
    <mergeCell ref="H18:I18"/>
    <mergeCell ref="J18:K18"/>
    <mergeCell ref="C19:G19"/>
    <mergeCell ref="H19:I19"/>
    <mergeCell ref="J19:K19"/>
    <mergeCell ref="J23:K23"/>
    <mergeCell ref="L23:M23"/>
    <mergeCell ref="H24:I24"/>
    <mergeCell ref="J24:K24"/>
    <mergeCell ref="L24:M24"/>
    <mergeCell ref="CU61:CU62"/>
    <mergeCell ref="C87:AW87"/>
    <mergeCell ref="AZ87:CT87"/>
    <mergeCell ref="C117:AW117"/>
    <mergeCell ref="C147:AW147"/>
    <mergeCell ref="AZ117:CT117"/>
    <mergeCell ref="AZ147:CT147"/>
    <mergeCell ref="AZ92:BA92"/>
    <mergeCell ref="AZ121:CT121"/>
    <mergeCell ref="AZ122:BA122"/>
    <mergeCell ref="C61:D62"/>
    <mergeCell ref="E61:AW61"/>
    <mergeCell ref="AZ61:BA62"/>
    <mergeCell ref="BB61:CT61"/>
    <mergeCell ref="AZ91:CT91"/>
    <mergeCell ref="AX61:AX62"/>
  </mergeCells>
  <phoneticPr fontId="11" type="noConversion"/>
  <conditionalFormatting sqref="E93:AW116 E123:AW146">
    <cfRule type="cellIs" dxfId="6" priority="5" stopIfTrue="1" operator="lessThan">
      <formula>0</formula>
    </cfRule>
  </conditionalFormatting>
  <conditionalFormatting sqref="BB93:CT116">
    <cfRule type="cellIs" dxfId="5" priority="2" stopIfTrue="1" operator="lessThan">
      <formula>0</formula>
    </cfRule>
  </conditionalFormatting>
  <conditionalFormatting sqref="BB123:CT146">
    <cfRule type="cellIs" dxfId="4" priority="1" stopIfTrue="1" operator="lessThan">
      <formula>0</formula>
    </cfRule>
  </conditionalFormatting>
  <printOptions horizontalCentered="1"/>
  <pageMargins left="0" right="0" top="0" bottom="0" header="0" footer="0"/>
  <pageSetup paperSize="5" scale="4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4"/>
  </sheetPr>
  <dimension ref="A1:N47"/>
  <sheetViews>
    <sheetView zoomScale="85" zoomScaleNormal="85" workbookViewId="0"/>
  </sheetViews>
  <sheetFormatPr baseColWidth="10" defaultColWidth="11.42578125" defaultRowHeight="12.75"/>
  <cols>
    <col min="1" max="1" width="5.140625" customWidth="1"/>
    <col min="2" max="2" width="6" customWidth="1"/>
    <col min="3" max="3" width="6.42578125" style="58" customWidth="1"/>
    <col min="4" max="4" width="6.28515625" style="58" bestFit="1" customWidth="1"/>
    <col min="5" max="5" width="25.7109375" style="59" customWidth="1"/>
    <col min="6" max="6" width="14.140625" bestFit="1" customWidth="1"/>
    <col min="7" max="7" width="15.42578125" bestFit="1" customWidth="1"/>
    <col min="8" max="8" width="17" customWidth="1"/>
    <col min="9" max="9" width="16.85546875" customWidth="1"/>
    <col min="10" max="11" width="17.140625" customWidth="1"/>
    <col min="12" max="12" width="15.42578125" customWidth="1"/>
    <col min="13" max="13" width="37" customWidth="1"/>
    <col min="14" max="14" width="11.5703125" customWidth="1"/>
  </cols>
  <sheetData>
    <row r="1" spans="1:14" ht="41.25" customHeight="1" thickBot="1">
      <c r="A1" s="23"/>
      <c r="B1" s="23"/>
      <c r="C1" s="24"/>
      <c r="D1" s="24"/>
      <c r="E1" s="25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>
      <c r="A2" s="181"/>
      <c r="B2" s="181"/>
      <c r="C2" s="583" t="s">
        <v>319</v>
      </c>
      <c r="D2" s="584"/>
      <c r="E2" s="584"/>
      <c r="F2" s="584"/>
      <c r="G2" s="584"/>
      <c r="H2" s="584"/>
      <c r="I2" s="584"/>
      <c r="J2" s="584"/>
      <c r="K2" s="584"/>
      <c r="L2" s="584"/>
      <c r="M2" s="585"/>
      <c r="N2" s="23"/>
    </row>
    <row r="3" spans="1:14" ht="16.5" thickBot="1">
      <c r="A3" s="23"/>
      <c r="B3" s="23"/>
      <c r="C3" s="597" t="s">
        <v>19</v>
      </c>
      <c r="D3" s="598"/>
      <c r="E3" s="598"/>
      <c r="F3" s="598"/>
      <c r="G3" s="598"/>
      <c r="H3" s="598"/>
      <c r="I3" s="598"/>
      <c r="J3" s="598"/>
      <c r="K3" s="598"/>
      <c r="L3" s="598"/>
      <c r="M3" s="599"/>
      <c r="N3" s="23"/>
    </row>
    <row r="4" spans="1:14" ht="18.75" customHeight="1" thickBot="1">
      <c r="A4" s="23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</row>
    <row r="5" spans="1:14" ht="17.25" customHeight="1" thickBot="1">
      <c r="A5" s="23"/>
      <c r="B5" s="23"/>
      <c r="C5" s="24"/>
      <c r="D5" s="24"/>
      <c r="E5" s="27"/>
      <c r="F5" s="23"/>
      <c r="G5" s="23"/>
      <c r="H5" s="586" t="s">
        <v>65</v>
      </c>
      <c r="I5" s="587"/>
      <c r="J5" s="587"/>
      <c r="K5" s="587"/>
      <c r="L5" s="588"/>
      <c r="M5" s="23"/>
      <c r="N5" s="23"/>
    </row>
    <row r="6" spans="1:14" ht="57.75" customHeight="1">
      <c r="A6" s="23"/>
      <c r="B6" s="23"/>
      <c r="C6" s="223" t="s">
        <v>8</v>
      </c>
      <c r="D6" s="224" t="s">
        <v>9</v>
      </c>
      <c r="E6" s="224" t="s">
        <v>10</v>
      </c>
      <c r="F6" s="225" t="s">
        <v>11</v>
      </c>
      <c r="G6" s="225" t="s">
        <v>20</v>
      </c>
      <c r="H6" s="242" t="s">
        <v>67</v>
      </c>
      <c r="I6" s="226" t="s">
        <v>68</v>
      </c>
      <c r="J6" s="226" t="s">
        <v>84</v>
      </c>
      <c r="K6" s="226" t="s">
        <v>303</v>
      </c>
      <c r="L6" s="226" t="s">
        <v>69</v>
      </c>
      <c r="M6" s="227" t="s">
        <v>58</v>
      </c>
      <c r="N6" s="23"/>
    </row>
    <row r="7" spans="1:14">
      <c r="A7" s="23"/>
      <c r="B7" s="23"/>
      <c r="C7" s="61">
        <v>0</v>
      </c>
      <c r="D7" s="62">
        <v>4.1666666666666664E-2</v>
      </c>
      <c r="E7" s="63" t="s">
        <v>373</v>
      </c>
      <c r="F7" s="298">
        <v>66.210078980000006</v>
      </c>
      <c r="G7" s="299">
        <v>0</v>
      </c>
      <c r="H7" s="228"/>
      <c r="I7" s="228"/>
      <c r="J7" s="228"/>
      <c r="K7" s="228"/>
      <c r="L7" s="228"/>
      <c r="M7" s="237"/>
      <c r="N7" s="23"/>
    </row>
    <row r="8" spans="1:14">
      <c r="A8" s="23"/>
      <c r="B8" s="23"/>
      <c r="C8" s="61">
        <v>4.1666666666666699E-2</v>
      </c>
      <c r="D8" s="62">
        <v>8.3333333333333301E-2</v>
      </c>
      <c r="E8" s="63" t="s">
        <v>373</v>
      </c>
      <c r="F8" s="298">
        <v>66.210078980000006</v>
      </c>
      <c r="G8" s="299">
        <v>0</v>
      </c>
      <c r="H8" s="228"/>
      <c r="I8" s="228"/>
      <c r="J8" s="228"/>
      <c r="K8" s="228"/>
      <c r="L8" s="228"/>
      <c r="M8" s="237"/>
      <c r="N8" s="23"/>
    </row>
    <row r="9" spans="1:14">
      <c r="A9" s="23"/>
      <c r="B9" s="23"/>
      <c r="C9" s="61">
        <v>8.3333333333333301E-2</v>
      </c>
      <c r="D9" s="62">
        <v>0.125</v>
      </c>
      <c r="E9" s="63" t="s">
        <v>373</v>
      </c>
      <c r="F9" s="298">
        <v>66.210078980000006</v>
      </c>
      <c r="G9" s="299">
        <v>0</v>
      </c>
      <c r="H9" s="228"/>
      <c r="I9" s="228"/>
      <c r="J9" s="228"/>
      <c r="K9" s="228"/>
      <c r="L9" s="228"/>
      <c r="M9" s="237"/>
      <c r="N9" s="23"/>
    </row>
    <row r="10" spans="1:14">
      <c r="A10" s="23"/>
      <c r="B10" s="23"/>
      <c r="C10" s="61">
        <v>0.125</v>
      </c>
      <c r="D10" s="62">
        <v>0.16666666666666699</v>
      </c>
      <c r="E10" s="63" t="s">
        <v>373</v>
      </c>
      <c r="F10" s="298">
        <v>66.210078980000006</v>
      </c>
      <c r="G10" s="299">
        <v>0</v>
      </c>
      <c r="H10" s="228"/>
      <c r="I10" s="228"/>
      <c r="J10" s="228"/>
      <c r="K10" s="228"/>
      <c r="L10" s="228"/>
      <c r="M10" s="237"/>
      <c r="N10" s="23"/>
    </row>
    <row r="11" spans="1:14">
      <c r="A11" s="23"/>
      <c r="B11" s="23"/>
      <c r="C11" s="61">
        <v>0.16666666666666699</v>
      </c>
      <c r="D11" s="62">
        <v>0.20833333333333301</v>
      </c>
      <c r="E11" s="63" t="s">
        <v>374</v>
      </c>
      <c r="F11" s="298">
        <v>52.332396029999998</v>
      </c>
      <c r="G11" s="299">
        <v>13.878</v>
      </c>
      <c r="H11" s="228"/>
      <c r="I11" s="228"/>
      <c r="J11" s="228"/>
      <c r="K11" s="228"/>
      <c r="L11" s="228"/>
      <c r="M11" s="237"/>
      <c r="N11" s="23"/>
    </row>
    <row r="12" spans="1:14">
      <c r="A12" s="23"/>
      <c r="B12" s="23"/>
      <c r="C12" s="61">
        <v>0.20833333333333301</v>
      </c>
      <c r="D12" s="62">
        <v>0.25</v>
      </c>
      <c r="E12" s="63" t="s">
        <v>373</v>
      </c>
      <c r="F12" s="298">
        <v>66.210078980000006</v>
      </c>
      <c r="G12" s="299">
        <v>0</v>
      </c>
      <c r="H12" s="228"/>
      <c r="I12" s="228"/>
      <c r="J12" s="228"/>
      <c r="K12" s="228"/>
      <c r="L12" s="228"/>
      <c r="M12" s="237"/>
      <c r="N12" s="23"/>
    </row>
    <row r="13" spans="1:14">
      <c r="A13" s="23"/>
      <c r="B13" s="23"/>
      <c r="C13" s="64">
        <v>0.25</v>
      </c>
      <c r="D13" s="65">
        <v>0.29166666666666702</v>
      </c>
      <c r="E13" s="66" t="s">
        <v>321</v>
      </c>
      <c r="F13" s="300">
        <v>81.03995974</v>
      </c>
      <c r="G13" s="301">
        <v>7.0149999999999997</v>
      </c>
      <c r="H13" s="229"/>
      <c r="I13" s="229"/>
      <c r="J13" s="229"/>
      <c r="K13" s="229"/>
      <c r="L13" s="229"/>
      <c r="M13" s="238"/>
      <c r="N13" s="23"/>
    </row>
    <row r="14" spans="1:14">
      <c r="A14" s="23"/>
      <c r="B14" s="23"/>
      <c r="C14" s="64">
        <v>0.29166666666666669</v>
      </c>
      <c r="D14" s="65">
        <v>0.33333333333333298</v>
      </c>
      <c r="E14" s="66" t="s">
        <v>321</v>
      </c>
      <c r="F14" s="300">
        <v>81.03995974</v>
      </c>
      <c r="G14" s="301">
        <v>58.223999999999997</v>
      </c>
      <c r="H14" s="229"/>
      <c r="I14" s="229"/>
      <c r="J14" s="229"/>
      <c r="K14" s="229"/>
      <c r="L14" s="229"/>
      <c r="M14" s="238"/>
      <c r="N14" s="23"/>
    </row>
    <row r="15" spans="1:14">
      <c r="A15" s="23"/>
      <c r="B15" s="23"/>
      <c r="C15" s="64">
        <v>0.33333333333333298</v>
      </c>
      <c r="D15" s="65">
        <v>0.375</v>
      </c>
      <c r="E15" s="66" t="s">
        <v>321</v>
      </c>
      <c r="F15" s="300">
        <v>81.03995974</v>
      </c>
      <c r="G15" s="301">
        <v>81.662000000000006</v>
      </c>
      <c r="H15" s="229"/>
      <c r="I15" s="229"/>
      <c r="J15" s="229"/>
      <c r="K15" s="229"/>
      <c r="L15" s="229"/>
      <c r="M15" s="238"/>
      <c r="N15" s="23"/>
    </row>
    <row r="16" spans="1:14">
      <c r="A16" s="23"/>
      <c r="B16" s="23"/>
      <c r="C16" s="64">
        <v>0.375</v>
      </c>
      <c r="D16" s="65">
        <v>0.41666666666666702</v>
      </c>
      <c r="E16" s="66" t="s">
        <v>373</v>
      </c>
      <c r="F16" s="300">
        <v>66.817395520000005</v>
      </c>
      <c r="G16" s="301">
        <v>76.561999999999998</v>
      </c>
      <c r="H16" s="229"/>
      <c r="I16" s="229"/>
      <c r="J16" s="229"/>
      <c r="K16" s="229"/>
      <c r="L16" s="229"/>
      <c r="M16" s="238"/>
      <c r="N16" s="23"/>
    </row>
    <row r="17" spans="1:14">
      <c r="A17" s="23"/>
      <c r="B17" s="23"/>
      <c r="C17" s="67">
        <v>0.41666666666666702</v>
      </c>
      <c r="D17" s="68">
        <v>0.45833333333333298</v>
      </c>
      <c r="E17" s="69" t="s">
        <v>373</v>
      </c>
      <c r="F17" s="302">
        <v>66.888702289999998</v>
      </c>
      <c r="G17" s="340">
        <v>68.980999999999995</v>
      </c>
      <c r="H17" s="230"/>
      <c r="I17" s="230"/>
      <c r="J17" s="230"/>
      <c r="K17" s="230"/>
      <c r="L17" s="230"/>
      <c r="M17" s="239"/>
      <c r="N17" s="23"/>
    </row>
    <row r="18" spans="1:14">
      <c r="A18" s="23"/>
      <c r="B18" s="23"/>
      <c r="C18" s="67">
        <v>0.45833333333333298</v>
      </c>
      <c r="D18" s="68">
        <v>0.5</v>
      </c>
      <c r="E18" s="69" t="s">
        <v>373</v>
      </c>
      <c r="F18" s="302">
        <v>66.888702289999998</v>
      </c>
      <c r="G18" s="340">
        <v>34.058</v>
      </c>
      <c r="H18" s="230"/>
      <c r="I18" s="230"/>
      <c r="J18" s="230"/>
      <c r="K18" s="230"/>
      <c r="L18" s="230"/>
      <c r="M18" s="239"/>
      <c r="N18" s="23"/>
    </row>
    <row r="19" spans="1:14">
      <c r="A19" s="23"/>
      <c r="B19" s="23"/>
      <c r="C19" s="67">
        <v>0.5</v>
      </c>
      <c r="D19" s="68">
        <v>0.54166666666666696</v>
      </c>
      <c r="E19" s="69" t="s">
        <v>373</v>
      </c>
      <c r="F19" s="302">
        <v>66.888702289999998</v>
      </c>
      <c r="G19" s="340">
        <v>0</v>
      </c>
      <c r="H19" s="230"/>
      <c r="I19" s="230"/>
      <c r="J19" s="230"/>
      <c r="K19" s="230"/>
      <c r="L19" s="230"/>
      <c r="M19" s="239"/>
      <c r="N19" s="23"/>
    </row>
    <row r="20" spans="1:14">
      <c r="A20" s="23"/>
      <c r="B20" s="23"/>
      <c r="C20" s="64">
        <v>0.54166666666666696</v>
      </c>
      <c r="D20" s="65">
        <v>0.58333333333333304</v>
      </c>
      <c r="E20" s="66" t="s">
        <v>321</v>
      </c>
      <c r="F20" s="300">
        <v>81.03995974</v>
      </c>
      <c r="G20" s="301">
        <v>0</v>
      </c>
      <c r="H20" s="229"/>
      <c r="I20" s="229"/>
      <c r="J20" s="229"/>
      <c r="K20" s="229"/>
      <c r="L20" s="229"/>
      <c r="M20" s="238"/>
      <c r="N20" s="23"/>
    </row>
    <row r="21" spans="1:14">
      <c r="A21" s="23"/>
      <c r="B21" s="23"/>
      <c r="C21" s="64">
        <v>0.58333333333333304</v>
      </c>
      <c r="D21" s="65">
        <v>0.625</v>
      </c>
      <c r="E21" s="66" t="s">
        <v>327</v>
      </c>
      <c r="F21" s="300">
        <v>189.07116453</v>
      </c>
      <c r="G21" s="301">
        <v>-55.326000000000001</v>
      </c>
      <c r="H21" s="229"/>
      <c r="I21" s="229"/>
      <c r="J21" s="229"/>
      <c r="K21" s="229"/>
      <c r="L21" s="229"/>
      <c r="M21" s="238"/>
      <c r="N21" s="23"/>
    </row>
    <row r="22" spans="1:14">
      <c r="A22" s="23"/>
      <c r="B22" s="23"/>
      <c r="C22" s="64">
        <v>0.625</v>
      </c>
      <c r="D22" s="65">
        <v>0.66666666666666696</v>
      </c>
      <c r="E22" s="66" t="s">
        <v>327</v>
      </c>
      <c r="F22" s="300">
        <v>189.07116453</v>
      </c>
      <c r="G22" s="301">
        <v>-55.326000000000001</v>
      </c>
      <c r="H22" s="229"/>
      <c r="I22" s="229"/>
      <c r="J22" s="229"/>
      <c r="K22" s="229"/>
      <c r="L22" s="229"/>
      <c r="M22" s="238"/>
      <c r="N22" s="23"/>
    </row>
    <row r="23" spans="1:14">
      <c r="A23" s="23"/>
      <c r="B23" s="23"/>
      <c r="C23" s="64">
        <v>0.66666666666666696</v>
      </c>
      <c r="D23" s="65">
        <v>0.70833333333333304</v>
      </c>
      <c r="E23" s="66" t="s">
        <v>327</v>
      </c>
      <c r="F23" s="300">
        <v>189.07116453</v>
      </c>
      <c r="G23" s="301">
        <v>-49.807000000000002</v>
      </c>
      <c r="H23" s="229"/>
      <c r="I23" s="229"/>
      <c r="J23" s="229"/>
      <c r="K23" s="229"/>
      <c r="L23" s="229"/>
      <c r="M23" s="238"/>
      <c r="N23" s="23"/>
    </row>
    <row r="24" spans="1:14">
      <c r="A24" s="23"/>
      <c r="B24" s="23"/>
      <c r="C24" s="64">
        <v>0.70833333333333304</v>
      </c>
      <c r="D24" s="65">
        <v>0.75</v>
      </c>
      <c r="E24" s="66" t="s">
        <v>375</v>
      </c>
      <c r="F24" s="300">
        <v>190.01602306000001</v>
      </c>
      <c r="G24" s="301">
        <v>-0.94499999999999995</v>
      </c>
      <c r="H24" s="229"/>
      <c r="I24" s="229"/>
      <c r="J24" s="229"/>
      <c r="K24" s="229"/>
      <c r="L24" s="229"/>
      <c r="M24" s="238"/>
      <c r="N24" s="23"/>
    </row>
    <row r="25" spans="1:14">
      <c r="A25" s="23"/>
      <c r="B25" s="23"/>
      <c r="C25" s="67">
        <v>0.75</v>
      </c>
      <c r="D25" s="68">
        <v>0.79166666666666696</v>
      </c>
      <c r="E25" s="69" t="s">
        <v>375</v>
      </c>
      <c r="F25" s="302">
        <v>188.55859002</v>
      </c>
      <c r="G25" s="340">
        <v>33.773000000000003</v>
      </c>
      <c r="H25" s="230"/>
      <c r="I25" s="230"/>
      <c r="J25" s="230"/>
      <c r="K25" s="230"/>
      <c r="L25" s="230"/>
      <c r="M25" s="239"/>
      <c r="N25" s="23"/>
    </row>
    <row r="26" spans="1:14">
      <c r="A26" s="23"/>
      <c r="B26" s="23"/>
      <c r="C26" s="67">
        <v>0.79166666666666696</v>
      </c>
      <c r="D26" s="68">
        <v>0.83333333333333304</v>
      </c>
      <c r="E26" s="69" t="s">
        <v>375</v>
      </c>
      <c r="F26" s="302">
        <v>188.55859002</v>
      </c>
      <c r="G26" s="340">
        <v>33.773000000000003</v>
      </c>
      <c r="H26" s="230"/>
      <c r="I26" s="230"/>
      <c r="J26" s="230"/>
      <c r="K26" s="230"/>
      <c r="L26" s="230"/>
      <c r="M26" s="239"/>
      <c r="N26" s="23"/>
    </row>
    <row r="27" spans="1:14">
      <c r="A27" s="23"/>
      <c r="B27" s="23"/>
      <c r="C27" s="67">
        <v>0.83333333333333304</v>
      </c>
      <c r="D27" s="68">
        <v>0.875</v>
      </c>
      <c r="E27" s="69" t="s">
        <v>375</v>
      </c>
      <c r="F27" s="302">
        <v>188.55859002</v>
      </c>
      <c r="G27" s="340">
        <v>12.458</v>
      </c>
      <c r="H27" s="230"/>
      <c r="I27" s="230"/>
      <c r="J27" s="230"/>
      <c r="K27" s="230"/>
      <c r="L27" s="230"/>
      <c r="M27" s="239"/>
      <c r="N27" s="23"/>
    </row>
    <row r="28" spans="1:14">
      <c r="A28" s="23"/>
      <c r="B28" s="23"/>
      <c r="C28" s="64">
        <v>0.875</v>
      </c>
      <c r="D28" s="65">
        <v>0.91666666666666696</v>
      </c>
      <c r="E28" s="66" t="s">
        <v>330</v>
      </c>
      <c r="F28" s="300">
        <v>164.90007876000001</v>
      </c>
      <c r="G28" s="301">
        <v>21.036999999999999</v>
      </c>
      <c r="H28" s="229"/>
      <c r="I28" s="229"/>
      <c r="J28" s="229"/>
      <c r="K28" s="229"/>
      <c r="L28" s="229"/>
      <c r="M28" s="238"/>
      <c r="N28" s="23"/>
    </row>
    <row r="29" spans="1:14">
      <c r="A29" s="23"/>
      <c r="B29" s="23"/>
      <c r="C29" s="64">
        <v>0.91666666666666696</v>
      </c>
      <c r="D29" s="65">
        <v>0.95833333333333304</v>
      </c>
      <c r="E29" s="66" t="s">
        <v>324</v>
      </c>
      <c r="F29" s="300">
        <v>138.2309429</v>
      </c>
      <c r="G29" s="301">
        <v>26.669</v>
      </c>
      <c r="H29" s="229"/>
      <c r="I29" s="229"/>
      <c r="J29" s="229"/>
      <c r="K29" s="229"/>
      <c r="L29" s="229"/>
      <c r="M29" s="238"/>
      <c r="N29" s="23"/>
    </row>
    <row r="30" spans="1:14" ht="13.5" thickBot="1">
      <c r="A30" s="23"/>
      <c r="B30" s="23"/>
      <c r="C30" s="70">
        <v>0.95833333333333304</v>
      </c>
      <c r="D30" s="71" t="s">
        <v>12</v>
      </c>
      <c r="E30" s="72" t="s">
        <v>376</v>
      </c>
      <c r="F30" s="228">
        <v>71.519070490000004</v>
      </c>
      <c r="G30" s="303">
        <v>68.408000000000001</v>
      </c>
      <c r="H30" s="228"/>
      <c r="I30" s="228"/>
      <c r="J30" s="228"/>
      <c r="K30" s="228"/>
      <c r="L30" s="228"/>
      <c r="M30" s="237"/>
      <c r="N30" s="23"/>
    </row>
    <row r="31" spans="1:14" ht="18">
      <c r="A31" s="23"/>
      <c r="B31" s="23"/>
      <c r="C31" s="594" t="s">
        <v>14</v>
      </c>
      <c r="D31" s="595"/>
      <c r="E31" s="596"/>
      <c r="F31" s="304">
        <f>AVERAGE(F7:F30)</f>
        <v>111.35756296416666</v>
      </c>
      <c r="G31" s="304">
        <f>AVERAGE(G7:G30)</f>
        <v>15.628916666666667</v>
      </c>
      <c r="H31" s="49"/>
      <c r="I31" s="49"/>
      <c r="J31" s="49"/>
      <c r="K31" s="49"/>
      <c r="L31" s="49"/>
      <c r="M31" s="49"/>
      <c r="N31" s="23"/>
    </row>
    <row r="32" spans="1:14" ht="18">
      <c r="A32" s="23"/>
      <c r="B32" s="23"/>
      <c r="C32" s="600" t="s">
        <v>15</v>
      </c>
      <c r="D32" s="601"/>
      <c r="E32" s="602"/>
      <c r="F32" s="305">
        <f>+MAX(F7:F30)</f>
        <v>190.01602306000001</v>
      </c>
      <c r="G32" s="305">
        <f>+MAX(G7:G30)</f>
        <v>81.662000000000006</v>
      </c>
      <c r="H32" s="50"/>
      <c r="I32" s="50"/>
      <c r="J32" s="50"/>
      <c r="K32" s="50"/>
      <c r="L32" s="50"/>
      <c r="M32" s="50"/>
      <c r="N32" s="23"/>
    </row>
    <row r="33" spans="1:14" ht="18.75" thickBot="1">
      <c r="A33" s="23"/>
      <c r="B33" s="23"/>
      <c r="C33" s="589" t="s">
        <v>16</v>
      </c>
      <c r="D33" s="590"/>
      <c r="E33" s="591"/>
      <c r="F33" s="306">
        <f>+MIN(F7:F30)</f>
        <v>52.332396029999998</v>
      </c>
      <c r="G33" s="306">
        <f>+MIN(G7:G30)</f>
        <v>-55.326000000000001</v>
      </c>
      <c r="H33" s="297"/>
      <c r="I33" s="297"/>
      <c r="J33" s="297"/>
      <c r="K33" s="297"/>
      <c r="L33" s="297"/>
      <c r="M33" s="297"/>
      <c r="N33" s="23"/>
    </row>
    <row r="34" spans="1:14" ht="18">
      <c r="A34" s="23"/>
      <c r="B34" s="23"/>
      <c r="C34" s="296"/>
      <c r="D34" s="296"/>
      <c r="E34" s="296"/>
      <c r="F34" s="52"/>
      <c r="G34" s="52"/>
      <c r="H34" s="52"/>
      <c r="I34" s="52"/>
      <c r="J34" s="52"/>
      <c r="K34" s="52"/>
      <c r="L34" s="52"/>
      <c r="M34" s="52"/>
      <c r="N34" s="23"/>
    </row>
    <row r="35" spans="1:14" ht="12.75" customHeight="1">
      <c r="A35" s="23"/>
      <c r="B35" s="23"/>
      <c r="C35" s="592" t="s">
        <v>18</v>
      </c>
      <c r="D35" s="592"/>
      <c r="E35" s="592"/>
      <c r="F35" s="592"/>
      <c r="G35" s="592"/>
      <c r="H35" s="592"/>
      <c r="I35" s="593"/>
      <c r="J35" s="593"/>
      <c r="K35" s="593"/>
      <c r="L35" s="593"/>
      <c r="M35" s="593"/>
      <c r="N35" s="23"/>
    </row>
    <row r="36" spans="1:14">
      <c r="A36" s="54"/>
      <c r="B36" s="54"/>
      <c r="C36" s="54"/>
      <c r="D36" s="24"/>
      <c r="E36" s="27"/>
      <c r="F36" s="23"/>
      <c r="G36" s="23"/>
      <c r="H36" s="55"/>
      <c r="I36" s="55"/>
      <c r="J36" s="55"/>
      <c r="K36" s="55"/>
      <c r="L36" s="23"/>
      <c r="M36" s="23"/>
      <c r="N36" s="23"/>
    </row>
    <row r="37" spans="1:14" ht="18">
      <c r="A37" s="180"/>
      <c r="B37" s="180"/>
      <c r="C37" s="243"/>
      <c r="D37" s="244" t="s">
        <v>66</v>
      </c>
      <c r="E37" s="232" t="s">
        <v>70</v>
      </c>
      <c r="F37" s="233"/>
      <c r="G37" s="234"/>
      <c r="H37" s="235"/>
      <c r="I37" s="235"/>
      <c r="J37" s="235"/>
      <c r="K37" s="235"/>
      <c r="L37" s="236"/>
      <c r="M37" s="236"/>
      <c r="N37" s="23"/>
    </row>
    <row r="38" spans="1:14" ht="15.75">
      <c r="A38" s="23"/>
      <c r="B38" s="23"/>
      <c r="C38" s="231"/>
      <c r="D38" s="24"/>
      <c r="E38" s="232" t="s">
        <v>71</v>
      </c>
      <c r="F38" s="236"/>
      <c r="G38" s="236"/>
      <c r="H38" s="236"/>
      <c r="I38" s="236"/>
      <c r="J38" s="236"/>
      <c r="K38" s="236"/>
      <c r="L38" s="236"/>
      <c r="M38" s="236"/>
      <c r="N38" s="23"/>
    </row>
    <row r="39" spans="1:14">
      <c r="A39" s="58"/>
      <c r="B39" s="58"/>
    </row>
    <row r="40" spans="1:14">
      <c r="A40" s="58"/>
      <c r="B40" s="58"/>
    </row>
    <row r="41" spans="1:14">
      <c r="A41" s="58"/>
      <c r="B41" s="58"/>
    </row>
    <row r="42" spans="1:14">
      <c r="A42" s="58"/>
      <c r="B42" s="58"/>
    </row>
    <row r="43" spans="1:14">
      <c r="A43" s="58"/>
      <c r="B43" s="58"/>
    </row>
    <row r="44" spans="1:14">
      <c r="A44" s="58"/>
      <c r="B44" s="58"/>
    </row>
    <row r="45" spans="1:14">
      <c r="A45" s="58"/>
      <c r="B45" s="58"/>
    </row>
    <row r="46" spans="1:14">
      <c r="A46" s="58"/>
      <c r="B46" s="58"/>
    </row>
    <row r="47" spans="1:14">
      <c r="A47" s="58"/>
      <c r="B47" s="58"/>
    </row>
  </sheetData>
  <mergeCells count="7">
    <mergeCell ref="C2:M2"/>
    <mergeCell ref="H5:L5"/>
    <mergeCell ref="C33:E33"/>
    <mergeCell ref="C35:M35"/>
    <mergeCell ref="C31:E31"/>
    <mergeCell ref="C3:M3"/>
    <mergeCell ref="C32:E32"/>
  </mergeCells>
  <phoneticPr fontId="11" type="noConversion"/>
  <conditionalFormatting sqref="F7:F30">
    <cfRule type="cellIs" dxfId="3" priority="3" stopIfTrue="1" operator="equal">
      <formula>$F$33</formula>
    </cfRule>
    <cfRule type="cellIs" dxfId="2" priority="4" stopIfTrue="1" operator="equal">
      <formula>$F$32</formula>
    </cfRule>
  </conditionalFormatting>
  <conditionalFormatting sqref="G7:G30">
    <cfRule type="cellIs" dxfId="1" priority="1" stopIfTrue="1" operator="equal">
      <formula>$G$33</formula>
    </cfRule>
    <cfRule type="cellIs" dxfId="0" priority="2" stopIfTrue="1" operator="equal">
      <formula>$G$32</formula>
    </cfRule>
  </conditionalFormatting>
  <pageMargins left="0.27" right="0.22" top="0.48" bottom="0.45" header="0" footer="0"/>
  <pageSetup scale="7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indexed="48"/>
    <pageSetUpPr fitToPage="1"/>
  </sheetPr>
  <dimension ref="A1:IV107"/>
  <sheetViews>
    <sheetView zoomScale="75" workbookViewId="0">
      <selection sqref="A1:C1"/>
    </sheetView>
  </sheetViews>
  <sheetFormatPr baseColWidth="10" defaultColWidth="0" defaultRowHeight="0" customHeight="1" zeroHeight="1"/>
  <cols>
    <col min="1" max="1" width="23.140625" style="76" customWidth="1"/>
    <col min="2" max="2" width="12.7109375" style="76" customWidth="1"/>
    <col min="3" max="3" width="11.85546875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191" customFormat="1" ht="17.25" customHeight="1">
      <c r="A1" s="605"/>
      <c r="B1" s="605"/>
      <c r="C1" s="605"/>
      <c r="D1" s="606" t="s">
        <v>48</v>
      </c>
      <c r="E1" s="606"/>
      <c r="F1" s="606"/>
      <c r="G1" s="606"/>
      <c r="H1" s="606"/>
      <c r="I1" s="606"/>
      <c r="J1" s="604"/>
      <c r="K1" s="604"/>
      <c r="L1" s="604"/>
    </row>
    <row r="2" spans="1:12" customFormat="1" ht="15" customHeight="1">
      <c r="A2" s="73"/>
      <c r="B2" s="73"/>
      <c r="C2" s="73"/>
      <c r="D2" s="606"/>
      <c r="E2" s="606"/>
      <c r="F2" s="606"/>
      <c r="G2" s="606"/>
      <c r="H2" s="606"/>
      <c r="I2" s="606"/>
      <c r="J2" s="73"/>
      <c r="K2" s="73"/>
      <c r="L2" s="73"/>
    </row>
    <row r="3" spans="1:12" customFormat="1" ht="17.25" customHeight="1">
      <c r="A3" s="73"/>
      <c r="B3" s="73"/>
      <c r="C3" s="73"/>
      <c r="D3" s="607" t="s">
        <v>319</v>
      </c>
      <c r="E3" s="607"/>
      <c r="F3" s="607"/>
      <c r="G3" s="607"/>
      <c r="H3" s="607"/>
      <c r="I3" s="607"/>
      <c r="J3" s="73"/>
      <c r="K3" s="73"/>
      <c r="L3" s="73"/>
    </row>
    <row r="4" spans="1:12" customFormat="1" ht="9" customHeight="1">
      <c r="A4" s="73"/>
      <c r="B4" s="73"/>
      <c r="C4" s="73"/>
      <c r="D4" s="607"/>
      <c r="E4" s="607"/>
      <c r="F4" s="607"/>
      <c r="G4" s="607"/>
      <c r="H4" s="607"/>
      <c r="I4" s="607"/>
      <c r="J4" s="73"/>
      <c r="K4" s="73"/>
      <c r="L4" s="73"/>
    </row>
    <row r="5" spans="1:12" customFormat="1" ht="12.7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customFormat="1" ht="12.7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2" customFormat="1" ht="27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customFormat="1" ht="27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</row>
    <row r="9" spans="1:12" customFormat="1" ht="27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 spans="1:12" customFormat="1" ht="27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</row>
    <row r="11" spans="1:12" customFormat="1" ht="27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customFormat="1" ht="27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</row>
    <row r="13" spans="1:12" customFormat="1" ht="27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spans="1:12" customFormat="1" ht="27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 customFormat="1" ht="27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2" customFormat="1" ht="27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2" customFormat="1" ht="27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1:12" customFormat="1" ht="27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spans="1:12" customFormat="1" ht="27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12" customFormat="1" ht="27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customFormat="1" ht="27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</row>
    <row r="22" spans="1:12" customFormat="1" ht="27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1:12" customFormat="1" ht="27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</row>
    <row r="24" spans="1:12" customFormat="1" ht="27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</row>
    <row r="25" spans="1:12" customFormat="1" ht="27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</row>
    <row r="26" spans="1:12" customFormat="1" ht="27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</row>
    <row r="27" spans="1:12" customFormat="1" ht="27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</row>
    <row r="28" spans="1:12" customFormat="1" ht="27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spans="1:12" customFormat="1" ht="27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</row>
    <row r="30" spans="1:12" customFormat="1" ht="27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spans="1:12" customFormat="1" ht="27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</row>
    <row r="32" spans="1:12" customFormat="1" ht="27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customFormat="1" ht="27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</row>
    <row r="34" spans="1:12" customFormat="1" ht="27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customFormat="1" ht="27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customFormat="1" ht="27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customFormat="1" ht="27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</row>
    <row r="38" spans="1:12" customFormat="1" ht="27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spans="1:12" customFormat="1" ht="27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spans="1:12" customFormat="1" ht="27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spans="1:12" customFormat="1" ht="27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</row>
    <row r="42" spans="1:12" customFormat="1" ht="27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</row>
    <row r="43" spans="1:12" customFormat="1" ht="27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2" customFormat="1" ht="27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2" customFormat="1" ht="29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2" customFormat="1" ht="29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spans="1:12" customFormat="1" ht="29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12" customFormat="1" ht="29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256" customFormat="1" ht="29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</row>
    <row r="50" spans="1:256" customFormat="1" ht="29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spans="1:256" customFormat="1" ht="27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</row>
    <row r="52" spans="1:256" s="191" customFormat="1" ht="15">
      <c r="A52" s="603"/>
      <c r="B52" s="603"/>
      <c r="C52" s="603"/>
      <c r="D52" s="192"/>
      <c r="E52" s="193"/>
      <c r="F52" s="190"/>
      <c r="G52" s="190"/>
      <c r="H52" s="190"/>
      <c r="I52" s="190"/>
      <c r="J52" s="604"/>
      <c r="K52" s="60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194"/>
      <c r="CA52" s="194"/>
      <c r="CB52" s="194"/>
      <c r="CC52" s="194"/>
      <c r="CD52" s="194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194"/>
      <c r="EU52" s="194"/>
      <c r="EV52" s="194"/>
      <c r="EW52" s="194"/>
      <c r="EX52" s="194"/>
      <c r="EY52" s="194"/>
      <c r="EZ52" s="194"/>
      <c r="FA52" s="194"/>
      <c r="FB52" s="194"/>
      <c r="FC52" s="194"/>
      <c r="FD52" s="194"/>
      <c r="FE52" s="194"/>
      <c r="FF52" s="194"/>
      <c r="FG52" s="194"/>
      <c r="FH52" s="194"/>
      <c r="FI52" s="194"/>
      <c r="FJ52" s="194"/>
      <c r="FK52" s="194"/>
      <c r="FL52" s="194"/>
      <c r="FM52" s="194"/>
      <c r="FN52" s="194"/>
      <c r="FO52" s="194"/>
      <c r="FP52" s="194"/>
      <c r="FQ52" s="194"/>
      <c r="FR52" s="194"/>
      <c r="FS52" s="194"/>
      <c r="FT52" s="194"/>
      <c r="FU52" s="194"/>
      <c r="FV52" s="194"/>
      <c r="FW52" s="194"/>
      <c r="FX52" s="194"/>
      <c r="FY52" s="194"/>
      <c r="FZ52" s="194"/>
      <c r="GA52" s="194"/>
      <c r="GB52" s="194"/>
      <c r="GC52" s="194"/>
      <c r="GD52" s="194"/>
      <c r="GE52" s="194"/>
      <c r="GF52" s="194"/>
      <c r="GG52" s="194"/>
      <c r="GH52" s="194"/>
      <c r="GI52" s="194"/>
      <c r="GJ52" s="194"/>
      <c r="GK52" s="194"/>
      <c r="GL52" s="194"/>
      <c r="GM52" s="194"/>
      <c r="GN52" s="194"/>
      <c r="GO52" s="194"/>
      <c r="GP52" s="194"/>
      <c r="GQ52" s="194"/>
      <c r="GR52" s="194"/>
      <c r="GS52" s="194"/>
      <c r="GT52" s="194"/>
      <c r="GU52" s="194"/>
      <c r="GV52" s="194"/>
      <c r="GW52" s="194"/>
      <c r="GX52" s="194"/>
      <c r="GY52" s="194"/>
      <c r="GZ52" s="194"/>
      <c r="HA52" s="194"/>
      <c r="HB52" s="194"/>
      <c r="HC52" s="194"/>
      <c r="HD52" s="194"/>
      <c r="HE52" s="194"/>
      <c r="HF52" s="194"/>
      <c r="HG52" s="194"/>
      <c r="HH52" s="194"/>
      <c r="HI52" s="194"/>
      <c r="HJ52" s="194"/>
      <c r="HK52" s="194"/>
      <c r="HL52" s="194"/>
      <c r="HM52" s="194"/>
      <c r="HN52" s="194"/>
      <c r="HO52" s="194"/>
      <c r="HP52" s="194"/>
      <c r="HQ52" s="194"/>
      <c r="HR52" s="194"/>
      <c r="HS52" s="194"/>
      <c r="HT52" s="194"/>
      <c r="HU52" s="194"/>
      <c r="HV52" s="194"/>
      <c r="HW52" s="194"/>
      <c r="HX52" s="194"/>
      <c r="HY52" s="194"/>
      <c r="HZ52" s="194"/>
      <c r="IA52" s="194"/>
      <c r="IB52" s="194"/>
      <c r="IC52" s="194"/>
      <c r="ID52" s="194"/>
      <c r="IE52" s="194"/>
      <c r="IF52" s="194"/>
      <c r="IG52" s="194"/>
      <c r="IH52" s="194"/>
      <c r="II52" s="194"/>
      <c r="IJ52" s="194"/>
      <c r="IK52" s="194"/>
      <c r="IL52" s="194"/>
      <c r="IM52" s="194"/>
      <c r="IN52" s="194"/>
      <c r="IO52" s="194"/>
      <c r="IP52" s="194"/>
      <c r="IQ52" s="194"/>
      <c r="IR52" s="194"/>
      <c r="IS52" s="194"/>
      <c r="IT52" s="194"/>
      <c r="IU52" s="194"/>
      <c r="IV52" s="194"/>
    </row>
    <row r="53" spans="1:256" customFormat="1" ht="15">
      <c r="A53" s="73"/>
      <c r="B53" s="73"/>
      <c r="C53" s="73"/>
      <c r="D53" s="74"/>
      <c r="E53" s="75"/>
      <c r="F53" s="73"/>
      <c r="G53" s="73"/>
      <c r="H53" s="73"/>
      <c r="I53" s="73"/>
      <c r="J53" s="604"/>
      <c r="K53" s="604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</row>
    <row r="54" spans="1:256" customFormat="1" ht="12.75">
      <c r="A54" s="73"/>
      <c r="B54" s="73"/>
      <c r="C54" s="73"/>
      <c r="D54" s="74"/>
      <c r="E54" s="75"/>
      <c r="F54" s="73"/>
      <c r="G54" s="73"/>
      <c r="H54" s="73"/>
      <c r="I54" s="73"/>
      <c r="J54" s="73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customFormat="1" ht="12.75" customHeight="1">
      <c r="A55" s="79">
        <v>66.209999999999994</v>
      </c>
      <c r="B55" s="79">
        <v>66.210078977245701</v>
      </c>
      <c r="C55" s="360">
        <v>4.1666666666666664E-2</v>
      </c>
      <c r="D55" s="77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</row>
    <row r="56" spans="1:256" customFormat="1" ht="12.75" customHeight="1">
      <c r="A56" s="79">
        <v>66.209999999999994</v>
      </c>
      <c r="B56" s="79">
        <v>66.210078977245701</v>
      </c>
      <c r="C56" s="360">
        <v>8.3333333333333329E-2</v>
      </c>
      <c r="D56" s="77"/>
      <c r="E56" s="78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</row>
    <row r="57" spans="1:256" customFormat="1" ht="12.75" customHeight="1">
      <c r="A57" s="79">
        <v>66.209999999999994</v>
      </c>
      <c r="B57" s="79">
        <v>66.210078977245701</v>
      </c>
      <c r="C57" s="360">
        <v>0.125</v>
      </c>
      <c r="D57" s="77"/>
      <c r="E57" s="78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</row>
    <row r="58" spans="1:256" customFormat="1" ht="12.75" customHeight="1">
      <c r="A58" s="79">
        <v>66.209999999999994</v>
      </c>
      <c r="B58" s="79">
        <v>66.210078977245701</v>
      </c>
      <c r="C58" s="360">
        <v>0.16666666666666699</v>
      </c>
      <c r="D58" s="77"/>
      <c r="E58" s="78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</row>
    <row r="59" spans="1:256" customFormat="1" ht="12.75" customHeight="1">
      <c r="A59" s="79">
        <v>52.332000000000001</v>
      </c>
      <c r="B59" s="79">
        <v>66.210078977245701</v>
      </c>
      <c r="C59" s="360">
        <v>0.20833333333333401</v>
      </c>
      <c r="D59" s="77"/>
      <c r="E59" s="78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</row>
    <row r="60" spans="1:256" customFormat="1" ht="12.75" customHeight="1">
      <c r="A60" s="79">
        <v>66.209999999999994</v>
      </c>
      <c r="B60" s="79">
        <v>66.210078977245701</v>
      </c>
      <c r="C60" s="360">
        <v>0.25</v>
      </c>
      <c r="D60" s="77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</row>
    <row r="61" spans="1:256" customFormat="1" ht="12.75" customHeight="1">
      <c r="A61" s="79">
        <v>81.040000000000006</v>
      </c>
      <c r="B61" s="79">
        <v>88.054901370642298</v>
      </c>
      <c r="C61" s="360">
        <v>0.29166666666666702</v>
      </c>
      <c r="D61" s="77"/>
      <c r="E61" s="78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</row>
    <row r="62" spans="1:256" customFormat="1" ht="12.75" customHeight="1">
      <c r="A62" s="79">
        <v>81.040000000000006</v>
      </c>
      <c r="B62" s="79">
        <v>139.26391473955101</v>
      </c>
      <c r="C62" s="360">
        <v>0.33333333333333398</v>
      </c>
      <c r="D62" s="77"/>
      <c r="E62" s="78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</row>
    <row r="63" spans="1:256" customFormat="1" ht="12.75" customHeight="1">
      <c r="A63" s="79">
        <v>81.040000000000006</v>
      </c>
      <c r="B63" s="79">
        <v>162.70240000000001</v>
      </c>
      <c r="C63" s="360">
        <v>0.375</v>
      </c>
      <c r="D63" s="77"/>
      <c r="E63" s="78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</row>
    <row r="64" spans="1:256" customFormat="1" ht="12.75" customHeight="1">
      <c r="A64" s="79">
        <v>66.816999999999993</v>
      </c>
      <c r="B64" s="79">
        <v>143.37870000000001</v>
      </c>
      <c r="C64" s="360">
        <v>0.41666666666666702</v>
      </c>
      <c r="D64" s="77"/>
      <c r="E64" s="7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</row>
    <row r="65" spans="1:256" customFormat="1" ht="12.75" customHeight="1">
      <c r="A65" s="79">
        <v>66.888999999999996</v>
      </c>
      <c r="B65" s="79">
        <v>135.8697620447</v>
      </c>
      <c r="C65" s="360">
        <v>0.45833333333333398</v>
      </c>
      <c r="D65" s="77"/>
      <c r="E65" s="78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</row>
    <row r="66" spans="1:256" customFormat="1" ht="12.75" customHeight="1">
      <c r="A66" s="79">
        <v>66.888999999999996</v>
      </c>
      <c r="B66" s="79">
        <v>100.9469</v>
      </c>
      <c r="C66" s="360">
        <v>0.5</v>
      </c>
      <c r="D66" s="77"/>
      <c r="E66" s="78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</row>
    <row r="67" spans="1:256" customFormat="1" ht="12.75" customHeight="1">
      <c r="A67" s="79">
        <v>66.888999999999996</v>
      </c>
      <c r="B67" s="79">
        <v>66.888702291977694</v>
      </c>
      <c r="C67" s="360">
        <v>0.54166666666666696</v>
      </c>
      <c r="D67" s="77"/>
      <c r="E67" s="78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</row>
    <row r="68" spans="1:256" customFormat="1" ht="12.75" customHeight="1">
      <c r="A68" s="79">
        <v>81.040000000000006</v>
      </c>
      <c r="B68" s="79">
        <v>81.039959744784596</v>
      </c>
      <c r="C68" s="360">
        <v>0.58333333333333404</v>
      </c>
      <c r="D68" s="77"/>
      <c r="E68" s="78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</row>
    <row r="69" spans="1:256" customFormat="1" ht="12.75" customHeight="1">
      <c r="A69" s="79">
        <v>189.071</v>
      </c>
      <c r="B69" s="79">
        <v>133.74482194103601</v>
      </c>
      <c r="C69" s="360">
        <v>0.625</v>
      </c>
      <c r="D69" s="77"/>
      <c r="E69" s="78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</row>
    <row r="70" spans="1:256" customFormat="1" ht="12.75" customHeight="1">
      <c r="A70" s="79">
        <v>189.071</v>
      </c>
      <c r="B70" s="79">
        <v>133.74482194103601</v>
      </c>
      <c r="C70" s="360">
        <v>0.66666666666666696</v>
      </c>
      <c r="D70" s="77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</row>
    <row r="71" spans="1:256" customFormat="1" ht="12.75" customHeight="1">
      <c r="A71" s="79">
        <v>189.071</v>
      </c>
      <c r="B71" s="79">
        <v>139.26391473955101</v>
      </c>
      <c r="C71" s="360">
        <v>0.70833333333333404</v>
      </c>
      <c r="D71" s="77"/>
      <c r="E71" s="78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</row>
    <row r="72" spans="1:256" customFormat="1" ht="12.75" customHeight="1">
      <c r="A72" s="79">
        <v>190.01599999999999</v>
      </c>
      <c r="B72" s="79">
        <v>189.0712</v>
      </c>
      <c r="C72" s="360">
        <v>0.75</v>
      </c>
      <c r="D72" s="77"/>
      <c r="E72" s="78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</row>
    <row r="73" spans="1:256" customFormat="1" ht="12.75" customHeight="1">
      <c r="A73" s="79">
        <v>188.559</v>
      </c>
      <c r="B73" s="79">
        <v>222.33179999999999</v>
      </c>
      <c r="C73" s="360">
        <v>0.79166666666666696</v>
      </c>
      <c r="D73" s="77"/>
      <c r="E73" s="78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</row>
    <row r="74" spans="1:256" customFormat="1" ht="12.75" customHeight="1">
      <c r="A74" s="79">
        <v>188.559</v>
      </c>
      <c r="B74" s="79">
        <v>222.33179999999999</v>
      </c>
      <c r="C74" s="360">
        <v>0.83333333333333404</v>
      </c>
      <c r="D74" s="77"/>
      <c r="E74" s="78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</row>
    <row r="75" spans="1:256" customFormat="1" ht="12.75" customHeight="1">
      <c r="A75" s="79">
        <v>188.559</v>
      </c>
      <c r="B75" s="79">
        <v>201.017</v>
      </c>
      <c r="C75" s="360">
        <v>0.875</v>
      </c>
      <c r="D75" s="77"/>
      <c r="E75" s="78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</row>
    <row r="76" spans="1:256" customFormat="1" ht="12.75" customHeight="1">
      <c r="A76" s="79">
        <v>164.9</v>
      </c>
      <c r="B76" s="79">
        <v>185.93719999999999</v>
      </c>
      <c r="C76" s="360">
        <v>0.91666666666666696</v>
      </c>
      <c r="D76" s="77"/>
      <c r="E76" s="78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</row>
    <row r="77" spans="1:256" customFormat="1" ht="12.75" customHeight="1">
      <c r="A77" s="79">
        <v>138.23099999999999</v>
      </c>
      <c r="B77" s="79">
        <v>164.90010000000001</v>
      </c>
      <c r="C77" s="360">
        <v>0.95833333333333404</v>
      </c>
      <c r="D77" s="77"/>
      <c r="E77" s="78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</row>
    <row r="78" spans="1:256" customFormat="1" ht="12.75" customHeight="1">
      <c r="A78" s="79">
        <v>71.519000000000005</v>
      </c>
      <c r="B78" s="79">
        <v>139.92750000000001</v>
      </c>
      <c r="C78" s="360">
        <v>1</v>
      </c>
      <c r="D78" s="77"/>
      <c r="E78" s="78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</row>
    <row r="79" spans="1:256" customFormat="1" ht="12.75" customHeight="1">
      <c r="A79" s="76"/>
      <c r="B79" s="76"/>
      <c r="C79" s="79"/>
      <c r="D79" s="77"/>
      <c r="E79" s="78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</row>
    <row r="80" spans="1:256" customFormat="1" ht="12.75" customHeight="1">
      <c r="A80" s="76"/>
      <c r="B80" s="76"/>
      <c r="C80" s="76"/>
      <c r="D80" s="77"/>
      <c r="E80" s="78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</row>
    <row r="81" spans="1:256" customFormat="1" ht="12.75" customHeight="1">
      <c r="A81" s="76"/>
      <c r="B81" s="76"/>
      <c r="C81" s="76"/>
      <c r="D81" s="77"/>
      <c r="E81" s="78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</row>
    <row r="82" spans="1:256" customFormat="1" ht="12.75">
      <c r="A82" s="76"/>
      <c r="B82" s="76"/>
      <c r="C82" s="76"/>
      <c r="D82" s="77"/>
      <c r="E82" s="78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</row>
    <row r="83" spans="1:256" customFormat="1" ht="12.75">
      <c r="A83" s="76"/>
      <c r="B83" s="76"/>
      <c r="C83" s="76"/>
      <c r="D83" s="77"/>
      <c r="E83" s="78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</row>
    <row r="84" spans="1:256" customFormat="1" ht="15" customHeight="1">
      <c r="A84" s="79"/>
      <c r="B84" s="79"/>
      <c r="C84" s="80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</row>
    <row r="85" spans="1:256" customFormat="1" ht="15" customHeight="1">
      <c r="A85" s="79"/>
      <c r="B85" s="79"/>
      <c r="C85" s="80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</row>
    <row r="86" spans="1:256" customFormat="1" ht="15" customHeight="1">
      <c r="A86" s="79"/>
      <c r="B86" s="79"/>
      <c r="C86" s="80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</row>
    <row r="87" spans="1:256" customFormat="1" ht="15" customHeight="1">
      <c r="A87" s="79"/>
      <c r="B87" s="79"/>
      <c r="C87" s="80">
        <v>0.16666666666666699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</row>
    <row r="88" spans="1:256" customFormat="1" ht="15" customHeight="1">
      <c r="A88" s="79"/>
      <c r="B88" s="79"/>
      <c r="C88" s="80">
        <v>0.20833333333333301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</row>
    <row r="89" spans="1:256" customFormat="1" ht="15" customHeight="1">
      <c r="A89" s="79"/>
      <c r="B89" s="79"/>
      <c r="C89" s="80">
        <v>0.25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</row>
    <row r="90" spans="1:256" customFormat="1" ht="15" customHeight="1">
      <c r="A90" s="79"/>
      <c r="B90" s="79"/>
      <c r="C90" s="80">
        <v>0.29166666666666702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</row>
    <row r="91" spans="1:256" customFormat="1" ht="15" customHeight="1">
      <c r="A91" s="79"/>
      <c r="B91" s="79"/>
      <c r="C91" s="80">
        <v>0.33333333333333298</v>
      </c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</row>
    <row r="92" spans="1:256" customFormat="1" ht="15" customHeight="1">
      <c r="A92" s="79"/>
      <c r="B92" s="79"/>
      <c r="C92" s="80">
        <v>0.375</v>
      </c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</row>
    <row r="93" spans="1:256" customFormat="1" ht="15" customHeight="1">
      <c r="A93" s="79"/>
      <c r="B93" s="79"/>
      <c r="C93" s="80">
        <v>0.41666666666666702</v>
      </c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</row>
    <row r="94" spans="1:256" customFormat="1" ht="15" customHeight="1">
      <c r="A94" s="79"/>
      <c r="B94" s="79"/>
      <c r="C94" s="80">
        <v>0.45833333333333298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</row>
    <row r="95" spans="1:256" customFormat="1" ht="15" customHeight="1">
      <c r="A95" s="79"/>
      <c r="B95" s="79"/>
      <c r="C95" s="80">
        <v>0.5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</row>
    <row r="96" spans="1:256" customFormat="1" ht="15" customHeight="1">
      <c r="A96" s="79"/>
      <c r="B96" s="79"/>
      <c r="C96" s="80">
        <v>0.54166666666666696</v>
      </c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</row>
    <row r="97" spans="1:256" customFormat="1" ht="15" customHeight="1">
      <c r="A97" s="79"/>
      <c r="B97" s="79"/>
      <c r="C97" s="80">
        <v>0.58333333333333304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</row>
    <row r="98" spans="1:256" customFormat="1" ht="15" customHeight="1">
      <c r="A98" s="79"/>
      <c r="B98" s="79"/>
      <c r="C98" s="80">
        <v>0.625</v>
      </c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</row>
    <row r="99" spans="1:256" customFormat="1" ht="15" customHeight="1">
      <c r="A99" s="79"/>
      <c r="B99" s="79"/>
      <c r="C99" s="80">
        <v>0.66666666666666696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</row>
    <row r="100" spans="1:256" customFormat="1" ht="15" customHeight="1">
      <c r="A100" s="79"/>
      <c r="B100" s="79"/>
      <c r="C100" s="80">
        <v>0.70833333333333304</v>
      </c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</row>
    <row r="101" spans="1:256" customFormat="1" ht="15" customHeight="1">
      <c r="A101" s="79"/>
      <c r="B101" s="79"/>
      <c r="C101" s="80">
        <v>0.75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</row>
    <row r="102" spans="1:256" customFormat="1" ht="15" customHeight="1">
      <c r="A102" s="79"/>
      <c r="B102" s="79"/>
      <c r="C102" s="80">
        <v>0.79166666666666696</v>
      </c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</row>
    <row r="103" spans="1:256" customFormat="1" ht="15" customHeight="1">
      <c r="A103" s="79"/>
      <c r="B103" s="79"/>
      <c r="C103" s="80">
        <v>0.83333333333333304</v>
      </c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</row>
    <row r="104" spans="1:256" customFormat="1" ht="15" customHeight="1">
      <c r="A104" s="79"/>
      <c r="B104" s="79"/>
      <c r="C104" s="80">
        <v>0.875</v>
      </c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</row>
    <row r="105" spans="1:256" customFormat="1" ht="15" customHeight="1">
      <c r="A105" s="79"/>
      <c r="B105" s="79"/>
      <c r="C105" s="80">
        <v>0.91666666666666696</v>
      </c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</row>
    <row r="106" spans="1:256" customFormat="1" ht="15" customHeight="1">
      <c r="A106" s="79"/>
      <c r="B106" s="79"/>
      <c r="C106" s="80">
        <v>0.95833333333333304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</row>
    <row r="107" spans="1:256" customFormat="1" ht="15" customHeight="1">
      <c r="A107" s="79"/>
      <c r="B107" s="79"/>
      <c r="C107" s="81" t="s">
        <v>12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</row>
  </sheetData>
  <mergeCells count="7">
    <mergeCell ref="A52:C52"/>
    <mergeCell ref="J52:K52"/>
    <mergeCell ref="J53:K53"/>
    <mergeCell ref="A1:C1"/>
    <mergeCell ref="D1:I2"/>
    <mergeCell ref="J1:L1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3"/>
    <pageSetUpPr fitToPage="1"/>
  </sheetPr>
  <dimension ref="A1:H102"/>
  <sheetViews>
    <sheetView workbookViewId="0"/>
  </sheetViews>
  <sheetFormatPr baseColWidth="10" defaultColWidth="0" defaultRowHeight="0" customHeight="1" zeroHeight="1"/>
  <cols>
    <col min="1" max="1" width="17.42578125" style="2" customWidth="1"/>
    <col min="2" max="2" width="3.28515625" style="2" customWidth="1"/>
    <col min="3" max="4" width="19.140625" style="2" customWidth="1"/>
    <col min="5" max="5" width="19.7109375" style="2" bestFit="1" customWidth="1"/>
    <col min="6" max="6" width="19.140625" style="2" customWidth="1"/>
    <col min="7" max="7" width="22.85546875" style="2" customWidth="1"/>
    <col min="8" max="8" width="19.140625" style="2" customWidth="1"/>
    <col min="9" max="16384" width="19.140625" style="2" hidden="1"/>
  </cols>
  <sheetData>
    <row r="1" spans="1:8" s="76" customFormat="1" ht="15">
      <c r="A1" s="198"/>
      <c r="B1" s="136"/>
      <c r="C1" s="136"/>
      <c r="D1" s="136"/>
      <c r="E1" s="136"/>
      <c r="F1" s="136"/>
      <c r="G1" s="136"/>
      <c r="H1" s="199"/>
    </row>
    <row r="2" spans="1:8" s="76" customFormat="1" ht="15.75" customHeight="1">
      <c r="A2" s="200"/>
      <c r="B2" s="136"/>
      <c r="C2" s="136"/>
      <c r="D2" s="136"/>
      <c r="E2" s="136"/>
      <c r="F2" s="136"/>
      <c r="G2" s="136"/>
      <c r="H2" s="200"/>
    </row>
    <row r="3" spans="1:8" s="76" customFormat="1" ht="15.75" thickBot="1">
      <c r="A3" s="200"/>
      <c r="B3" s="136"/>
      <c r="C3" s="136"/>
      <c r="D3" s="136"/>
      <c r="E3" s="136"/>
      <c r="F3" s="136"/>
      <c r="G3" s="136"/>
      <c r="H3" s="200"/>
    </row>
    <row r="4" spans="1:8" s="76" customFormat="1" ht="15.75">
      <c r="A4" s="200"/>
      <c r="B4" s="487" t="s">
        <v>54</v>
      </c>
      <c r="C4" s="488"/>
      <c r="D4" s="488"/>
      <c r="E4" s="488"/>
      <c r="F4" s="488"/>
      <c r="G4" s="489"/>
      <c r="H4" s="200"/>
    </row>
    <row r="5" spans="1:8" s="76" customFormat="1" ht="16.5" thickBot="1">
      <c r="A5" s="200"/>
      <c r="B5" s="613" t="s">
        <v>319</v>
      </c>
      <c r="C5" s="614"/>
      <c r="D5" s="614"/>
      <c r="E5" s="614"/>
      <c r="F5" s="614"/>
      <c r="G5" s="615"/>
      <c r="H5" s="200"/>
    </row>
    <row r="6" spans="1:8" s="76" customFormat="1" ht="21" thickBot="1">
      <c r="A6" s="200"/>
      <c r="B6" s="610" t="s">
        <v>114</v>
      </c>
      <c r="C6" s="610"/>
      <c r="D6" s="610"/>
      <c r="E6" s="610"/>
      <c r="F6" s="610"/>
      <c r="G6" s="610"/>
      <c r="H6" s="200"/>
    </row>
    <row r="7" spans="1:8" s="76" customFormat="1" ht="15">
      <c r="A7" s="200"/>
      <c r="B7" s="137"/>
      <c r="C7" s="138"/>
      <c r="D7" s="138"/>
      <c r="E7" s="138"/>
      <c r="F7" s="138"/>
      <c r="G7" s="139"/>
      <c r="H7" s="200"/>
    </row>
    <row r="8" spans="1:8" s="76" customFormat="1" ht="17.25" customHeight="1">
      <c r="A8" s="200"/>
      <c r="B8" s="140"/>
      <c r="C8" s="611"/>
      <c r="D8" s="611"/>
      <c r="E8" s="611"/>
      <c r="F8" s="611"/>
      <c r="G8" s="612"/>
      <c r="H8" s="200"/>
    </row>
    <row r="9" spans="1:8" s="76" customFormat="1" ht="15">
      <c r="A9" s="200"/>
      <c r="B9" s="141"/>
      <c r="C9" s="608"/>
      <c r="D9" s="608"/>
      <c r="E9" s="608"/>
      <c r="F9" s="608"/>
      <c r="G9" s="609"/>
      <c r="H9" s="200"/>
    </row>
    <row r="10" spans="1:8" s="76" customFormat="1" ht="15">
      <c r="A10" s="200"/>
      <c r="B10" s="141"/>
      <c r="C10" s="608"/>
      <c r="D10" s="608"/>
      <c r="E10" s="608"/>
      <c r="F10" s="608"/>
      <c r="G10" s="609"/>
      <c r="H10" s="200"/>
    </row>
    <row r="11" spans="1:8" s="76" customFormat="1" ht="15">
      <c r="A11" s="200"/>
      <c r="B11" s="141"/>
      <c r="C11" s="608"/>
      <c r="D11" s="608"/>
      <c r="E11" s="608"/>
      <c r="F11" s="608"/>
      <c r="G11" s="609"/>
      <c r="H11" s="200"/>
    </row>
    <row r="12" spans="1:8" s="76" customFormat="1" ht="15">
      <c r="A12" s="200"/>
      <c r="B12" s="141"/>
      <c r="C12" s="608"/>
      <c r="D12" s="608"/>
      <c r="E12" s="608"/>
      <c r="F12" s="608"/>
      <c r="G12" s="609"/>
      <c r="H12" s="200"/>
    </row>
    <row r="13" spans="1:8" s="76" customFormat="1" ht="27.75" customHeight="1">
      <c r="A13" s="200"/>
      <c r="B13" s="141"/>
      <c r="C13" s="608"/>
      <c r="D13" s="608"/>
      <c r="E13" s="608"/>
      <c r="F13" s="608"/>
      <c r="G13" s="609"/>
      <c r="H13" s="200"/>
    </row>
    <row r="14" spans="1:8" s="76" customFormat="1" ht="14.25" customHeight="1">
      <c r="A14" s="200"/>
      <c r="B14" s="141"/>
      <c r="C14" s="608"/>
      <c r="D14" s="608"/>
      <c r="E14" s="608"/>
      <c r="F14" s="608"/>
      <c r="G14" s="609"/>
      <c r="H14" s="200"/>
    </row>
    <row r="15" spans="1:8" s="76" customFormat="1" ht="29.25" customHeight="1">
      <c r="A15" s="200"/>
      <c r="B15" s="141"/>
      <c r="C15" s="608"/>
      <c r="D15" s="608"/>
      <c r="E15" s="608"/>
      <c r="F15" s="608"/>
      <c r="G15" s="609"/>
      <c r="H15" s="200"/>
    </row>
    <row r="16" spans="1:8" s="76" customFormat="1" ht="15">
      <c r="A16" s="200"/>
      <c r="B16" s="141"/>
      <c r="C16" s="608"/>
      <c r="D16" s="608"/>
      <c r="E16" s="608"/>
      <c r="F16" s="608"/>
      <c r="G16" s="609"/>
      <c r="H16" s="200"/>
    </row>
    <row r="17" spans="1:8" s="76" customFormat="1" ht="27" customHeight="1">
      <c r="A17" s="200"/>
      <c r="B17" s="141"/>
      <c r="C17" s="608"/>
      <c r="D17" s="608"/>
      <c r="E17" s="608"/>
      <c r="F17" s="608"/>
      <c r="G17" s="609"/>
      <c r="H17" s="200"/>
    </row>
    <row r="18" spans="1:8" s="76" customFormat="1" ht="27" customHeight="1">
      <c r="A18" s="200"/>
      <c r="B18" s="141"/>
      <c r="C18" s="142"/>
      <c r="D18" s="142"/>
      <c r="E18" s="142"/>
      <c r="F18" s="142"/>
      <c r="G18" s="143"/>
      <c r="H18" s="200"/>
    </row>
    <row r="19" spans="1:8" s="76" customFormat="1" ht="27" customHeight="1">
      <c r="A19" s="200"/>
      <c r="B19" s="141"/>
      <c r="C19" s="142"/>
      <c r="D19" s="142"/>
      <c r="E19" s="142"/>
      <c r="F19" s="142"/>
      <c r="G19" s="143"/>
      <c r="H19" s="200"/>
    </row>
    <row r="20" spans="1:8" s="76" customFormat="1" ht="27" customHeight="1">
      <c r="A20" s="200"/>
      <c r="B20" s="141"/>
      <c r="C20" s="142"/>
      <c r="D20" s="142"/>
      <c r="E20" s="142"/>
      <c r="F20" s="142"/>
      <c r="G20" s="143"/>
      <c r="H20" s="200"/>
    </row>
    <row r="21" spans="1:8" s="76" customFormat="1" ht="27" customHeight="1">
      <c r="A21" s="200"/>
      <c r="B21" s="141"/>
      <c r="C21" s="142"/>
      <c r="D21" s="142"/>
      <c r="E21" s="142"/>
      <c r="F21" s="142"/>
      <c r="G21" s="143"/>
      <c r="H21" s="200"/>
    </row>
    <row r="22" spans="1:8" s="76" customFormat="1" ht="27" customHeight="1">
      <c r="A22" s="200"/>
      <c r="B22" s="141"/>
      <c r="C22" s="142"/>
      <c r="D22" s="142"/>
      <c r="E22" s="142"/>
      <c r="F22" s="142"/>
      <c r="G22" s="143"/>
      <c r="H22" s="200"/>
    </row>
    <row r="23" spans="1:8" s="76" customFormat="1" ht="27" customHeight="1">
      <c r="A23" s="200"/>
      <c r="B23" s="141"/>
      <c r="C23" s="142"/>
      <c r="D23" s="142"/>
      <c r="E23" s="142"/>
      <c r="F23" s="142"/>
      <c r="G23" s="143"/>
      <c r="H23" s="200"/>
    </row>
    <row r="24" spans="1:8" s="76" customFormat="1" ht="27" customHeight="1">
      <c r="A24" s="200"/>
      <c r="B24" s="141"/>
      <c r="C24" s="142"/>
      <c r="D24" s="142"/>
      <c r="E24" s="142"/>
      <c r="F24" s="142"/>
      <c r="G24" s="143"/>
      <c r="H24" s="200"/>
    </row>
    <row r="25" spans="1:8" s="76" customFormat="1" ht="27" customHeight="1">
      <c r="A25" s="200"/>
      <c r="B25" s="141"/>
      <c r="C25" s="142"/>
      <c r="D25" s="142"/>
      <c r="E25" s="142"/>
      <c r="F25" s="142"/>
      <c r="G25" s="143"/>
      <c r="H25" s="200"/>
    </row>
    <row r="26" spans="1:8" s="76" customFormat="1" ht="15">
      <c r="A26" s="200"/>
      <c r="B26" s="141"/>
      <c r="C26" s="608"/>
      <c r="D26" s="608"/>
      <c r="E26" s="608"/>
      <c r="F26" s="608"/>
      <c r="G26" s="609"/>
      <c r="H26" s="200"/>
    </row>
    <row r="27" spans="1:8" s="76" customFormat="1" ht="15">
      <c r="A27" s="200"/>
      <c r="B27" s="141"/>
      <c r="C27" s="608"/>
      <c r="D27" s="608"/>
      <c r="E27" s="608"/>
      <c r="F27" s="608"/>
      <c r="G27" s="609"/>
      <c r="H27" s="200"/>
    </row>
    <row r="28" spans="1:8" s="76" customFormat="1" ht="15">
      <c r="A28" s="200"/>
      <c r="B28" s="141"/>
      <c r="C28" s="608"/>
      <c r="D28" s="608"/>
      <c r="E28" s="608"/>
      <c r="F28" s="608"/>
      <c r="G28" s="609"/>
      <c r="H28" s="200"/>
    </row>
    <row r="29" spans="1:8" s="76" customFormat="1" ht="15">
      <c r="A29" s="200"/>
      <c r="B29" s="141"/>
      <c r="C29" s="608"/>
      <c r="D29" s="608"/>
      <c r="E29" s="608"/>
      <c r="F29" s="608"/>
      <c r="G29" s="609"/>
      <c r="H29" s="200"/>
    </row>
    <row r="30" spans="1:8" s="76" customFormat="1" ht="15">
      <c r="A30" s="200"/>
      <c r="B30" s="141"/>
      <c r="C30" s="608"/>
      <c r="D30" s="608"/>
      <c r="E30" s="608"/>
      <c r="F30" s="608"/>
      <c r="G30" s="609"/>
      <c r="H30" s="200"/>
    </row>
    <row r="31" spans="1:8" s="76" customFormat="1" ht="15">
      <c r="A31" s="200"/>
      <c r="B31" s="141"/>
      <c r="C31" s="142"/>
      <c r="D31" s="142"/>
      <c r="E31" s="142"/>
      <c r="F31" s="142"/>
      <c r="G31" s="143"/>
      <c r="H31" s="200"/>
    </row>
    <row r="32" spans="1:8" s="7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76" customFormat="1" ht="15.75">
      <c r="A33" s="200"/>
      <c r="B33" s="144"/>
      <c r="C33" s="145"/>
      <c r="D33" s="142"/>
      <c r="E33" s="142"/>
      <c r="F33" s="142"/>
      <c r="G33" s="143"/>
      <c r="H33" s="200"/>
    </row>
    <row r="34" spans="1:8" s="76" customFormat="1" ht="15">
      <c r="A34" s="200"/>
      <c r="B34" s="141"/>
      <c r="C34" s="142"/>
      <c r="D34" s="142"/>
      <c r="E34" s="142"/>
      <c r="F34" s="142"/>
      <c r="G34" s="143"/>
      <c r="H34" s="200"/>
    </row>
    <row r="35" spans="1:8" s="76" customFormat="1" ht="15">
      <c r="A35" s="200"/>
      <c r="B35" s="141"/>
      <c r="C35" s="608"/>
      <c r="D35" s="608"/>
      <c r="E35" s="608"/>
      <c r="F35" s="608"/>
      <c r="G35" s="609"/>
      <c r="H35" s="200"/>
    </row>
    <row r="36" spans="1:8" s="76" customFormat="1" ht="15">
      <c r="A36" s="200"/>
      <c r="B36" s="141"/>
      <c r="C36" s="608"/>
      <c r="D36" s="608"/>
      <c r="E36" s="608"/>
      <c r="F36" s="608"/>
      <c r="G36" s="609"/>
      <c r="H36" s="200"/>
    </row>
    <row r="37" spans="1:8" s="76" customFormat="1" ht="29.25" customHeight="1">
      <c r="A37" s="200"/>
      <c r="B37" s="141"/>
      <c r="C37" s="608"/>
      <c r="D37" s="608"/>
      <c r="E37" s="608"/>
      <c r="F37" s="608"/>
      <c r="G37" s="609"/>
      <c r="H37" s="200"/>
    </row>
    <row r="38" spans="1:8" s="76" customFormat="1" ht="29.25" customHeight="1">
      <c r="A38" s="200"/>
      <c r="B38" s="141"/>
      <c r="C38" s="608"/>
      <c r="D38" s="608"/>
      <c r="E38" s="608"/>
      <c r="F38" s="608"/>
      <c r="G38" s="609"/>
      <c r="H38" s="200"/>
    </row>
    <row r="39" spans="1:8" s="76" customFormat="1" ht="15">
      <c r="A39" s="200"/>
      <c r="B39" s="140"/>
      <c r="C39" s="146"/>
      <c r="D39" s="146"/>
      <c r="E39" s="146"/>
      <c r="F39" s="146"/>
      <c r="G39" s="147"/>
      <c r="H39" s="200"/>
    </row>
    <row r="40" spans="1:8" s="76" customFormat="1" ht="15">
      <c r="A40" s="200"/>
      <c r="B40" s="140"/>
      <c r="C40" s="146"/>
      <c r="D40" s="146"/>
      <c r="E40" s="146"/>
      <c r="F40" s="146"/>
      <c r="G40" s="147"/>
      <c r="H40" s="200"/>
    </row>
    <row r="41" spans="1:8" s="76" customFormat="1" ht="15">
      <c r="A41" s="200"/>
      <c r="B41" s="140"/>
      <c r="C41" s="146"/>
      <c r="D41" s="146"/>
      <c r="E41" s="146"/>
      <c r="F41" s="146"/>
      <c r="G41" s="147"/>
      <c r="H41" s="200"/>
    </row>
    <row r="42" spans="1:8" s="76" customFormat="1" ht="15">
      <c r="A42" s="200"/>
      <c r="B42" s="140"/>
      <c r="C42" s="146"/>
      <c r="D42" s="146"/>
      <c r="E42" s="146"/>
      <c r="F42" s="146"/>
      <c r="G42" s="147"/>
      <c r="H42" s="200"/>
    </row>
    <row r="43" spans="1:8" s="76" customFormat="1" ht="15">
      <c r="A43" s="200"/>
      <c r="B43" s="140"/>
      <c r="C43" s="146"/>
      <c r="D43" s="146"/>
      <c r="E43" s="146"/>
      <c r="F43" s="146"/>
      <c r="G43" s="147"/>
      <c r="H43" s="200"/>
    </row>
    <row r="44" spans="1:8" s="76" customFormat="1" ht="15.75" thickBot="1">
      <c r="A44" s="200"/>
      <c r="B44" s="148"/>
      <c r="C44" s="149"/>
      <c r="D44" s="149"/>
      <c r="E44" s="149"/>
      <c r="F44" s="149"/>
      <c r="G44" s="150"/>
      <c r="H44" s="200"/>
    </row>
    <row r="45" spans="1:8" s="137" customFormat="1" ht="15.75" thickBot="1">
      <c r="A45" s="200"/>
      <c r="B45" s="136"/>
      <c r="C45" s="136"/>
      <c r="D45" s="136"/>
      <c r="E45" s="136"/>
      <c r="F45" s="136"/>
      <c r="G45" s="136"/>
      <c r="H45" s="200"/>
    </row>
    <row r="46" spans="1:8" s="137" customFormat="1" ht="15.75" thickBot="1">
      <c r="A46" s="200"/>
      <c r="B46" s="136"/>
      <c r="C46" s="136"/>
      <c r="D46" s="136"/>
      <c r="E46" s="136"/>
      <c r="F46" s="136"/>
      <c r="G46" s="136"/>
      <c r="H46" s="200"/>
    </row>
    <row r="47" spans="1:8" s="137" customFormat="1" ht="15.75" thickBot="1">
      <c r="A47" s="198"/>
      <c r="B47" s="151"/>
      <c r="C47" s="136"/>
      <c r="D47" s="136"/>
      <c r="E47" s="136"/>
      <c r="F47" s="136"/>
      <c r="G47" s="151"/>
      <c r="H47" s="199"/>
    </row>
    <row r="48" spans="1:8" s="137" customFormat="1" ht="15" hidden="1" customHeight="1">
      <c r="A48" s="200"/>
      <c r="B48" s="136"/>
      <c r="C48" s="136"/>
      <c r="D48" s="136"/>
      <c r="E48" s="136"/>
      <c r="F48" s="136"/>
      <c r="G48" s="136"/>
      <c r="H48" s="200"/>
    </row>
    <row r="49" spans="1:8" s="137" customFormat="1" ht="15" hidden="1" customHeight="1">
      <c r="A49" s="200"/>
      <c r="B49" s="136"/>
      <c r="C49" s="136"/>
      <c r="D49" s="136"/>
      <c r="E49" s="136"/>
      <c r="F49" s="136"/>
      <c r="G49" s="136"/>
      <c r="H49" s="200"/>
    </row>
    <row r="50" spans="1:8" s="137" customFormat="1" ht="15" hidden="1" customHeight="1">
      <c r="A50" s="201"/>
      <c r="B50" s="152"/>
      <c r="C50" s="152"/>
      <c r="D50" s="152"/>
      <c r="E50" s="152"/>
      <c r="F50" s="152"/>
      <c r="G50" s="152"/>
      <c r="H50" s="201"/>
    </row>
    <row r="51" spans="1:8" s="137" customFormat="1" ht="15" hidden="1" customHeight="1">
      <c r="A51" s="201"/>
      <c r="B51" s="152"/>
      <c r="C51" s="152"/>
      <c r="D51" s="152"/>
      <c r="E51" s="152"/>
      <c r="F51" s="152"/>
      <c r="G51" s="152"/>
      <c r="H51" s="201"/>
    </row>
    <row r="52" spans="1:8" s="137" customFormat="1" ht="15" hidden="1" customHeight="1">
      <c r="A52" s="201"/>
      <c r="B52" s="152"/>
      <c r="C52" s="152"/>
      <c r="D52" s="152"/>
      <c r="E52" s="152"/>
      <c r="F52" s="152"/>
      <c r="G52" s="151" t="s">
        <v>42</v>
      </c>
      <c r="H52" s="201"/>
    </row>
    <row r="53" spans="1:8" s="137" customFormat="1" ht="15" hidden="1" customHeight="1">
      <c r="A53" s="201"/>
      <c r="B53" s="152"/>
      <c r="C53" s="152"/>
      <c r="D53" s="152"/>
      <c r="E53" s="152"/>
      <c r="F53" s="152"/>
      <c r="G53" s="151"/>
      <c r="H53" s="201"/>
    </row>
    <row r="54" spans="1:8" s="137" customFormat="1" ht="15" hidden="1" customHeight="1">
      <c r="A54" s="201"/>
      <c r="B54" s="152"/>
      <c r="C54" s="152"/>
      <c r="D54" s="152"/>
      <c r="E54" s="152"/>
      <c r="F54" s="152"/>
      <c r="G54" s="152"/>
      <c r="H54" s="201"/>
    </row>
    <row r="55" spans="1:8" s="137" customFormat="1" ht="15" hidden="1" customHeight="1">
      <c r="A55" s="201"/>
      <c r="B55" s="152"/>
      <c r="C55" s="152"/>
      <c r="D55" s="152"/>
      <c r="E55" s="152"/>
      <c r="F55" s="152"/>
      <c r="G55" s="152"/>
      <c r="H55" s="201"/>
    </row>
    <row r="56" spans="1:8" s="137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7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7" customFormat="1" ht="15">
      <c r="A58" s="201"/>
      <c r="B58" s="152"/>
      <c r="C58" s="152"/>
      <c r="D58" s="152"/>
      <c r="E58" s="152"/>
      <c r="F58" s="152"/>
      <c r="G58" s="152"/>
      <c r="H58" s="201"/>
    </row>
    <row r="59" spans="1:8" customFormat="1" ht="12.75">
      <c r="A59" s="201"/>
      <c r="B59" s="152"/>
      <c r="C59" s="152"/>
      <c r="D59" s="152"/>
      <c r="E59" s="152"/>
      <c r="F59" s="152"/>
      <c r="G59" s="152"/>
      <c r="H59" s="201"/>
    </row>
    <row r="60" spans="1:8" customFormat="1" ht="12.75">
      <c r="A60" s="201"/>
      <c r="B60" s="152"/>
      <c r="C60" s="152"/>
      <c r="D60" s="152"/>
      <c r="E60" s="152"/>
      <c r="F60" s="152"/>
      <c r="G60" s="152"/>
      <c r="H60" s="201"/>
    </row>
    <row r="61" spans="1:8" customFormat="1" ht="12.7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2"/>
      <c r="B62" s="153"/>
      <c r="C62" s="153"/>
      <c r="D62" s="153"/>
      <c r="E62" s="153"/>
      <c r="F62" s="153"/>
      <c r="G62" s="153"/>
      <c r="H62" s="202"/>
    </row>
    <row r="63" spans="1:8" customFormat="1" ht="12.75">
      <c r="A63" s="202"/>
      <c r="B63" s="153"/>
      <c r="C63" s="153"/>
      <c r="D63" s="153"/>
      <c r="E63" s="153"/>
      <c r="F63" s="153"/>
      <c r="G63" s="153"/>
      <c r="H63" s="202"/>
    </row>
    <row r="64" spans="1:8" customFormat="1" ht="12.75">
      <c r="A64" s="202"/>
      <c r="B64" s="153"/>
      <c r="C64" s="153"/>
      <c r="D64" s="153"/>
      <c r="E64" s="153"/>
      <c r="F64" s="153"/>
      <c r="G64" s="153"/>
      <c r="H64" s="202"/>
    </row>
    <row r="65" spans="1:8" customFormat="1" ht="12.75">
      <c r="A65" s="202"/>
      <c r="B65" s="153"/>
      <c r="C65" s="153"/>
      <c r="D65" s="153"/>
      <c r="E65" s="153"/>
      <c r="F65" s="153"/>
      <c r="G65" s="153"/>
      <c r="H65" s="202"/>
    </row>
    <row r="66" spans="1:8" customFormat="1" ht="12.75">
      <c r="A66" s="202"/>
      <c r="B66" s="153"/>
      <c r="C66" s="153"/>
      <c r="D66" s="153"/>
      <c r="E66" s="153"/>
      <c r="F66" s="153"/>
      <c r="G66" s="153"/>
      <c r="H66" s="202"/>
    </row>
    <row r="67" spans="1:8" customFormat="1" ht="12.75">
      <c r="A67" s="202"/>
      <c r="B67" s="153"/>
      <c r="C67" s="153"/>
      <c r="D67" s="153"/>
      <c r="E67" s="153"/>
      <c r="F67" s="153"/>
      <c r="G67" s="153"/>
      <c r="H67" s="202"/>
    </row>
    <row r="68" spans="1:8" customFormat="1" ht="12.75">
      <c r="A68" s="202"/>
      <c r="B68" s="153"/>
      <c r="C68" s="153"/>
      <c r="D68" s="153"/>
      <c r="E68" s="153"/>
      <c r="F68" s="153"/>
      <c r="G68" s="153"/>
      <c r="H68" s="202"/>
    </row>
    <row r="69" spans="1:8" customFormat="1" ht="12.75">
      <c r="A69" s="202"/>
      <c r="B69" s="153"/>
      <c r="C69" s="153"/>
      <c r="D69" s="153"/>
      <c r="E69" s="153"/>
      <c r="F69" s="153"/>
      <c r="G69" s="153"/>
      <c r="H69" s="202"/>
    </row>
    <row r="70" spans="1:8" customFormat="1" ht="12.75">
      <c r="A70" s="202"/>
      <c r="B70" s="153"/>
      <c r="C70" s="153"/>
      <c r="D70" s="153"/>
      <c r="E70" s="153"/>
      <c r="F70" s="153"/>
      <c r="G70" s="153"/>
      <c r="H70" s="202"/>
    </row>
    <row r="71" spans="1:8" customFormat="1" ht="12.75">
      <c r="A71" s="202"/>
      <c r="B71" s="153"/>
      <c r="C71" s="153"/>
      <c r="D71" s="153"/>
      <c r="E71" s="153"/>
      <c r="F71" s="153"/>
      <c r="G71" s="153"/>
      <c r="H71" s="202"/>
    </row>
    <row r="72" spans="1:8" customFormat="1" ht="12.75">
      <c r="A72" s="202"/>
      <c r="B72" s="153"/>
      <c r="C72" s="153"/>
      <c r="D72" s="153"/>
      <c r="E72" s="153"/>
      <c r="F72" s="153"/>
      <c r="G72" s="153"/>
      <c r="H72" s="202"/>
    </row>
    <row r="73" spans="1:8" customFormat="1" ht="12.75">
      <c r="A73" s="202"/>
      <c r="B73" s="153"/>
      <c r="C73" s="153"/>
      <c r="D73" s="153"/>
      <c r="E73" s="153"/>
      <c r="F73" s="153"/>
      <c r="G73" s="153"/>
      <c r="H73" s="202"/>
    </row>
    <row r="74" spans="1:8" customFormat="1" ht="12.75">
      <c r="A74" s="202"/>
      <c r="B74" s="153"/>
      <c r="C74" s="153"/>
      <c r="D74" s="153"/>
      <c r="E74" s="153"/>
      <c r="F74" s="153"/>
      <c r="G74" s="153"/>
      <c r="H74" s="202"/>
    </row>
    <row r="75" spans="1:8" customFormat="1" ht="12.75">
      <c r="A75" s="202"/>
      <c r="B75" s="153"/>
      <c r="C75" s="153"/>
      <c r="D75" s="153"/>
      <c r="E75" s="153"/>
      <c r="F75" s="153"/>
      <c r="G75" s="153"/>
      <c r="H75" s="202"/>
    </row>
    <row r="76" spans="1:8" customFormat="1" ht="12.75">
      <c r="A76" s="202"/>
      <c r="B76" s="153"/>
      <c r="C76" s="153"/>
      <c r="D76" s="153"/>
      <c r="E76" s="153"/>
      <c r="F76" s="153"/>
      <c r="G76" s="153"/>
      <c r="H76" s="202"/>
    </row>
    <row r="77" spans="1:8" customFormat="1" ht="12.75">
      <c r="A77" s="202"/>
      <c r="B77" s="153"/>
      <c r="C77" s="153"/>
      <c r="D77" s="153"/>
      <c r="E77" s="153"/>
      <c r="F77" s="153"/>
      <c r="G77" s="153"/>
      <c r="H77" s="202"/>
    </row>
    <row r="78" spans="1:8" customFormat="1" ht="12.75">
      <c r="A78" s="202"/>
      <c r="B78" s="153"/>
      <c r="C78" s="153"/>
      <c r="D78" s="153"/>
      <c r="E78" s="153"/>
      <c r="F78" s="153"/>
      <c r="G78" s="153"/>
      <c r="H78" s="202"/>
    </row>
    <row r="79" spans="1:8" customFormat="1" ht="12.75">
      <c r="A79" s="202"/>
      <c r="B79" s="153"/>
      <c r="C79" s="153"/>
      <c r="D79" s="153"/>
      <c r="E79" s="153"/>
      <c r="F79" s="153"/>
      <c r="G79" s="153"/>
      <c r="H79" s="202"/>
    </row>
    <row r="80" spans="1:8" customFormat="1" ht="12.75">
      <c r="A80" s="202"/>
      <c r="B80" s="153"/>
      <c r="C80" s="153"/>
      <c r="D80" s="153"/>
      <c r="E80" s="153"/>
      <c r="F80" s="153"/>
      <c r="G80" s="153"/>
      <c r="H80" s="202"/>
    </row>
    <row r="81" spans="1:8" customFormat="1" ht="12.75">
      <c r="A81" s="202"/>
      <c r="B81" s="153"/>
      <c r="C81" s="153"/>
      <c r="D81" s="153"/>
      <c r="E81" s="153"/>
      <c r="F81" s="153"/>
      <c r="G81" s="153"/>
      <c r="H81" s="202"/>
    </row>
    <row r="82" spans="1:8" customFormat="1" ht="12.75">
      <c r="A82" s="202"/>
      <c r="B82" s="153"/>
      <c r="C82" s="153"/>
      <c r="D82" s="153"/>
      <c r="E82" s="153"/>
      <c r="F82" s="153"/>
      <c r="G82" s="153"/>
      <c r="H82" s="202"/>
    </row>
    <row r="83" spans="1:8" customFormat="1" ht="12.75">
      <c r="A83" s="202"/>
      <c r="B83" s="153"/>
      <c r="C83" s="153"/>
      <c r="D83" s="153"/>
      <c r="E83" s="153"/>
      <c r="F83" s="153"/>
      <c r="G83" s="153"/>
      <c r="H83" s="202"/>
    </row>
    <row r="84" spans="1:8" customFormat="1" ht="12.75">
      <c r="A84" s="202"/>
      <c r="B84" s="153"/>
      <c r="C84" s="153"/>
      <c r="D84" s="153"/>
      <c r="E84" s="153"/>
      <c r="F84" s="153"/>
      <c r="G84" s="153"/>
      <c r="H84" s="202"/>
    </row>
    <row r="85" spans="1:8" customFormat="1" ht="13.5" thickBot="1">
      <c r="A85" s="202"/>
      <c r="B85" s="153"/>
      <c r="C85" s="153"/>
      <c r="D85" s="153"/>
      <c r="E85" s="153"/>
      <c r="F85" s="153"/>
      <c r="G85" s="153"/>
      <c r="H85" s="202"/>
    </row>
    <row r="86" spans="1:8" s="137" customFormat="1" ht="15.75" thickBot="1">
      <c r="A86" s="203"/>
      <c r="B86" s="2"/>
      <c r="C86" s="2"/>
      <c r="D86" s="2"/>
      <c r="E86" s="2"/>
      <c r="F86" s="2"/>
      <c r="G86" s="2"/>
      <c r="H86" s="203"/>
    </row>
    <row r="87" spans="1:8" s="137" customFormat="1" ht="15.75" thickBot="1">
      <c r="A87" s="203"/>
      <c r="B87" s="2"/>
      <c r="C87" s="2"/>
      <c r="D87" s="2"/>
      <c r="E87" s="2"/>
      <c r="F87" s="2"/>
      <c r="G87" s="2"/>
      <c r="H87" s="203"/>
    </row>
    <row r="88" spans="1:8" s="137" customFormat="1" ht="15.75" thickBot="1">
      <c r="A88" s="203"/>
      <c r="B88" s="2"/>
      <c r="C88" s="2"/>
      <c r="D88" s="2"/>
      <c r="E88" s="2"/>
      <c r="F88" s="2"/>
      <c r="G88" s="2"/>
      <c r="H88" s="203"/>
    </row>
    <row r="89" spans="1:8" s="137" customFormat="1" ht="15.75" thickBot="1">
      <c r="A89" s="203"/>
      <c r="B89" s="2"/>
      <c r="C89" s="2"/>
      <c r="D89" s="2"/>
      <c r="E89" s="2"/>
      <c r="F89" s="2"/>
      <c r="G89" s="2"/>
      <c r="H89" s="203"/>
    </row>
    <row r="90" spans="1:8" s="137" customFormat="1" ht="15.75" thickBot="1">
      <c r="A90" s="203"/>
      <c r="B90" s="2"/>
      <c r="C90" s="2"/>
      <c r="D90" s="2"/>
      <c r="E90" s="2"/>
      <c r="F90" s="2"/>
      <c r="G90" s="2"/>
      <c r="H90" s="203"/>
    </row>
    <row r="91" spans="1:8" s="137" customFormat="1" ht="15.75" thickBot="1">
      <c r="A91" s="203"/>
      <c r="B91" s="2"/>
      <c r="C91" s="2"/>
      <c r="D91" s="2"/>
      <c r="E91" s="2"/>
      <c r="F91" s="2"/>
      <c r="G91" s="2"/>
      <c r="H91" s="203"/>
    </row>
    <row r="92" spans="1:8" s="137" customFormat="1" ht="15.75" thickBot="1">
      <c r="A92" s="203"/>
      <c r="B92" s="2"/>
      <c r="C92" s="2"/>
      <c r="D92" s="2"/>
      <c r="E92" s="2"/>
      <c r="F92" s="2"/>
      <c r="G92" s="2"/>
      <c r="H92" s="203"/>
    </row>
    <row r="93" spans="1:8" s="137" customFormat="1" ht="15.75" thickBot="1">
      <c r="A93" s="203"/>
      <c r="B93" s="2"/>
      <c r="C93" s="2"/>
      <c r="D93" s="2"/>
      <c r="E93" s="2"/>
      <c r="F93" s="2"/>
      <c r="G93" s="2"/>
      <c r="H93" s="203"/>
    </row>
    <row r="94" spans="1:8" s="137" customFormat="1" ht="15.75" thickBot="1">
      <c r="A94" s="203"/>
      <c r="B94" s="2"/>
      <c r="C94" s="2"/>
      <c r="D94" s="2"/>
      <c r="E94" s="2"/>
      <c r="F94" s="2"/>
      <c r="G94" s="2"/>
      <c r="H94" s="203"/>
    </row>
    <row r="95" spans="1:8" s="137" customFormat="1" ht="15.75" thickBot="1">
      <c r="A95" s="203"/>
      <c r="B95" s="2"/>
      <c r="C95" s="2"/>
      <c r="D95" s="2"/>
      <c r="E95" s="2"/>
      <c r="F95" s="2"/>
      <c r="G95" s="2"/>
      <c r="H95" s="203"/>
    </row>
    <row r="96" spans="1:8" s="137" customFormat="1" ht="15.75" thickBot="1">
      <c r="A96" s="203"/>
      <c r="B96" s="2"/>
      <c r="C96" s="2"/>
      <c r="D96" s="2"/>
      <c r="E96" s="2"/>
      <c r="F96" s="2"/>
      <c r="G96" s="2"/>
      <c r="H96" s="203"/>
    </row>
    <row r="97" s="137" customFormat="1" ht="15.75" thickBot="1"/>
    <row r="98" s="137" customFormat="1" ht="15.75" thickBot="1"/>
    <row r="99" s="137" customFormat="1" ht="15.75" thickBot="1"/>
    <row r="100" s="137" customFormat="1" ht="15.75" thickBot="1"/>
    <row r="101" s="137" customFormat="1" ht="15.75" thickBot="1"/>
    <row r="102" s="137" customFormat="1" ht="15"/>
  </sheetData>
  <mergeCells count="22">
    <mergeCell ref="C11:G11"/>
    <mergeCell ref="C12:G12"/>
    <mergeCell ref="B4:G4"/>
    <mergeCell ref="B6:G6"/>
    <mergeCell ref="C8:G8"/>
    <mergeCell ref="B5:G5"/>
    <mergeCell ref="C9:G9"/>
    <mergeCell ref="C10:G10"/>
    <mergeCell ref="C37:G37"/>
    <mergeCell ref="C38:G38"/>
    <mergeCell ref="C29:G29"/>
    <mergeCell ref="C30:G30"/>
    <mergeCell ref="C35:G35"/>
    <mergeCell ref="C36:G36"/>
    <mergeCell ref="C27:G27"/>
    <mergeCell ref="C28:G28"/>
    <mergeCell ref="C13:G13"/>
    <mergeCell ref="C14:G14"/>
    <mergeCell ref="C17:G17"/>
    <mergeCell ref="C26:G26"/>
    <mergeCell ref="C15:G15"/>
    <mergeCell ref="C16:G16"/>
  </mergeCells>
  <phoneticPr fontId="11" type="noConversion"/>
  <hyperlinks>
    <hyperlink ref="G52" location="Indice!A1" display="Indice!A1" xr:uid="{00000000-0004-0000-0700-000000000000}"/>
  </hyperlinks>
  <printOptions horizontalCentered="1"/>
  <pageMargins left="0" right="0" top="0" bottom="0" header="0" footer="0"/>
  <pageSetup scale="7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indexed="43"/>
    <pageSetUpPr fitToPage="1"/>
  </sheetPr>
  <dimension ref="A1:H108"/>
  <sheetViews>
    <sheetView workbookViewId="0"/>
  </sheetViews>
  <sheetFormatPr baseColWidth="10" defaultColWidth="0" defaultRowHeight="0" customHeight="1" zeroHeight="1"/>
  <cols>
    <col min="1" max="1" width="17.42578125" style="157" customWidth="1"/>
    <col min="2" max="2" width="2.7109375" style="157" customWidth="1"/>
    <col min="3" max="3" width="19.140625" style="157" customWidth="1"/>
    <col min="4" max="4" width="19.7109375" style="157" customWidth="1"/>
    <col min="5" max="5" width="19.7109375" style="157" bestFit="1" customWidth="1"/>
    <col min="6" max="6" width="19.140625" style="157" customWidth="1"/>
    <col min="7" max="7" width="22.85546875" style="157" customWidth="1"/>
    <col min="8" max="8" width="19.140625" style="157" customWidth="1"/>
    <col min="9" max="16384" width="19.140625" style="157" hidden="1"/>
  </cols>
  <sheetData>
    <row r="1" spans="1:8" s="136" customFormat="1" ht="15">
      <c r="A1" s="198"/>
      <c r="H1" s="199"/>
    </row>
    <row r="2" spans="1:8" s="136" customFormat="1" ht="15">
      <c r="A2" s="200"/>
      <c r="H2" s="200"/>
    </row>
    <row r="3" spans="1:8" s="136" customFormat="1" ht="15.75" thickBot="1">
      <c r="A3" s="200"/>
      <c r="H3" s="200"/>
    </row>
    <row r="4" spans="1:8" s="136" customFormat="1" ht="15.75">
      <c r="A4" s="200"/>
      <c r="B4" s="487" t="s">
        <v>54</v>
      </c>
      <c r="C4" s="488"/>
      <c r="D4" s="488"/>
      <c r="E4" s="488"/>
      <c r="F4" s="488"/>
      <c r="G4" s="489"/>
      <c r="H4" s="200"/>
    </row>
    <row r="5" spans="1:8" s="136" customFormat="1" ht="16.5" thickBot="1">
      <c r="A5" s="200"/>
      <c r="B5" s="613" t="s">
        <v>319</v>
      </c>
      <c r="C5" s="616"/>
      <c r="D5" s="616"/>
      <c r="E5" s="616"/>
      <c r="F5" s="616"/>
      <c r="G5" s="617"/>
      <c r="H5" s="200"/>
    </row>
    <row r="6" spans="1:8" s="136" customFormat="1" ht="21" customHeight="1" thickBot="1">
      <c r="A6" s="200"/>
      <c r="B6" s="618" t="s">
        <v>115</v>
      </c>
      <c r="C6" s="618"/>
      <c r="D6" s="618"/>
      <c r="E6" s="618"/>
      <c r="F6" s="618"/>
      <c r="G6" s="618"/>
      <c r="H6" s="200"/>
    </row>
    <row r="7" spans="1:8" s="136" customFormat="1" ht="15">
      <c r="A7" s="200"/>
      <c r="B7" s="137"/>
      <c r="C7" s="138"/>
      <c r="D7" s="138"/>
      <c r="E7" s="138"/>
      <c r="F7" s="138"/>
      <c r="G7" s="139"/>
      <c r="H7" s="200"/>
    </row>
    <row r="8" spans="1:8" s="136" customFormat="1" ht="15">
      <c r="A8" s="200"/>
      <c r="B8" s="140"/>
      <c r="C8" s="611"/>
      <c r="D8" s="611"/>
      <c r="E8" s="611"/>
      <c r="F8" s="611"/>
      <c r="G8" s="612"/>
      <c r="H8" s="200"/>
    </row>
    <row r="9" spans="1:8" s="136" customFormat="1" ht="15">
      <c r="A9" s="200"/>
      <c r="B9" s="141"/>
      <c r="C9" s="608"/>
      <c r="D9" s="608"/>
      <c r="E9" s="608"/>
      <c r="F9" s="608"/>
      <c r="G9" s="609"/>
      <c r="H9" s="200"/>
    </row>
    <row r="10" spans="1:8" s="136" customFormat="1" ht="14.25" customHeight="1">
      <c r="A10" s="200"/>
      <c r="B10" s="141"/>
      <c r="C10" s="608"/>
      <c r="D10" s="608"/>
      <c r="E10" s="608"/>
      <c r="F10" s="608"/>
      <c r="G10" s="609"/>
      <c r="H10" s="200"/>
    </row>
    <row r="11" spans="1:8" s="136" customFormat="1" ht="28.5" customHeight="1">
      <c r="A11" s="200"/>
      <c r="B11" s="141"/>
      <c r="C11" s="608"/>
      <c r="D11" s="608"/>
      <c r="E11" s="608"/>
      <c r="F11" s="608"/>
      <c r="G11" s="609"/>
      <c r="H11" s="200"/>
    </row>
    <row r="12" spans="1:8" s="136" customFormat="1" ht="28.5" customHeight="1">
      <c r="A12" s="200"/>
      <c r="B12" s="141"/>
      <c r="C12" s="142"/>
      <c r="D12" s="142"/>
      <c r="E12" s="142"/>
      <c r="F12" s="142"/>
      <c r="G12" s="143"/>
      <c r="H12" s="200"/>
    </row>
    <row r="13" spans="1:8" s="136" customFormat="1" ht="28.5" customHeight="1">
      <c r="A13" s="200"/>
      <c r="B13" s="141"/>
      <c r="C13" s="142"/>
      <c r="D13" s="142"/>
      <c r="E13" s="142"/>
      <c r="F13" s="142"/>
      <c r="G13" s="143"/>
      <c r="H13" s="200"/>
    </row>
    <row r="14" spans="1:8" s="136" customFormat="1" ht="28.5" customHeight="1">
      <c r="A14" s="200"/>
      <c r="B14" s="141"/>
      <c r="C14" s="142"/>
      <c r="D14" s="142"/>
      <c r="E14" s="142"/>
      <c r="F14" s="142"/>
      <c r="G14" s="143"/>
      <c r="H14" s="200"/>
    </row>
    <row r="15" spans="1:8" s="136" customFormat="1" ht="28.5" customHeight="1">
      <c r="A15" s="200"/>
      <c r="B15" s="141"/>
      <c r="C15" s="142"/>
      <c r="D15" s="142"/>
      <c r="E15" s="142"/>
      <c r="F15" s="142"/>
      <c r="G15" s="143"/>
      <c r="H15" s="200"/>
    </row>
    <row r="16" spans="1:8" s="136" customFormat="1" ht="28.5" customHeight="1">
      <c r="A16" s="200"/>
      <c r="B16" s="141"/>
      <c r="C16" s="142"/>
      <c r="D16" s="142"/>
      <c r="E16" s="142"/>
      <c r="F16" s="142"/>
      <c r="G16" s="143"/>
      <c r="H16" s="200"/>
    </row>
    <row r="17" spans="1:8" s="136" customFormat="1" ht="28.5" customHeight="1">
      <c r="A17" s="200"/>
      <c r="B17" s="141"/>
      <c r="C17" s="142"/>
      <c r="D17" s="142"/>
      <c r="E17" s="142"/>
      <c r="F17" s="142"/>
      <c r="G17" s="143"/>
      <c r="H17" s="200"/>
    </row>
    <row r="18" spans="1:8" s="136" customFormat="1" ht="28.5" customHeight="1">
      <c r="A18" s="200"/>
      <c r="B18" s="141"/>
      <c r="C18" s="142"/>
      <c r="D18" s="142"/>
      <c r="E18" s="142"/>
      <c r="F18" s="142"/>
      <c r="G18" s="143"/>
      <c r="H18" s="200"/>
    </row>
    <row r="19" spans="1:8" s="136" customFormat="1" ht="28.5" customHeight="1">
      <c r="A19" s="200"/>
      <c r="B19" s="141"/>
      <c r="C19" s="142"/>
      <c r="D19" s="142"/>
      <c r="E19" s="142"/>
      <c r="F19" s="142"/>
      <c r="G19" s="143"/>
      <c r="H19" s="200"/>
    </row>
    <row r="20" spans="1:8" s="136" customFormat="1" ht="28.5" customHeight="1">
      <c r="A20" s="200"/>
      <c r="B20" s="141"/>
      <c r="C20" s="142"/>
      <c r="D20" s="142"/>
      <c r="E20" s="142"/>
      <c r="F20" s="142"/>
      <c r="G20" s="143"/>
      <c r="H20" s="200"/>
    </row>
    <row r="21" spans="1:8" s="136" customFormat="1" ht="28.5" customHeight="1">
      <c r="A21" s="200"/>
      <c r="B21" s="141"/>
      <c r="C21" s="142"/>
      <c r="D21" s="142"/>
      <c r="E21" s="142"/>
      <c r="F21" s="142"/>
      <c r="G21" s="143"/>
      <c r="H21" s="200"/>
    </row>
    <row r="22" spans="1:8" s="136" customFormat="1" ht="28.5" customHeight="1">
      <c r="A22" s="200"/>
      <c r="B22" s="141"/>
      <c r="C22" s="142"/>
      <c r="D22" s="142"/>
      <c r="E22" s="142"/>
      <c r="F22" s="142"/>
      <c r="G22" s="143"/>
      <c r="H22" s="200"/>
    </row>
    <row r="23" spans="1:8" s="136" customFormat="1" ht="28.5" customHeight="1">
      <c r="A23" s="200"/>
      <c r="B23" s="141"/>
      <c r="C23" s="142"/>
      <c r="D23" s="142"/>
      <c r="E23" s="142"/>
      <c r="F23" s="142"/>
      <c r="G23" s="143"/>
      <c r="H23" s="200"/>
    </row>
    <row r="24" spans="1:8" s="136" customFormat="1" ht="28.5" customHeight="1">
      <c r="A24" s="200"/>
      <c r="B24" s="141"/>
      <c r="C24" s="142"/>
      <c r="D24" s="142"/>
      <c r="E24" s="142"/>
      <c r="F24" s="142"/>
      <c r="G24" s="143"/>
      <c r="H24" s="200"/>
    </row>
    <row r="25" spans="1:8" s="136" customFormat="1" ht="28.5" customHeight="1">
      <c r="A25" s="200"/>
      <c r="B25" s="141"/>
      <c r="C25" s="142"/>
      <c r="D25" s="142"/>
      <c r="E25" s="142"/>
      <c r="F25" s="142"/>
      <c r="G25" s="143"/>
      <c r="H25" s="200"/>
    </row>
    <row r="26" spans="1:8" s="136" customFormat="1" ht="28.5" customHeight="1">
      <c r="A26" s="200"/>
      <c r="B26" s="141"/>
      <c r="C26" s="142"/>
      <c r="D26" s="142"/>
      <c r="E26" s="142"/>
      <c r="F26" s="142"/>
      <c r="G26" s="143"/>
      <c r="H26" s="200"/>
    </row>
    <row r="27" spans="1:8" s="136" customFormat="1" ht="28.5" customHeight="1">
      <c r="A27" s="200"/>
      <c r="B27" s="141"/>
      <c r="C27" s="142"/>
      <c r="D27" s="142"/>
      <c r="E27" s="142"/>
      <c r="F27" s="142"/>
      <c r="G27" s="143"/>
      <c r="H27" s="200"/>
    </row>
    <row r="28" spans="1:8" s="136" customFormat="1" ht="14.25" customHeight="1">
      <c r="A28" s="200"/>
      <c r="B28" s="141"/>
      <c r="C28" s="608"/>
      <c r="D28" s="608"/>
      <c r="E28" s="608"/>
      <c r="F28" s="608"/>
      <c r="G28" s="609"/>
      <c r="H28" s="200"/>
    </row>
    <row r="29" spans="1:8" s="136" customFormat="1" ht="14.25" customHeight="1">
      <c r="A29" s="200"/>
      <c r="B29" s="141"/>
      <c r="C29" s="608"/>
      <c r="D29" s="608"/>
      <c r="E29" s="608"/>
      <c r="F29" s="608"/>
      <c r="G29" s="609"/>
      <c r="H29" s="200"/>
    </row>
    <row r="30" spans="1:8" s="136" customFormat="1" ht="28.5" customHeight="1">
      <c r="A30" s="200"/>
      <c r="B30" s="141"/>
      <c r="C30" s="608"/>
      <c r="D30" s="608"/>
      <c r="E30" s="608"/>
      <c r="F30" s="608"/>
      <c r="G30" s="609"/>
      <c r="H30" s="200"/>
    </row>
    <row r="31" spans="1:8" s="136" customFormat="1" ht="15">
      <c r="A31" s="200"/>
      <c r="B31" s="141"/>
      <c r="C31" s="608"/>
      <c r="D31" s="608"/>
      <c r="E31" s="608"/>
      <c r="F31" s="608"/>
      <c r="G31" s="609"/>
      <c r="H31" s="200"/>
    </row>
    <row r="32" spans="1:8" s="136" customFormat="1" ht="15">
      <c r="A32" s="200"/>
      <c r="B32" s="141"/>
      <c r="C32" s="142"/>
      <c r="D32" s="142"/>
      <c r="E32" s="142"/>
      <c r="F32" s="142"/>
      <c r="G32" s="143"/>
      <c r="H32" s="200"/>
    </row>
    <row r="33" spans="1:8" s="136" customFormat="1" ht="15">
      <c r="A33" s="200"/>
      <c r="B33" s="141"/>
      <c r="C33" s="142"/>
      <c r="D33" s="142"/>
      <c r="E33" s="142"/>
      <c r="F33" s="142"/>
      <c r="G33" s="143"/>
      <c r="H33" s="200"/>
    </row>
    <row r="34" spans="1:8" s="136" customFormat="1" ht="15.75">
      <c r="A34" s="200"/>
      <c r="B34" s="144"/>
      <c r="C34" s="145"/>
      <c r="D34" s="142"/>
      <c r="E34" s="142"/>
      <c r="F34" s="142"/>
      <c r="G34" s="143"/>
      <c r="H34" s="200"/>
    </row>
    <row r="35" spans="1:8" s="136" customFormat="1" ht="15">
      <c r="A35" s="200"/>
      <c r="B35" s="141"/>
      <c r="C35" s="142"/>
      <c r="D35" s="142"/>
      <c r="E35" s="142"/>
      <c r="F35" s="142"/>
      <c r="G35" s="143"/>
      <c r="H35" s="200"/>
    </row>
    <row r="36" spans="1:8" s="136" customFormat="1" ht="15">
      <c r="A36" s="200"/>
      <c r="B36" s="141"/>
      <c r="C36" s="608"/>
      <c r="D36" s="608"/>
      <c r="E36" s="608"/>
      <c r="F36" s="608"/>
      <c r="G36" s="609"/>
      <c r="H36" s="200"/>
    </row>
    <row r="37" spans="1:8" s="136" customFormat="1" ht="15">
      <c r="A37" s="200"/>
      <c r="B37" s="141"/>
      <c r="C37" s="608"/>
      <c r="D37" s="608"/>
      <c r="E37" s="608"/>
      <c r="F37" s="608"/>
      <c r="G37" s="609"/>
      <c r="H37" s="200"/>
    </row>
    <row r="38" spans="1:8" s="136" customFormat="1" ht="15">
      <c r="A38" s="200"/>
      <c r="B38" s="141"/>
      <c r="C38" s="608"/>
      <c r="D38" s="608"/>
      <c r="E38" s="608"/>
      <c r="F38" s="608"/>
      <c r="G38" s="609"/>
      <c r="H38" s="200"/>
    </row>
    <row r="39" spans="1:8" s="136" customFormat="1" ht="15">
      <c r="A39" s="200"/>
      <c r="B39" s="141"/>
      <c r="C39" s="608"/>
      <c r="D39" s="608"/>
      <c r="E39" s="608"/>
      <c r="F39" s="608"/>
      <c r="G39" s="609"/>
      <c r="H39" s="200"/>
    </row>
    <row r="40" spans="1:8" s="136" customFormat="1" ht="15.75" thickBot="1">
      <c r="A40" s="200"/>
      <c r="B40" s="140"/>
      <c r="C40" s="146"/>
      <c r="D40" s="146"/>
      <c r="E40" s="146"/>
      <c r="F40" s="146"/>
      <c r="G40" s="147"/>
      <c r="H40" s="200"/>
    </row>
    <row r="41" spans="1:8" s="138" customFormat="1" ht="15.75" thickBot="1">
      <c r="A41" s="200"/>
      <c r="B41" s="140"/>
      <c r="C41" s="146"/>
      <c r="D41" s="146"/>
      <c r="E41" s="146"/>
      <c r="F41" s="146"/>
      <c r="G41" s="147"/>
      <c r="H41" s="200"/>
    </row>
    <row r="42" spans="1:8" s="138" customFormat="1" ht="15.75" thickBot="1">
      <c r="A42" s="200"/>
      <c r="B42" s="140"/>
      <c r="C42" s="146"/>
      <c r="D42" s="146"/>
      <c r="E42" s="146"/>
      <c r="F42" s="146"/>
      <c r="G42" s="147"/>
      <c r="H42" s="200"/>
    </row>
    <row r="43" spans="1:8" s="138" customFormat="1" ht="15.75" thickBot="1">
      <c r="A43" s="200"/>
      <c r="B43" s="148"/>
      <c r="C43" s="149"/>
      <c r="D43" s="149"/>
      <c r="E43" s="149"/>
      <c r="F43" s="149"/>
      <c r="G43" s="150"/>
      <c r="H43" s="200"/>
    </row>
    <row r="44" spans="1:8" s="138" customFormat="1" ht="15" hidden="1" customHeight="1">
      <c r="A44" s="200"/>
      <c r="B44" s="140"/>
      <c r="C44" s="146"/>
      <c r="D44" s="146"/>
      <c r="E44" s="146"/>
      <c r="F44" s="146"/>
      <c r="G44" s="147"/>
      <c r="H44" s="200"/>
    </row>
    <row r="45" spans="1:8" s="138" customFormat="1" ht="15" hidden="1" customHeight="1">
      <c r="A45" s="200"/>
      <c r="B45" s="148"/>
      <c r="C45" s="149"/>
      <c r="D45" s="149"/>
      <c r="E45" s="149"/>
      <c r="F45" s="149"/>
      <c r="G45" s="150"/>
      <c r="H45" s="200"/>
    </row>
    <row r="46" spans="1:8" s="138" customFormat="1" ht="15" hidden="1" customHeight="1">
      <c r="A46" s="200"/>
      <c r="B46" s="154"/>
      <c r="C46" s="154"/>
      <c r="D46" s="154"/>
      <c r="E46" s="154"/>
      <c r="F46" s="154"/>
      <c r="G46" s="154"/>
      <c r="H46" s="200"/>
    </row>
    <row r="47" spans="1:8" s="138" customFormat="1" ht="15" hidden="1" customHeight="1">
      <c r="A47" s="200"/>
      <c r="B47" s="154"/>
      <c r="C47" s="154"/>
      <c r="D47" s="154"/>
      <c r="E47" s="154"/>
      <c r="F47" s="154"/>
      <c r="G47" s="154"/>
      <c r="H47" s="200"/>
    </row>
    <row r="48" spans="1:8" s="138" customFormat="1" ht="15" hidden="1" customHeight="1">
      <c r="A48" s="151" t="s">
        <v>43</v>
      </c>
      <c r="B48" s="155"/>
      <c r="C48" s="154"/>
      <c r="D48" s="154"/>
      <c r="E48" s="154"/>
      <c r="F48" s="154"/>
      <c r="G48" s="155"/>
      <c r="H48" s="199" t="s">
        <v>21</v>
      </c>
    </row>
    <row r="49" spans="1:8" s="138" customFormat="1" ht="15" hidden="1" customHeight="1">
      <c r="A49" s="200"/>
      <c r="B49" s="154"/>
      <c r="C49" s="154"/>
      <c r="D49" s="154"/>
      <c r="E49" s="154"/>
      <c r="F49" s="154"/>
      <c r="G49" s="154"/>
      <c r="H49" s="200"/>
    </row>
    <row r="50" spans="1:8" s="138" customFormat="1" ht="15" hidden="1" customHeight="1">
      <c r="A50" s="200"/>
      <c r="B50" s="154"/>
      <c r="C50" s="154"/>
      <c r="D50" s="154"/>
      <c r="E50" s="154"/>
      <c r="F50" s="154"/>
      <c r="G50" s="154"/>
      <c r="H50" s="200"/>
    </row>
    <row r="51" spans="1:8" s="138" customFormat="1" ht="15" hidden="1" customHeight="1">
      <c r="A51" s="201"/>
      <c r="B51" s="156"/>
      <c r="C51" s="156"/>
      <c r="D51" s="156"/>
      <c r="E51" s="156"/>
      <c r="F51" s="156"/>
      <c r="G51" s="156"/>
      <c r="H51" s="201"/>
    </row>
    <row r="52" spans="1:8" s="138" customFormat="1" ht="15.75" thickBot="1">
      <c r="A52" s="201"/>
      <c r="B52" s="152"/>
      <c r="C52" s="152"/>
      <c r="D52" s="152"/>
      <c r="E52" s="152"/>
      <c r="F52" s="152"/>
      <c r="G52" s="152"/>
      <c r="H52" s="201"/>
    </row>
    <row r="53" spans="1:8" s="138" customFormat="1" ht="15.75" thickBot="1">
      <c r="A53" s="198"/>
      <c r="B53" s="152"/>
      <c r="C53" s="152"/>
      <c r="D53" s="152"/>
      <c r="E53" s="152"/>
      <c r="F53" s="152"/>
      <c r="G53" s="151"/>
      <c r="H53" s="199"/>
    </row>
    <row r="54" spans="1:8" s="138" customFormat="1" ht="15.75" thickBot="1">
      <c r="A54" s="201"/>
      <c r="B54" s="152"/>
      <c r="C54" s="152"/>
      <c r="D54" s="152"/>
      <c r="E54" s="152"/>
      <c r="F54" s="152"/>
      <c r="G54" s="151"/>
      <c r="H54" s="201"/>
    </row>
    <row r="55" spans="1:8" s="138" customFormat="1" ht="15.75" thickBot="1">
      <c r="A55" s="201"/>
      <c r="B55" s="152"/>
      <c r="C55" s="152"/>
      <c r="D55" s="152"/>
      <c r="E55" s="152"/>
      <c r="F55" s="152"/>
      <c r="G55" s="152"/>
      <c r="H55" s="201"/>
    </row>
    <row r="56" spans="1:8" s="138" customFormat="1" ht="15.75" thickBot="1">
      <c r="A56" s="201"/>
      <c r="B56" s="152"/>
      <c r="C56" s="152"/>
      <c r="D56" s="152"/>
      <c r="E56" s="152"/>
      <c r="F56" s="152"/>
      <c r="G56" s="152"/>
      <c r="H56" s="201"/>
    </row>
    <row r="57" spans="1:8" s="138" customFormat="1" ht="15.75" thickBot="1">
      <c r="A57" s="201"/>
      <c r="B57" s="152"/>
      <c r="C57" s="152"/>
      <c r="D57" s="152"/>
      <c r="E57" s="152"/>
      <c r="F57" s="152"/>
      <c r="G57" s="152"/>
      <c r="H57" s="201"/>
    </row>
    <row r="58" spans="1:8" s="138" customFormat="1" ht="15.75" thickBot="1">
      <c r="A58" s="201"/>
      <c r="B58" s="152"/>
      <c r="C58" s="152"/>
      <c r="D58" s="152"/>
      <c r="E58" s="152"/>
      <c r="F58" s="152"/>
      <c r="G58" s="152"/>
      <c r="H58" s="201"/>
    </row>
    <row r="59" spans="1:8" s="138" customFormat="1" ht="15.75" thickBot="1">
      <c r="A59" s="201"/>
      <c r="B59" s="152"/>
      <c r="C59" s="152"/>
      <c r="D59" s="152"/>
      <c r="E59" s="152"/>
      <c r="F59" s="152"/>
      <c r="G59" s="152"/>
      <c r="H59" s="201"/>
    </row>
    <row r="60" spans="1:8" s="138" customFormat="1" ht="15.75" thickBot="1">
      <c r="A60" s="201"/>
      <c r="B60" s="152"/>
      <c r="C60" s="152"/>
      <c r="D60" s="152"/>
      <c r="E60" s="152"/>
      <c r="F60" s="152"/>
      <c r="G60" s="152"/>
      <c r="H60" s="201"/>
    </row>
    <row r="61" spans="1:8" s="138" customFormat="1" ht="15">
      <c r="A61" s="201"/>
      <c r="B61" s="152"/>
      <c r="C61" s="152"/>
      <c r="D61" s="152"/>
      <c r="E61" s="152"/>
      <c r="F61" s="152"/>
      <c r="G61" s="152"/>
      <c r="H61" s="201"/>
    </row>
    <row r="62" spans="1:8" customFormat="1" ht="12.75">
      <c r="A62" s="204"/>
      <c r="B62" s="157"/>
      <c r="C62" s="157"/>
      <c r="D62" s="157"/>
      <c r="E62" s="157"/>
      <c r="F62" s="157"/>
      <c r="G62" s="157"/>
      <c r="H62" s="204"/>
    </row>
    <row r="63" spans="1:8" customFormat="1" ht="12.75">
      <c r="A63" s="204"/>
      <c r="B63" s="157"/>
      <c r="C63" s="157"/>
      <c r="D63" s="157"/>
      <c r="E63" s="157"/>
      <c r="F63" s="157"/>
      <c r="G63" s="157"/>
      <c r="H63" s="204"/>
    </row>
    <row r="64" spans="1:8" customFormat="1" ht="12.75">
      <c r="A64" s="204"/>
      <c r="B64" s="157"/>
      <c r="C64" s="157"/>
      <c r="D64" s="157"/>
      <c r="E64" s="157"/>
      <c r="F64" s="157"/>
      <c r="G64" s="157"/>
      <c r="H64" s="204"/>
    </row>
    <row r="65" customFormat="1" ht="12.75"/>
    <row r="66" customFormat="1" ht="12.75"/>
    <row r="67" customFormat="1" ht="12.75"/>
    <row r="68" customFormat="1" ht="12.75"/>
    <row r="69" customFormat="1" ht="12.75"/>
    <row r="70" customFormat="1" ht="12.75"/>
    <row r="71" customFormat="1" ht="12.75"/>
    <row r="72" customFormat="1" ht="12.75"/>
    <row r="73" customFormat="1" ht="12.75"/>
    <row r="74" customFormat="1" ht="12.75"/>
    <row r="75" customFormat="1" ht="12.75"/>
    <row r="76" customFormat="1" ht="12.75"/>
    <row r="77" customFormat="1" ht="12.75"/>
    <row r="78" customFormat="1" ht="12.75"/>
    <row r="79" customFormat="1" ht="12.75"/>
    <row r="80" customFormat="1" ht="12.75"/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</sheetData>
  <mergeCells count="15">
    <mergeCell ref="C9:G9"/>
    <mergeCell ref="C10:G10"/>
    <mergeCell ref="B4:G4"/>
    <mergeCell ref="B5:G5"/>
    <mergeCell ref="B6:G6"/>
    <mergeCell ref="C8:G8"/>
    <mergeCell ref="C11:G11"/>
    <mergeCell ref="C28:G28"/>
    <mergeCell ref="C37:G37"/>
    <mergeCell ref="C38:G38"/>
    <mergeCell ref="C39:G39"/>
    <mergeCell ref="C29:G29"/>
    <mergeCell ref="C30:G30"/>
    <mergeCell ref="C31:G31"/>
    <mergeCell ref="C36:G36"/>
  </mergeCells>
  <phoneticPr fontId="11" type="noConversion"/>
  <hyperlinks>
    <hyperlink ref="H48" location="Indice!A1" display="Indice!A1" xr:uid="{00000000-0004-0000-0800-000000000000}"/>
    <hyperlink ref="A48" location="RJT2!A1" display="RJT2!A1" xr:uid="{00000000-0004-0000-0800-000001000000}"/>
  </hyperlinks>
  <printOptions horizontalCentered="1"/>
  <pageMargins left="0" right="0" top="0" bottom="0" header="0" footer="0"/>
  <pageSetup scale="7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3"/>
    <pageSetUpPr fitToPage="1"/>
  </sheetPr>
  <dimension ref="A1:XFA124"/>
  <sheetViews>
    <sheetView zoomScaleNormal="100" zoomScaleSheetLayoutView="115" workbookViewId="0"/>
  </sheetViews>
  <sheetFormatPr baseColWidth="10" defaultColWidth="0" defaultRowHeight="0" customHeight="1" zeroHeight="1"/>
  <cols>
    <col min="1" max="1" width="17.42578125" style="157" customWidth="1"/>
    <col min="2" max="3" width="7.140625" style="157" customWidth="1"/>
    <col min="4" max="14" width="8.140625" style="157" customWidth="1"/>
    <col min="15" max="17" width="6.42578125" style="157" customWidth="1"/>
    <col min="18" max="16375" width="19.140625" style="157" hidden="1"/>
    <col min="16376" max="16376" width="9.85546875" style="157" hidden="1"/>
    <col min="16377" max="16377" width="10.7109375" style="157" hidden="1"/>
    <col min="16378" max="16378" width="9.42578125" style="157" hidden="1"/>
    <col min="16379" max="16381" width="5.28515625" style="157" hidden="1"/>
    <col min="16382" max="16384" width="1.140625" style="157" hidden="1"/>
  </cols>
  <sheetData>
    <row r="1" spans="1:14" s="136" customFormat="1" ht="15">
      <c r="A1" s="198"/>
      <c r="H1" s="199"/>
    </row>
    <row r="2" spans="1:14" s="136" customFormat="1" ht="15">
      <c r="A2" s="200"/>
      <c r="H2" s="200"/>
    </row>
    <row r="3" spans="1:14" s="136" customFormat="1" ht="15.75" thickBot="1">
      <c r="A3" s="200"/>
      <c r="H3" s="200"/>
    </row>
    <row r="4" spans="1:14" s="136" customFormat="1" ht="15.75">
      <c r="A4" s="200"/>
      <c r="B4" s="487" t="s">
        <v>54</v>
      </c>
      <c r="C4" s="488"/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9"/>
    </row>
    <row r="5" spans="1:14" s="136" customFormat="1" ht="16.5" thickBot="1">
      <c r="A5" s="200"/>
      <c r="B5" s="613" t="s">
        <v>319</v>
      </c>
      <c r="C5" s="616"/>
      <c r="D5" s="616"/>
      <c r="E5" s="616"/>
      <c r="F5" s="616"/>
      <c r="G5" s="616"/>
      <c r="H5" s="616"/>
      <c r="I5" s="616"/>
      <c r="J5" s="616"/>
      <c r="K5" s="616"/>
      <c r="L5" s="616"/>
      <c r="M5" s="616"/>
      <c r="N5" s="617"/>
    </row>
    <row r="6" spans="1:14" s="136" customFormat="1" ht="21" customHeight="1" thickBot="1">
      <c r="A6" s="200"/>
      <c r="B6" s="610" t="s">
        <v>292</v>
      </c>
      <c r="C6" s="610"/>
      <c r="D6" s="610"/>
      <c r="E6" s="610"/>
      <c r="F6" s="610"/>
      <c r="G6" s="610"/>
      <c r="H6" s="610"/>
      <c r="I6" s="610"/>
      <c r="J6" s="610"/>
      <c r="K6" s="610"/>
      <c r="L6" s="610"/>
      <c r="M6" s="610"/>
      <c r="N6" s="610"/>
    </row>
    <row r="7" spans="1:14" s="136" customFormat="1" ht="15">
      <c r="A7" s="200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9"/>
    </row>
    <row r="8" spans="1:14" s="136" customFormat="1" ht="15">
      <c r="A8" s="200"/>
      <c r="B8" s="140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3"/>
    </row>
    <row r="9" spans="1:14" s="136" customFormat="1" ht="15">
      <c r="A9" s="200"/>
      <c r="B9" s="140"/>
      <c r="C9" s="623" t="s">
        <v>291</v>
      </c>
      <c r="D9" s="623"/>
      <c r="E9" s="623"/>
      <c r="F9" s="623"/>
      <c r="G9" s="623"/>
      <c r="H9" s="623"/>
      <c r="I9" s="623"/>
      <c r="J9" s="623"/>
      <c r="K9" s="623"/>
      <c r="L9" s="623"/>
      <c r="M9" s="623"/>
      <c r="N9" s="143"/>
    </row>
    <row r="10" spans="1:14" s="136" customFormat="1" ht="15">
      <c r="A10" s="200"/>
      <c r="B10" s="141"/>
      <c r="C10" s="142"/>
      <c r="D10" s="366"/>
      <c r="E10" s="366"/>
      <c r="F10" s="366"/>
      <c r="G10" s="366"/>
      <c r="H10" s="366"/>
      <c r="I10" s="366"/>
      <c r="J10" s="366"/>
      <c r="K10" s="366"/>
      <c r="L10" s="366"/>
      <c r="M10" s="366"/>
      <c r="N10" s="365"/>
    </row>
    <row r="11" spans="1:14" s="136" customFormat="1" ht="14.25" customHeight="1">
      <c r="A11" s="200"/>
      <c r="B11" s="141"/>
      <c r="C11" s="364"/>
      <c r="D11" s="363" t="s">
        <v>377</v>
      </c>
      <c r="E11" s="363" t="s">
        <v>378</v>
      </c>
      <c r="F11" s="363" t="s">
        <v>379</v>
      </c>
      <c r="G11" s="363" t="s">
        <v>348</v>
      </c>
      <c r="H11" s="363" t="s">
        <v>346</v>
      </c>
      <c r="I11" s="363" t="s">
        <v>366</v>
      </c>
      <c r="J11" s="363" t="s">
        <v>368</v>
      </c>
      <c r="K11" s="363" t="s">
        <v>362</v>
      </c>
      <c r="L11" s="363" t="s">
        <v>380</v>
      </c>
      <c r="M11" s="363" t="s">
        <v>381</v>
      </c>
      <c r="N11" s="362" t="s">
        <v>360</v>
      </c>
    </row>
    <row r="12" spans="1:14" s="136" customFormat="1" ht="15">
      <c r="A12" s="200"/>
      <c r="B12" s="621" t="s">
        <v>24</v>
      </c>
      <c r="C12" s="622"/>
      <c r="D12" s="375" t="s">
        <v>294</v>
      </c>
      <c r="E12" s="375" t="s">
        <v>294</v>
      </c>
      <c r="F12" s="375" t="s">
        <v>294</v>
      </c>
      <c r="G12" s="375" t="s">
        <v>294</v>
      </c>
      <c r="H12" s="375" t="s">
        <v>294</v>
      </c>
      <c r="I12" s="375" t="s">
        <v>294</v>
      </c>
      <c r="J12" s="375" t="s">
        <v>294</v>
      </c>
      <c r="K12" s="375" t="s">
        <v>294</v>
      </c>
      <c r="L12" s="375" t="s">
        <v>294</v>
      </c>
      <c r="M12" s="375" t="s">
        <v>294</v>
      </c>
      <c r="N12" s="376" t="s">
        <v>294</v>
      </c>
    </row>
    <row r="13" spans="1:14" s="136" customFormat="1" ht="15">
      <c r="A13" s="200"/>
      <c r="B13" s="621" t="s">
        <v>290</v>
      </c>
      <c r="C13" s="622"/>
      <c r="D13" s="377">
        <v>5.9</v>
      </c>
      <c r="E13" s="377">
        <v>2.5</v>
      </c>
      <c r="F13" s="377">
        <v>93</v>
      </c>
      <c r="G13" s="377">
        <v>7.4</v>
      </c>
      <c r="H13" s="377">
        <v>4.8600000000000003</v>
      </c>
      <c r="I13" s="377">
        <v>60.99</v>
      </c>
      <c r="J13" s="377">
        <v>46</v>
      </c>
      <c r="K13" s="377">
        <v>23</v>
      </c>
      <c r="L13" s="377">
        <v>36.4</v>
      </c>
      <c r="M13" s="377">
        <v>13.5</v>
      </c>
      <c r="N13" s="378">
        <v>400</v>
      </c>
    </row>
    <row r="14" spans="1:14" s="136" customFormat="1" ht="15">
      <c r="A14" s="200"/>
      <c r="B14" s="621" t="s">
        <v>289</v>
      </c>
      <c r="C14" s="622"/>
      <c r="D14" s="377">
        <v>5.9</v>
      </c>
      <c r="E14" s="377">
        <v>6</v>
      </c>
      <c r="F14" s="377">
        <v>92</v>
      </c>
      <c r="G14" s="377">
        <v>7.6</v>
      </c>
      <c r="H14" s="377">
        <v>4.71</v>
      </c>
      <c r="I14" s="377">
        <v>59.81</v>
      </c>
      <c r="J14" s="377">
        <v>45</v>
      </c>
      <c r="K14" s="377">
        <v>22.5</v>
      </c>
      <c r="L14" s="377">
        <v>37.200000000000003</v>
      </c>
      <c r="M14" s="377">
        <v>13.5</v>
      </c>
      <c r="N14" s="378">
        <v>400</v>
      </c>
    </row>
    <row r="15" spans="1:14" s="136" customFormat="1" ht="15">
      <c r="A15" s="200"/>
      <c r="B15" s="621" t="s">
        <v>288</v>
      </c>
      <c r="C15" s="622"/>
      <c r="D15" s="377">
        <v>5.9</v>
      </c>
      <c r="E15" s="377">
        <v>5</v>
      </c>
      <c r="F15" s="377">
        <v>90</v>
      </c>
      <c r="G15" s="377">
        <v>7.2</v>
      </c>
      <c r="H15" s="377">
        <v>4.62</v>
      </c>
      <c r="I15" s="377">
        <v>60.29</v>
      </c>
      <c r="J15" s="377">
        <v>45</v>
      </c>
      <c r="K15" s="377">
        <v>22.5</v>
      </c>
      <c r="L15" s="377">
        <v>37.200000000000003</v>
      </c>
      <c r="M15" s="377">
        <v>13.5</v>
      </c>
      <c r="N15" s="378">
        <v>400</v>
      </c>
    </row>
    <row r="16" spans="1:14" s="136" customFormat="1" ht="15">
      <c r="A16" s="200"/>
      <c r="B16" s="621" t="s">
        <v>287</v>
      </c>
      <c r="C16" s="622"/>
      <c r="D16" s="377">
        <v>5.9</v>
      </c>
      <c r="E16" s="377">
        <v>5</v>
      </c>
      <c r="F16" s="377">
        <v>90</v>
      </c>
      <c r="G16" s="377">
        <v>6.2</v>
      </c>
      <c r="H16" s="377">
        <v>4.51</v>
      </c>
      <c r="I16" s="377">
        <v>59.85</v>
      </c>
      <c r="J16" s="377">
        <v>45</v>
      </c>
      <c r="K16" s="377">
        <v>22.5</v>
      </c>
      <c r="L16" s="377">
        <v>37.200000000000003</v>
      </c>
      <c r="M16" s="377">
        <v>13.5</v>
      </c>
      <c r="N16" s="378">
        <v>400</v>
      </c>
    </row>
    <row r="17" spans="1:14" s="136" customFormat="1" ht="15">
      <c r="A17" s="200"/>
      <c r="B17" s="621" t="s">
        <v>286</v>
      </c>
      <c r="C17" s="622"/>
      <c r="D17" s="377">
        <v>5.9</v>
      </c>
      <c r="E17" s="377">
        <v>5</v>
      </c>
      <c r="F17" s="377">
        <v>90</v>
      </c>
      <c r="G17" s="377">
        <v>5.7</v>
      </c>
      <c r="H17" s="377">
        <v>4.4400000000000004</v>
      </c>
      <c r="I17" s="377">
        <v>60.21</v>
      </c>
      <c r="J17" s="377">
        <v>45</v>
      </c>
      <c r="K17" s="377">
        <v>22.5</v>
      </c>
      <c r="L17" s="377">
        <v>37.200000000000003</v>
      </c>
      <c r="M17" s="377">
        <v>13.5</v>
      </c>
      <c r="N17" s="378">
        <v>400</v>
      </c>
    </row>
    <row r="18" spans="1:14" s="136" customFormat="1" ht="15">
      <c r="A18" s="200"/>
      <c r="B18" s="621" t="s">
        <v>285</v>
      </c>
      <c r="C18" s="622"/>
      <c r="D18" s="377">
        <v>5.9</v>
      </c>
      <c r="E18" s="377">
        <v>5</v>
      </c>
      <c r="F18" s="377">
        <v>82</v>
      </c>
      <c r="G18" s="377">
        <v>7</v>
      </c>
      <c r="H18" s="377">
        <v>4.2</v>
      </c>
      <c r="I18" s="377">
        <v>59.97</v>
      </c>
      <c r="J18" s="377">
        <v>45</v>
      </c>
      <c r="K18" s="377">
        <v>22.5</v>
      </c>
      <c r="L18" s="377">
        <v>37.200000000000003</v>
      </c>
      <c r="M18" s="377">
        <v>13.5</v>
      </c>
      <c r="N18" s="378">
        <v>300</v>
      </c>
    </row>
    <row r="19" spans="1:14" s="136" customFormat="1" ht="15">
      <c r="A19" s="200"/>
      <c r="B19" s="621" t="s">
        <v>284</v>
      </c>
      <c r="C19" s="622"/>
      <c r="D19" s="379">
        <v>5.9</v>
      </c>
      <c r="E19" s="379">
        <v>4.7</v>
      </c>
      <c r="F19" s="379">
        <v>82</v>
      </c>
      <c r="G19" s="379">
        <v>7</v>
      </c>
      <c r="H19" s="379">
        <v>4.2</v>
      </c>
      <c r="I19" s="379">
        <v>59.97</v>
      </c>
      <c r="J19" s="379">
        <v>45</v>
      </c>
      <c r="K19" s="379">
        <v>22.5</v>
      </c>
      <c r="L19" s="379">
        <v>37.200000000000003</v>
      </c>
      <c r="M19" s="379">
        <v>13.5</v>
      </c>
      <c r="N19" s="380">
        <v>300</v>
      </c>
    </row>
    <row r="20" spans="1:14" s="136" customFormat="1" ht="15">
      <c r="A20" s="200"/>
      <c r="B20" s="621" t="s">
        <v>283</v>
      </c>
      <c r="C20" s="622"/>
      <c r="D20" s="379">
        <v>5</v>
      </c>
      <c r="E20" s="379">
        <v>4.7</v>
      </c>
      <c r="F20" s="379">
        <v>81</v>
      </c>
      <c r="G20" s="379">
        <v>6.8</v>
      </c>
      <c r="H20" s="379">
        <v>4</v>
      </c>
      <c r="I20" s="379">
        <v>59.97</v>
      </c>
      <c r="J20" s="379">
        <v>45</v>
      </c>
      <c r="K20" s="379">
        <v>22</v>
      </c>
      <c r="L20" s="379">
        <v>37.200000000000003</v>
      </c>
      <c r="M20" s="379">
        <v>13.5</v>
      </c>
      <c r="N20" s="380">
        <v>300</v>
      </c>
    </row>
    <row r="21" spans="1:14" s="136" customFormat="1" ht="15">
      <c r="A21" s="200"/>
      <c r="B21" s="621" t="s">
        <v>282</v>
      </c>
      <c r="C21" s="622"/>
      <c r="D21" s="379">
        <v>5.4</v>
      </c>
      <c r="E21" s="379">
        <v>4.7</v>
      </c>
      <c r="F21" s="379">
        <v>81</v>
      </c>
      <c r="G21" s="379">
        <v>6.7</v>
      </c>
      <c r="H21" s="379">
        <v>3.8</v>
      </c>
      <c r="I21" s="379">
        <v>59.97</v>
      </c>
      <c r="J21" s="379">
        <v>45</v>
      </c>
      <c r="K21" s="379">
        <v>22</v>
      </c>
      <c r="L21" s="379">
        <v>36.700000000000003</v>
      </c>
      <c r="M21" s="379">
        <v>13</v>
      </c>
      <c r="N21" s="380">
        <v>300</v>
      </c>
    </row>
    <row r="22" spans="1:14" s="136" customFormat="1" ht="15">
      <c r="A22" s="200"/>
      <c r="B22" s="621" t="s">
        <v>281</v>
      </c>
      <c r="C22" s="622"/>
      <c r="D22" s="379">
        <v>5.4</v>
      </c>
      <c r="E22" s="379">
        <v>4.7</v>
      </c>
      <c r="F22" s="379">
        <v>80</v>
      </c>
      <c r="G22" s="379">
        <v>6.5</v>
      </c>
      <c r="H22" s="379">
        <v>3.8</v>
      </c>
      <c r="I22" s="379">
        <v>60</v>
      </c>
      <c r="J22" s="379">
        <v>45</v>
      </c>
      <c r="K22" s="379">
        <v>22</v>
      </c>
      <c r="L22" s="379">
        <v>36.700000000000003</v>
      </c>
      <c r="M22" s="379">
        <v>13</v>
      </c>
      <c r="N22" s="380">
        <v>300</v>
      </c>
    </row>
    <row r="23" spans="1:14" s="136" customFormat="1" ht="15">
      <c r="A23" s="200"/>
      <c r="B23" s="621" t="s">
        <v>280</v>
      </c>
      <c r="C23" s="622"/>
      <c r="D23" s="381">
        <v>5.5</v>
      </c>
      <c r="E23" s="381">
        <v>4.7</v>
      </c>
      <c r="F23" s="381">
        <v>80</v>
      </c>
      <c r="G23" s="381">
        <v>6.5</v>
      </c>
      <c r="H23" s="381">
        <v>3.13</v>
      </c>
      <c r="I23" s="381">
        <v>60</v>
      </c>
      <c r="J23" s="381">
        <v>45</v>
      </c>
      <c r="K23" s="381">
        <v>22</v>
      </c>
      <c r="L23" s="381">
        <v>36.6</v>
      </c>
      <c r="M23" s="381">
        <v>12</v>
      </c>
      <c r="N23" s="382">
        <v>300</v>
      </c>
    </row>
    <row r="24" spans="1:14" s="136" customFormat="1" ht="15">
      <c r="A24" s="200"/>
      <c r="B24" s="621" t="s">
        <v>279</v>
      </c>
      <c r="C24" s="622"/>
      <c r="D24" s="381">
        <v>5.4</v>
      </c>
      <c r="E24" s="381">
        <v>5.7</v>
      </c>
      <c r="F24" s="381">
        <v>80</v>
      </c>
      <c r="G24" s="381">
        <v>6.5</v>
      </c>
      <c r="H24" s="381">
        <v>4.32</v>
      </c>
      <c r="I24" s="381">
        <v>60</v>
      </c>
      <c r="J24" s="381">
        <v>45</v>
      </c>
      <c r="K24" s="381">
        <v>22</v>
      </c>
      <c r="L24" s="381">
        <v>36.4</v>
      </c>
      <c r="M24" s="381">
        <v>12</v>
      </c>
      <c r="N24" s="382">
        <v>300</v>
      </c>
    </row>
    <row r="25" spans="1:14" s="136" customFormat="1" ht="15">
      <c r="A25" s="200"/>
      <c r="B25" s="621" t="s">
        <v>278</v>
      </c>
      <c r="C25" s="622"/>
      <c r="D25" s="381">
        <v>3.1</v>
      </c>
      <c r="E25" s="381">
        <v>7.4</v>
      </c>
      <c r="F25" s="381">
        <v>80</v>
      </c>
      <c r="G25" s="381">
        <v>6</v>
      </c>
      <c r="H25" s="381">
        <v>4.2</v>
      </c>
      <c r="I25" s="381">
        <v>60</v>
      </c>
      <c r="J25" s="381">
        <v>45</v>
      </c>
      <c r="K25" s="381">
        <v>22</v>
      </c>
      <c r="L25" s="381">
        <v>36.4</v>
      </c>
      <c r="M25" s="381">
        <v>11.5</v>
      </c>
      <c r="N25" s="382">
        <v>300</v>
      </c>
    </row>
    <row r="26" spans="1:14" s="136" customFormat="1" ht="15">
      <c r="A26" s="200"/>
      <c r="B26" s="621" t="s">
        <v>277</v>
      </c>
      <c r="C26" s="622"/>
      <c r="D26" s="379">
        <v>2.1</v>
      </c>
      <c r="E26" s="379">
        <v>7.4</v>
      </c>
      <c r="F26" s="379">
        <v>79</v>
      </c>
      <c r="G26" s="379">
        <v>6</v>
      </c>
      <c r="H26" s="379">
        <v>4.4800000000000004</v>
      </c>
      <c r="I26" s="379">
        <v>60</v>
      </c>
      <c r="J26" s="379">
        <v>45</v>
      </c>
      <c r="K26" s="379">
        <v>22</v>
      </c>
      <c r="L26" s="379">
        <v>36.1</v>
      </c>
      <c r="M26" s="379">
        <v>11.5</v>
      </c>
      <c r="N26" s="380">
        <v>275</v>
      </c>
    </row>
    <row r="27" spans="1:14" s="136" customFormat="1" ht="15">
      <c r="A27" s="200"/>
      <c r="B27" s="621" t="s">
        <v>276</v>
      </c>
      <c r="C27" s="622"/>
      <c r="D27" s="379">
        <v>2.1</v>
      </c>
      <c r="E27" s="379">
        <v>7.4</v>
      </c>
      <c r="F27" s="379">
        <v>77</v>
      </c>
      <c r="G27" s="379">
        <v>6.9</v>
      </c>
      <c r="H27" s="379">
        <v>4.71</v>
      </c>
      <c r="I27" s="379">
        <v>60</v>
      </c>
      <c r="J27" s="379">
        <v>45</v>
      </c>
      <c r="K27" s="379">
        <v>21.5</v>
      </c>
      <c r="L27" s="379">
        <v>35.700000000000003</v>
      </c>
      <c r="M27" s="379">
        <v>10.5</v>
      </c>
      <c r="N27" s="380">
        <v>275</v>
      </c>
    </row>
    <row r="28" spans="1:14" s="136" customFormat="1" ht="15">
      <c r="A28" s="200"/>
      <c r="B28" s="621" t="s">
        <v>275</v>
      </c>
      <c r="C28" s="622"/>
      <c r="D28" s="379">
        <v>2.1</v>
      </c>
      <c r="E28" s="379">
        <v>7.4</v>
      </c>
      <c r="F28" s="379">
        <v>76</v>
      </c>
      <c r="G28" s="379">
        <v>6.7</v>
      </c>
      <c r="H28" s="379">
        <v>4.82</v>
      </c>
      <c r="I28" s="379">
        <v>60</v>
      </c>
      <c r="J28" s="379">
        <v>45</v>
      </c>
      <c r="K28" s="379">
        <v>21.5</v>
      </c>
      <c r="L28" s="379">
        <v>35.5</v>
      </c>
      <c r="M28" s="379">
        <v>10.5</v>
      </c>
      <c r="N28" s="380">
        <v>275</v>
      </c>
    </row>
    <row r="29" spans="1:14" s="136" customFormat="1" ht="15">
      <c r="A29" s="200"/>
      <c r="B29" s="621" t="s">
        <v>274</v>
      </c>
      <c r="C29" s="622"/>
      <c r="D29" s="379">
        <v>8</v>
      </c>
      <c r="E29" s="379">
        <v>10.5</v>
      </c>
      <c r="F29" s="379">
        <v>75</v>
      </c>
      <c r="G29" s="379">
        <v>7.4</v>
      </c>
      <c r="H29" s="379">
        <v>5.09</v>
      </c>
      <c r="I29" s="379">
        <v>60</v>
      </c>
      <c r="J29" s="379">
        <v>45</v>
      </c>
      <c r="K29" s="379">
        <v>21.5</v>
      </c>
      <c r="L29" s="379">
        <v>35.4</v>
      </c>
      <c r="M29" s="379">
        <v>9.5</v>
      </c>
      <c r="N29" s="380">
        <v>275</v>
      </c>
    </row>
    <row r="30" spans="1:14" s="136" customFormat="1" ht="15">
      <c r="A30" s="200"/>
      <c r="B30" s="621" t="s">
        <v>273</v>
      </c>
      <c r="C30" s="622"/>
      <c r="D30" s="379">
        <v>8</v>
      </c>
      <c r="E30" s="379">
        <v>10.9</v>
      </c>
      <c r="F30" s="379">
        <v>75</v>
      </c>
      <c r="G30" s="379">
        <v>7.8</v>
      </c>
      <c r="H30" s="379">
        <v>5</v>
      </c>
      <c r="I30" s="379">
        <v>60</v>
      </c>
      <c r="J30" s="379">
        <v>45</v>
      </c>
      <c r="K30" s="379">
        <v>21.5</v>
      </c>
      <c r="L30" s="379">
        <v>35.4</v>
      </c>
      <c r="M30" s="379">
        <v>9.5</v>
      </c>
      <c r="N30" s="380">
        <v>275</v>
      </c>
    </row>
    <row r="31" spans="1:14" s="136" customFormat="1" ht="15">
      <c r="A31" s="200"/>
      <c r="B31" s="621" t="s">
        <v>272</v>
      </c>
      <c r="C31" s="622"/>
      <c r="D31" s="381">
        <v>5.4</v>
      </c>
      <c r="E31" s="381">
        <v>10.9</v>
      </c>
      <c r="F31" s="381">
        <v>76</v>
      </c>
      <c r="G31" s="381">
        <v>7.2</v>
      </c>
      <c r="H31" s="381">
        <v>5</v>
      </c>
      <c r="I31" s="381">
        <v>60</v>
      </c>
      <c r="J31" s="381">
        <v>45</v>
      </c>
      <c r="K31" s="381">
        <v>21.5</v>
      </c>
      <c r="L31" s="381">
        <v>35.200000000000003</v>
      </c>
      <c r="M31" s="381">
        <v>9.5</v>
      </c>
      <c r="N31" s="382">
        <v>275</v>
      </c>
    </row>
    <row r="32" spans="1:14" s="136" customFormat="1" ht="15">
      <c r="A32" s="200"/>
      <c r="B32" s="621" t="s">
        <v>271</v>
      </c>
      <c r="C32" s="622"/>
      <c r="D32" s="381">
        <v>5.4</v>
      </c>
      <c r="E32" s="381">
        <v>10.9</v>
      </c>
      <c r="F32" s="381">
        <v>76</v>
      </c>
      <c r="G32" s="381">
        <v>7.1</v>
      </c>
      <c r="H32" s="381">
        <v>4.9000000000000004</v>
      </c>
      <c r="I32" s="381">
        <v>60</v>
      </c>
      <c r="J32" s="381">
        <v>45</v>
      </c>
      <c r="K32" s="381">
        <v>21.5</v>
      </c>
      <c r="L32" s="381">
        <v>35.200000000000003</v>
      </c>
      <c r="M32" s="381">
        <v>8</v>
      </c>
      <c r="N32" s="382">
        <v>300</v>
      </c>
    </row>
    <row r="33" spans="1:14" s="136" customFormat="1" ht="15">
      <c r="A33" s="200"/>
      <c r="B33" s="621" t="s">
        <v>270</v>
      </c>
      <c r="C33" s="622"/>
      <c r="D33" s="381">
        <v>5.4</v>
      </c>
      <c r="E33" s="381">
        <v>11.7</v>
      </c>
      <c r="F33" s="381">
        <v>76</v>
      </c>
      <c r="G33" s="381">
        <v>6.6</v>
      </c>
      <c r="H33" s="381">
        <v>5</v>
      </c>
      <c r="I33" s="381">
        <v>60</v>
      </c>
      <c r="J33" s="381">
        <v>45</v>
      </c>
      <c r="K33" s="381">
        <v>21.5</v>
      </c>
      <c r="L33" s="381">
        <v>35.1</v>
      </c>
      <c r="M33" s="381">
        <v>8</v>
      </c>
      <c r="N33" s="382">
        <v>300</v>
      </c>
    </row>
    <row r="34" spans="1:14" s="136" customFormat="1" ht="15">
      <c r="A34" s="200"/>
      <c r="B34" s="621" t="s">
        <v>269</v>
      </c>
      <c r="C34" s="622"/>
      <c r="D34" s="379">
        <v>5.9</v>
      </c>
      <c r="E34" s="379">
        <v>11.7</v>
      </c>
      <c r="F34" s="379">
        <v>76</v>
      </c>
      <c r="G34" s="379">
        <v>6.1</v>
      </c>
      <c r="H34" s="379">
        <v>5</v>
      </c>
      <c r="I34" s="379">
        <v>60</v>
      </c>
      <c r="J34" s="379">
        <v>45</v>
      </c>
      <c r="K34" s="379">
        <v>21.5</v>
      </c>
      <c r="L34" s="379">
        <v>35.1</v>
      </c>
      <c r="M34" s="379">
        <v>9</v>
      </c>
      <c r="N34" s="380">
        <v>350</v>
      </c>
    </row>
    <row r="35" spans="1:14" s="136" customFormat="1" ht="15">
      <c r="A35" s="200"/>
      <c r="B35" s="621" t="s">
        <v>268</v>
      </c>
      <c r="C35" s="622"/>
      <c r="D35" s="379">
        <v>5.9</v>
      </c>
      <c r="E35" s="379">
        <v>7</v>
      </c>
      <c r="F35" s="379">
        <v>76</v>
      </c>
      <c r="G35" s="379">
        <v>6.7</v>
      </c>
      <c r="H35" s="379">
        <v>4.9000000000000004</v>
      </c>
      <c r="I35" s="379">
        <v>60</v>
      </c>
      <c r="J35" s="379">
        <v>45</v>
      </c>
      <c r="K35" s="379">
        <v>21.5</v>
      </c>
      <c r="L35" s="379">
        <v>35.1</v>
      </c>
      <c r="M35" s="379">
        <v>9</v>
      </c>
      <c r="N35" s="380">
        <v>350</v>
      </c>
    </row>
    <row r="36" spans="1:14" s="136" customFormat="1" ht="15">
      <c r="A36" s="200"/>
      <c r="B36" s="621" t="s">
        <v>267</v>
      </c>
      <c r="C36" s="622"/>
      <c r="D36" s="377">
        <v>7.5</v>
      </c>
      <c r="E36" s="377">
        <v>5.7</v>
      </c>
      <c r="F36" s="377">
        <v>76</v>
      </c>
      <c r="G36" s="377">
        <v>6.8</v>
      </c>
      <c r="H36" s="377">
        <v>4.7</v>
      </c>
      <c r="I36" s="377">
        <v>60</v>
      </c>
      <c r="J36" s="377">
        <v>45</v>
      </c>
      <c r="K36" s="377">
        <v>21.5</v>
      </c>
      <c r="L36" s="377">
        <v>34.9</v>
      </c>
      <c r="M36" s="377">
        <v>9</v>
      </c>
      <c r="N36" s="378">
        <v>350</v>
      </c>
    </row>
    <row r="37" spans="1:14" s="136" customFormat="1" ht="15">
      <c r="A37" s="200"/>
      <c r="B37" s="619" t="s">
        <v>266</v>
      </c>
      <c r="C37" s="620"/>
      <c r="D37" s="383">
        <v>5.37</v>
      </c>
      <c r="E37" s="383">
        <v>6.94</v>
      </c>
      <c r="F37" s="383">
        <v>80.790000000000006</v>
      </c>
      <c r="G37" s="383">
        <v>6.77</v>
      </c>
      <c r="H37" s="383">
        <v>4.5199999999999996</v>
      </c>
      <c r="I37" s="383">
        <v>60.04</v>
      </c>
      <c r="J37" s="383">
        <v>45.04</v>
      </c>
      <c r="K37" s="383">
        <v>21.96</v>
      </c>
      <c r="L37" s="383">
        <v>36.18</v>
      </c>
      <c r="M37" s="383">
        <v>11.4</v>
      </c>
      <c r="N37" s="384">
        <v>320.83</v>
      </c>
    </row>
    <row r="38" spans="1:14" s="136" customFormat="1" ht="15">
      <c r="A38" s="200"/>
      <c r="B38" s="619" t="s">
        <v>265</v>
      </c>
      <c r="C38" s="620"/>
      <c r="D38" s="383">
        <v>8</v>
      </c>
      <c r="E38" s="383">
        <v>11.7</v>
      </c>
      <c r="F38" s="383">
        <v>93</v>
      </c>
      <c r="G38" s="383">
        <v>7.8</v>
      </c>
      <c r="H38" s="383">
        <v>5.09</v>
      </c>
      <c r="I38" s="383">
        <v>60.99</v>
      </c>
      <c r="J38" s="383">
        <v>46</v>
      </c>
      <c r="K38" s="383">
        <v>23</v>
      </c>
      <c r="L38" s="383">
        <v>37.200000000000003</v>
      </c>
      <c r="M38" s="383">
        <v>13.5</v>
      </c>
      <c r="N38" s="384">
        <v>400</v>
      </c>
    </row>
    <row r="39" spans="1:14" s="136" customFormat="1" ht="15">
      <c r="A39" s="200"/>
      <c r="B39" s="619" t="s">
        <v>264</v>
      </c>
      <c r="C39" s="620"/>
      <c r="D39" s="383">
        <v>2.1</v>
      </c>
      <c r="E39" s="383">
        <v>2.5</v>
      </c>
      <c r="F39" s="383">
        <v>75</v>
      </c>
      <c r="G39" s="383">
        <v>5.7</v>
      </c>
      <c r="H39" s="383">
        <v>3.13</v>
      </c>
      <c r="I39" s="383">
        <v>59.81</v>
      </c>
      <c r="J39" s="383">
        <v>45</v>
      </c>
      <c r="K39" s="383">
        <v>21.5</v>
      </c>
      <c r="L39" s="383">
        <v>34.9</v>
      </c>
      <c r="M39" s="383">
        <v>8</v>
      </c>
      <c r="N39" s="384">
        <v>275</v>
      </c>
    </row>
    <row r="40" spans="1:14" s="136" customFormat="1" ht="15">
      <c r="A40" s="200"/>
      <c r="B40" s="619" t="s">
        <v>263</v>
      </c>
      <c r="C40" s="620"/>
      <c r="D40" s="383">
        <v>26.96</v>
      </c>
      <c r="E40" s="383">
        <v>28.52</v>
      </c>
      <c r="F40" s="383">
        <v>307.81</v>
      </c>
      <c r="G40" s="383">
        <v>23.22</v>
      </c>
      <c r="H40" s="383">
        <v>20.84</v>
      </c>
      <c r="I40" s="383">
        <v>102.67</v>
      </c>
      <c r="J40" s="383">
        <v>59</v>
      </c>
      <c r="K40" s="383">
        <v>75.98</v>
      </c>
      <c r="L40" s="383">
        <v>68.02</v>
      </c>
      <c r="M40" s="383">
        <v>45.6</v>
      </c>
      <c r="N40" s="384">
        <v>93.04</v>
      </c>
    </row>
    <row r="41" spans="1:14" s="136" customFormat="1" ht="15">
      <c r="A41" s="200"/>
      <c r="B41" s="141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3"/>
    </row>
    <row r="42" spans="1:14" s="136" customFormat="1" ht="15">
      <c r="A42" s="200"/>
      <c r="B42" s="14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3"/>
    </row>
    <row r="43" spans="1:14" s="136" customFormat="1" ht="15">
      <c r="A43" s="200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3"/>
    </row>
    <row r="44" spans="1:14" s="136" customFormat="1" ht="15">
      <c r="A44" s="200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3"/>
    </row>
    <row r="45" spans="1:14" s="136" customFormat="1" ht="14.25" customHeight="1">
      <c r="A45" s="200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3"/>
    </row>
    <row r="46" spans="1:14" s="136" customFormat="1" ht="14.25" customHeight="1">
      <c r="A46" s="200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3"/>
    </row>
    <row r="47" spans="1:14" s="136" customFormat="1" ht="15">
      <c r="A47" s="200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</row>
    <row r="48" spans="1:14" s="136" customFormat="1" ht="15">
      <c r="A48" s="200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3"/>
    </row>
    <row r="49" spans="1:17" s="136" customFormat="1" ht="15">
      <c r="A49" s="200"/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3"/>
    </row>
    <row r="50" spans="1:17" s="136" customFormat="1" ht="15">
      <c r="A50" s="200"/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3"/>
    </row>
    <row r="51" spans="1:17" s="136" customFormat="1" ht="15.75">
      <c r="A51" s="200"/>
      <c r="B51" s="144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</row>
    <row r="52" spans="1:17" s="136" customFormat="1" ht="15">
      <c r="A52" s="200"/>
      <c r="B52" s="141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3"/>
    </row>
    <row r="53" spans="1:17" s="136" customFormat="1" ht="15">
      <c r="A53" s="200"/>
      <c r="B53" s="141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</row>
    <row r="54" spans="1:17" s="136" customFormat="1" ht="15">
      <c r="A54" s="200"/>
      <c r="B54" s="141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3"/>
    </row>
    <row r="55" spans="1:17" s="136" customFormat="1" ht="15">
      <c r="A55" s="200"/>
      <c r="B55" s="141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3"/>
    </row>
    <row r="56" spans="1:17" s="136" customFormat="1" ht="15.75" thickBot="1">
      <c r="A56" s="200"/>
      <c r="B56" s="140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3"/>
    </row>
    <row r="57" spans="1:17" s="138" customFormat="1" ht="15.75" thickBot="1">
      <c r="A57" s="200"/>
      <c r="B57" s="140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3"/>
      <c r="O57" s="136"/>
      <c r="P57" s="136"/>
      <c r="Q57" s="136"/>
    </row>
    <row r="58" spans="1:17" s="138" customFormat="1" ht="15.75" thickBot="1">
      <c r="A58" s="200"/>
      <c r="B58" s="140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136"/>
      <c r="P58" s="136"/>
      <c r="Q58" s="136"/>
    </row>
    <row r="59" spans="1:17" s="138" customFormat="1" ht="15.75" thickBot="1">
      <c r="A59" s="200"/>
      <c r="B59" s="14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50"/>
      <c r="O59" s="136"/>
      <c r="P59" s="136"/>
      <c r="Q59" s="136"/>
    </row>
    <row r="60" spans="1:17" s="138" customFormat="1" ht="15" hidden="1" customHeight="1">
      <c r="A60" s="200"/>
      <c r="B60" s="140"/>
      <c r="C60" s="146"/>
      <c r="D60" s="146"/>
      <c r="E60" s="146"/>
      <c r="F60" s="146"/>
      <c r="G60" s="147"/>
      <c r="H60" s="200"/>
      <c r="I60" s="136"/>
      <c r="J60" s="136"/>
      <c r="K60" s="136"/>
      <c r="L60" s="136"/>
      <c r="M60" s="136"/>
      <c r="N60" s="136"/>
      <c r="O60" s="136"/>
      <c r="P60" s="136"/>
      <c r="Q60" s="136"/>
    </row>
    <row r="61" spans="1:17" s="138" customFormat="1" ht="15" hidden="1" customHeight="1">
      <c r="A61" s="200"/>
      <c r="B61" s="148"/>
      <c r="C61" s="149"/>
      <c r="D61" s="149"/>
      <c r="E61" s="149"/>
      <c r="F61" s="149"/>
      <c r="G61" s="150"/>
      <c r="H61" s="200"/>
      <c r="I61" s="136"/>
      <c r="J61" s="136"/>
      <c r="K61" s="136"/>
      <c r="L61" s="136"/>
      <c r="M61" s="136"/>
      <c r="N61" s="136"/>
      <c r="O61" s="136"/>
      <c r="P61" s="136"/>
      <c r="Q61" s="136"/>
    </row>
    <row r="62" spans="1:17" s="138" customFormat="1" ht="15" hidden="1" customHeight="1">
      <c r="A62" s="200"/>
      <c r="B62" s="154"/>
      <c r="C62" s="154"/>
      <c r="D62" s="154"/>
      <c r="E62" s="154"/>
      <c r="F62" s="154"/>
      <c r="G62" s="154"/>
      <c r="H62" s="200"/>
      <c r="I62" s="136"/>
      <c r="J62" s="136"/>
      <c r="K62" s="136"/>
      <c r="L62" s="136"/>
      <c r="M62" s="136"/>
      <c r="N62" s="136"/>
      <c r="O62" s="136"/>
      <c r="P62" s="136"/>
      <c r="Q62" s="136"/>
    </row>
    <row r="63" spans="1:17" s="138" customFormat="1" ht="15" hidden="1" customHeight="1">
      <c r="A63" s="200"/>
      <c r="B63" s="154"/>
      <c r="C63" s="154"/>
      <c r="D63" s="154"/>
      <c r="E63" s="154"/>
      <c r="F63" s="154"/>
      <c r="G63" s="154"/>
      <c r="H63" s="200"/>
      <c r="I63" s="136"/>
      <c r="J63" s="136"/>
      <c r="K63" s="136"/>
      <c r="L63" s="136"/>
      <c r="M63" s="136"/>
      <c r="N63" s="136"/>
      <c r="O63" s="136"/>
      <c r="P63" s="136"/>
      <c r="Q63" s="136"/>
    </row>
    <row r="64" spans="1:17" s="138" customFormat="1" ht="15" hidden="1" customHeight="1">
      <c r="A64" s="151" t="s">
        <v>43</v>
      </c>
      <c r="B64" s="155"/>
      <c r="C64" s="154"/>
      <c r="D64" s="154"/>
      <c r="E64" s="154"/>
      <c r="F64" s="154"/>
      <c r="G64" s="155"/>
      <c r="H64" s="199" t="s">
        <v>21</v>
      </c>
      <c r="I64" s="136"/>
      <c r="J64" s="136"/>
      <c r="K64" s="136"/>
      <c r="L64" s="136"/>
      <c r="M64" s="136"/>
      <c r="N64" s="136"/>
      <c r="O64" s="136"/>
      <c r="P64" s="136"/>
      <c r="Q64" s="136"/>
    </row>
    <row r="65" spans="1:17" s="138" customFormat="1" ht="15" hidden="1" customHeight="1">
      <c r="A65" s="200"/>
      <c r="B65" s="154"/>
      <c r="C65" s="154"/>
      <c r="D65" s="154"/>
      <c r="E65" s="154"/>
      <c r="F65" s="154"/>
      <c r="G65" s="154"/>
      <c r="H65" s="200"/>
      <c r="I65" s="136"/>
      <c r="J65" s="136"/>
      <c r="K65" s="136"/>
      <c r="L65" s="136"/>
      <c r="M65" s="136"/>
      <c r="N65" s="136"/>
      <c r="O65" s="136"/>
      <c r="P65" s="136"/>
      <c r="Q65" s="136"/>
    </row>
    <row r="66" spans="1:17" s="138" customFormat="1" ht="15" hidden="1" customHeight="1">
      <c r="A66" s="200"/>
      <c r="B66" s="154"/>
      <c r="C66" s="154"/>
      <c r="D66" s="154"/>
      <c r="E66" s="154"/>
      <c r="F66" s="154"/>
      <c r="G66" s="154"/>
      <c r="H66" s="200"/>
      <c r="I66" s="136"/>
      <c r="J66" s="136"/>
      <c r="K66" s="136"/>
      <c r="L66" s="136"/>
      <c r="M66" s="136"/>
      <c r="N66" s="136"/>
      <c r="O66" s="136"/>
      <c r="P66" s="136"/>
      <c r="Q66" s="136"/>
    </row>
    <row r="67" spans="1:17" s="138" customFormat="1" ht="15" hidden="1" customHeight="1">
      <c r="A67" s="201"/>
      <c r="B67" s="156"/>
      <c r="C67" s="156"/>
      <c r="D67" s="156"/>
      <c r="E67" s="156"/>
      <c r="F67" s="156"/>
      <c r="G67" s="156"/>
      <c r="H67" s="201"/>
      <c r="I67" s="136"/>
      <c r="J67" s="136"/>
      <c r="K67" s="136"/>
      <c r="L67" s="136"/>
      <c r="M67" s="136"/>
      <c r="N67" s="136"/>
      <c r="O67" s="136"/>
      <c r="P67" s="136"/>
      <c r="Q67" s="136"/>
    </row>
    <row r="68" spans="1:17" s="138" customFormat="1" ht="15.75" thickBot="1">
      <c r="A68" s="201"/>
      <c r="B68" s="152"/>
      <c r="C68" s="152"/>
      <c r="D68" s="152"/>
      <c r="E68" s="152"/>
      <c r="F68" s="152"/>
      <c r="G68" s="152"/>
      <c r="H68" s="201"/>
      <c r="I68" s="136"/>
      <c r="J68" s="136"/>
      <c r="K68" s="136"/>
      <c r="L68" s="136"/>
      <c r="M68" s="136"/>
      <c r="N68" s="136"/>
      <c r="O68" s="136"/>
      <c r="P68" s="136"/>
      <c r="Q68" s="136"/>
    </row>
    <row r="69" spans="1:17" s="138" customFormat="1" ht="15.75" thickBot="1">
      <c r="A69" s="198"/>
      <c r="B69" s="152"/>
      <c r="C69" s="152"/>
      <c r="D69" s="152"/>
      <c r="E69" s="152"/>
      <c r="F69" s="152"/>
      <c r="G69" s="151"/>
      <c r="H69" s="199"/>
      <c r="I69" s="136"/>
      <c r="J69" s="136"/>
      <c r="K69" s="136"/>
      <c r="L69" s="136"/>
      <c r="M69" s="136"/>
      <c r="N69" s="136"/>
      <c r="O69" s="136"/>
      <c r="P69" s="136"/>
      <c r="Q69" s="136"/>
    </row>
    <row r="70" spans="1:17" s="138" customFormat="1" ht="15.75" thickBot="1">
      <c r="A70" s="201"/>
      <c r="B70" s="152"/>
      <c r="C70" s="152"/>
      <c r="D70" s="152"/>
      <c r="E70" s="152"/>
      <c r="F70" s="152"/>
      <c r="G70" s="151"/>
      <c r="H70" s="201"/>
      <c r="I70" s="136"/>
      <c r="J70" s="136"/>
      <c r="K70" s="136"/>
      <c r="L70" s="136"/>
      <c r="M70" s="136"/>
      <c r="N70" s="136"/>
      <c r="O70" s="136"/>
      <c r="P70" s="136"/>
      <c r="Q70" s="136"/>
    </row>
    <row r="71" spans="1:17" s="138" customFormat="1" ht="15.75" thickBot="1">
      <c r="A71" s="201"/>
      <c r="B71" s="152"/>
      <c r="C71" s="152"/>
      <c r="D71" s="152"/>
      <c r="E71" s="152"/>
      <c r="F71" s="152"/>
      <c r="G71" s="152"/>
      <c r="H71" s="201"/>
      <c r="I71" s="136"/>
      <c r="J71" s="136"/>
      <c r="K71" s="136"/>
      <c r="L71" s="136"/>
      <c r="M71" s="136"/>
      <c r="N71" s="136"/>
      <c r="O71" s="136"/>
      <c r="P71" s="136"/>
      <c r="Q71" s="136"/>
    </row>
    <row r="72" spans="1:17" s="138" customFormat="1" ht="15.75" thickBot="1">
      <c r="A72" s="201"/>
      <c r="B72" s="152"/>
      <c r="C72" s="152"/>
      <c r="D72" s="152"/>
      <c r="E72" s="152"/>
      <c r="F72" s="152"/>
      <c r="G72" s="152"/>
      <c r="H72" s="201"/>
      <c r="I72" s="136"/>
      <c r="J72" s="136"/>
      <c r="K72" s="136"/>
      <c r="L72" s="136"/>
      <c r="M72" s="136"/>
      <c r="N72" s="136"/>
      <c r="O72" s="136"/>
      <c r="P72" s="136"/>
      <c r="Q72" s="136"/>
    </row>
    <row r="73" spans="1:17" s="138" customFormat="1" ht="15.75" thickBot="1">
      <c r="A73" s="201"/>
      <c r="B73" s="152"/>
      <c r="C73" s="152"/>
      <c r="D73" s="152"/>
      <c r="E73" s="152"/>
      <c r="F73" s="152"/>
      <c r="G73" s="152"/>
      <c r="H73" s="201"/>
      <c r="I73" s="136"/>
      <c r="J73" s="136"/>
      <c r="K73" s="136"/>
      <c r="L73" s="136"/>
      <c r="M73" s="136"/>
      <c r="N73" s="136"/>
      <c r="O73" s="136"/>
      <c r="P73" s="136"/>
      <c r="Q73" s="136"/>
    </row>
    <row r="74" spans="1:17" s="138" customFormat="1" ht="15.75" thickBot="1">
      <c r="A74" s="201"/>
      <c r="B74" s="152"/>
      <c r="C74" s="152"/>
      <c r="D74" s="152"/>
      <c r="E74" s="152"/>
      <c r="F74" s="152"/>
      <c r="G74" s="152"/>
      <c r="H74" s="201"/>
      <c r="I74" s="136"/>
      <c r="J74" s="136"/>
      <c r="K74" s="136"/>
      <c r="L74" s="136"/>
      <c r="M74" s="136"/>
      <c r="N74" s="136"/>
      <c r="O74" s="136"/>
      <c r="P74" s="136"/>
      <c r="Q74" s="136"/>
    </row>
    <row r="75" spans="1:17" s="138" customFormat="1" ht="15.75" thickBot="1">
      <c r="A75" s="201"/>
      <c r="B75" s="152"/>
      <c r="C75" s="152"/>
      <c r="D75" s="152"/>
      <c r="E75" s="152"/>
      <c r="F75" s="152"/>
      <c r="G75" s="152"/>
      <c r="H75" s="201"/>
      <c r="I75" s="136"/>
      <c r="J75" s="136"/>
      <c r="K75" s="136"/>
      <c r="L75" s="136"/>
      <c r="M75" s="136"/>
      <c r="N75" s="136"/>
      <c r="O75" s="136"/>
      <c r="P75" s="136"/>
      <c r="Q75" s="136"/>
    </row>
    <row r="76" spans="1:17" s="138" customFormat="1" ht="15.75" thickBot="1">
      <c r="A76" s="201"/>
      <c r="B76" s="152"/>
      <c r="C76" s="152"/>
      <c r="D76" s="152"/>
      <c r="E76" s="152"/>
      <c r="F76" s="152"/>
      <c r="G76" s="152"/>
      <c r="H76" s="201"/>
      <c r="I76" s="136"/>
      <c r="J76" s="136"/>
      <c r="K76" s="136"/>
      <c r="L76" s="136"/>
      <c r="M76" s="136"/>
      <c r="N76" s="136"/>
      <c r="O76" s="136"/>
      <c r="P76" s="136"/>
      <c r="Q76" s="136"/>
    </row>
    <row r="77" spans="1:17" s="138" customFormat="1" ht="15">
      <c r="A77" s="201"/>
      <c r="B77" s="152"/>
      <c r="C77" s="152"/>
      <c r="D77" s="152"/>
      <c r="E77" s="152"/>
      <c r="F77" s="152"/>
      <c r="G77" s="152"/>
      <c r="H77" s="201"/>
      <c r="I77" s="136"/>
      <c r="J77" s="136"/>
      <c r="K77" s="136"/>
      <c r="L77" s="136"/>
      <c r="M77" s="136"/>
      <c r="N77" s="136"/>
      <c r="O77" s="136"/>
      <c r="P77" s="136"/>
      <c r="Q77" s="136"/>
    </row>
    <row r="78" spans="1:17" customFormat="1" ht="12.75">
      <c r="A78" s="204"/>
      <c r="B78" s="157"/>
      <c r="C78" s="157"/>
      <c r="D78" s="157"/>
      <c r="E78" s="157"/>
      <c r="F78" s="157"/>
      <c r="G78" s="157"/>
      <c r="H78" s="204"/>
      <c r="I78" s="204"/>
      <c r="J78" s="204"/>
      <c r="K78" s="204"/>
      <c r="L78" s="204"/>
      <c r="M78" s="204"/>
      <c r="N78" s="204"/>
      <c r="O78" s="204"/>
      <c r="P78" s="204"/>
      <c r="Q78" s="204"/>
    </row>
    <row r="79" spans="1:17" customFormat="1" ht="12.75">
      <c r="A79" s="204"/>
      <c r="B79" s="157"/>
      <c r="C79" s="157"/>
      <c r="D79" s="157"/>
      <c r="E79" s="157"/>
      <c r="F79" s="157"/>
      <c r="G79" s="157"/>
      <c r="H79" s="204"/>
      <c r="I79" s="204"/>
      <c r="J79" s="204"/>
      <c r="K79" s="204"/>
      <c r="L79" s="204"/>
      <c r="M79" s="204"/>
      <c r="N79" s="204"/>
      <c r="O79" s="204"/>
      <c r="P79" s="204"/>
      <c r="Q79" s="204"/>
    </row>
    <row r="80" spans="1:17" customFormat="1" ht="12.75">
      <c r="A80" s="204"/>
      <c r="B80" s="157"/>
      <c r="C80" s="157"/>
      <c r="D80" s="157"/>
      <c r="E80" s="157"/>
      <c r="F80" s="157"/>
      <c r="G80" s="157"/>
      <c r="H80" s="204"/>
      <c r="I80" s="204"/>
      <c r="J80" s="204"/>
      <c r="K80" s="204"/>
      <c r="L80" s="204"/>
      <c r="M80" s="204"/>
      <c r="N80" s="204"/>
      <c r="O80" s="204"/>
      <c r="P80" s="204"/>
      <c r="Q80" s="204"/>
    </row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</sheetData>
  <mergeCells count="33">
    <mergeCell ref="B14:C14"/>
    <mergeCell ref="B23:C23"/>
    <mergeCell ref="B5:N5"/>
    <mergeCell ref="B4:N4"/>
    <mergeCell ref="B21:C21"/>
    <mergeCell ref="B22:C22"/>
    <mergeCell ref="C9:M9"/>
    <mergeCell ref="B15:C15"/>
    <mergeCell ref="B16:C16"/>
    <mergeCell ref="B17:C17"/>
    <mergeCell ref="B18:C18"/>
    <mergeCell ref="B19:C19"/>
    <mergeCell ref="B20:C20"/>
    <mergeCell ref="B6:N6"/>
    <mergeCell ref="B12:C12"/>
    <mergeCell ref="B13:C13"/>
    <mergeCell ref="B24:C24"/>
    <mergeCell ref="B25:C25"/>
    <mergeCell ref="B26:C26"/>
    <mergeCell ref="B27:C27"/>
    <mergeCell ref="B38:C38"/>
    <mergeCell ref="B28:C28"/>
    <mergeCell ref="B29:C29"/>
    <mergeCell ref="B30:C30"/>
    <mergeCell ref="B31:C31"/>
    <mergeCell ref="B32:C32"/>
    <mergeCell ref="B39:C39"/>
    <mergeCell ref="B40:C40"/>
    <mergeCell ref="B33:C33"/>
    <mergeCell ref="B34:C34"/>
    <mergeCell ref="B35:C35"/>
    <mergeCell ref="B36:C36"/>
    <mergeCell ref="B37:C37"/>
  </mergeCells>
  <hyperlinks>
    <hyperlink ref="A64" location="RJT2!A1" display="RJT2!A1" xr:uid="{00000000-0004-0000-0900-000000000000}"/>
    <hyperlink ref="H64" location="Indice!A1" display="Indice!A1" xr:uid="{00000000-0004-0000-0900-000001000000}"/>
  </hyperlinks>
  <printOptions horizontalCentered="1"/>
  <pageMargins left="0" right="0" top="0" bottom="0" header="0" footer="0"/>
  <pageSetup scale="8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>
    <tabColor indexed="23"/>
    <pageSetUpPr fitToPage="1"/>
  </sheetPr>
  <dimension ref="A1:FM96"/>
  <sheetViews>
    <sheetView workbookViewId="0"/>
  </sheetViews>
  <sheetFormatPr baseColWidth="10" defaultColWidth="11.42578125" defaultRowHeight="12.75"/>
  <cols>
    <col min="1" max="1" width="5.42578125" customWidth="1"/>
    <col min="2" max="157" width="7.28515625" style="9" customWidth="1"/>
    <col min="158" max="158" width="9.42578125" style="9" customWidth="1"/>
    <col min="159" max="159" width="9" style="9" bestFit="1" customWidth="1"/>
    <col min="160" max="160" width="11" style="9" customWidth="1"/>
    <col min="161" max="162" width="7.28515625" customWidth="1"/>
    <col min="163" max="210" width="6.140625" customWidth="1"/>
  </cols>
  <sheetData>
    <row r="1" spans="1:16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/>
      <c r="CK1" s="8"/>
      <c r="CL1" s="8"/>
      <c r="CM1" s="8"/>
      <c r="CN1" s="6"/>
      <c r="CO1" s="6"/>
    </row>
    <row r="2" spans="1:161" ht="25.5">
      <c r="A2" s="10"/>
      <c r="B2" s="11"/>
      <c r="C2" s="11"/>
      <c r="D2" s="11"/>
      <c r="E2" s="11"/>
      <c r="G2" s="11"/>
      <c r="H2" s="11"/>
      <c r="I2" s="11"/>
      <c r="J2" s="11"/>
      <c r="K2" s="11"/>
      <c r="L2" s="11"/>
      <c r="M2" s="11"/>
      <c r="N2" s="624" t="s">
        <v>6</v>
      </c>
      <c r="O2" s="624"/>
      <c r="P2" s="624"/>
      <c r="Q2" s="624"/>
      <c r="R2" s="624"/>
      <c r="S2" s="624"/>
      <c r="T2" s="624"/>
      <c r="U2" s="624"/>
      <c r="V2" s="624"/>
      <c r="W2" s="624"/>
      <c r="X2" s="624"/>
      <c r="Y2" s="624"/>
      <c r="Z2" s="624"/>
      <c r="AA2" s="624"/>
      <c r="AB2" s="624"/>
      <c r="AC2" s="624"/>
      <c r="AD2" s="624"/>
      <c r="AE2" s="624"/>
      <c r="AF2" s="624"/>
      <c r="AG2" s="624"/>
      <c r="AH2" s="624"/>
      <c r="AI2" s="624"/>
      <c r="AJ2" s="624"/>
      <c r="AK2" s="624"/>
      <c r="AL2" s="624"/>
      <c r="AM2" s="624"/>
      <c r="AN2" s="624"/>
      <c r="AO2" s="624"/>
      <c r="AP2" s="624"/>
      <c r="AQ2" s="624"/>
      <c r="AR2" s="624"/>
      <c r="AS2" s="624"/>
      <c r="AT2" s="624"/>
      <c r="AU2" s="624"/>
      <c r="AV2" s="624"/>
      <c r="AW2" s="624"/>
      <c r="AX2" s="624"/>
      <c r="AY2" s="624"/>
      <c r="AZ2" s="624"/>
      <c r="BA2" s="624"/>
      <c r="BB2" s="624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7"/>
      <c r="CK2" s="12"/>
      <c r="CL2" s="12"/>
      <c r="CM2" s="12"/>
    </row>
    <row r="3" spans="1:161" ht="15.75">
      <c r="A3" s="10"/>
      <c r="B3" s="11"/>
      <c r="C3" s="11"/>
      <c r="D3" s="11"/>
      <c r="E3" s="625"/>
      <c r="F3" s="625"/>
      <c r="G3" s="625"/>
      <c r="H3" s="11"/>
      <c r="I3" s="11"/>
      <c r="J3" s="11"/>
      <c r="K3" s="11"/>
      <c r="L3" s="11"/>
      <c r="M3" s="11"/>
      <c r="N3" s="13"/>
      <c r="O3" s="13"/>
      <c r="P3" s="13"/>
      <c r="Q3" s="13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7"/>
      <c r="CK3" s="15"/>
      <c r="CL3" s="15"/>
      <c r="CM3" s="15"/>
      <c r="CN3" s="11"/>
      <c r="CO3" s="11"/>
      <c r="DS3" s="625"/>
      <c r="DT3" s="625"/>
      <c r="DU3" s="625"/>
      <c r="DV3" s="625"/>
      <c r="DW3" s="625"/>
      <c r="DX3" s="245"/>
      <c r="DY3" s="245"/>
      <c r="DZ3" s="245"/>
      <c r="EA3" s="245"/>
    </row>
    <row r="4" spans="1:16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359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7"/>
      <c r="CK4" s="16"/>
      <c r="CL4" s="16"/>
      <c r="CM4" s="16"/>
      <c r="CN4" s="11"/>
      <c r="CO4" s="11"/>
    </row>
    <row r="5" spans="1:161">
      <c r="A5" s="17"/>
      <c r="B5" s="11"/>
      <c r="C5" s="11"/>
      <c r="D5" s="11"/>
      <c r="E5" s="11"/>
      <c r="F5" s="11" t="s">
        <v>319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</row>
    <row r="6" spans="1:161" ht="36.75" customHeight="1">
      <c r="A6" s="10"/>
      <c r="B6" s="211" t="s">
        <v>116</v>
      </c>
      <c r="C6" s="211" t="s">
        <v>117</v>
      </c>
      <c r="D6" s="211" t="s">
        <v>118</v>
      </c>
      <c r="E6" s="211" t="s">
        <v>119</v>
      </c>
      <c r="F6" s="211" t="s">
        <v>120</v>
      </c>
      <c r="G6" s="211" t="s">
        <v>121</v>
      </c>
      <c r="H6" s="211" t="s">
        <v>122</v>
      </c>
      <c r="I6" s="211" t="s">
        <v>123</v>
      </c>
      <c r="J6" s="211" t="s">
        <v>124</v>
      </c>
      <c r="K6" s="211" t="s">
        <v>125</v>
      </c>
      <c r="L6" s="211" t="s">
        <v>126</v>
      </c>
      <c r="M6" s="211" t="s">
        <v>127</v>
      </c>
      <c r="N6" s="211" t="s">
        <v>128</v>
      </c>
      <c r="O6" s="211" t="s">
        <v>129</v>
      </c>
      <c r="P6" s="211" t="s">
        <v>130</v>
      </c>
      <c r="Q6" s="211" t="s">
        <v>131</v>
      </c>
      <c r="R6" s="211" t="s">
        <v>132</v>
      </c>
      <c r="S6" s="211" t="s">
        <v>133</v>
      </c>
      <c r="T6" s="211" t="s">
        <v>134</v>
      </c>
      <c r="U6" s="211" t="s">
        <v>259</v>
      </c>
      <c r="V6" s="211" t="s">
        <v>135</v>
      </c>
      <c r="W6" s="211" t="s">
        <v>136</v>
      </c>
      <c r="X6" s="211" t="s">
        <v>137</v>
      </c>
      <c r="Y6" s="211" t="s">
        <v>138</v>
      </c>
      <c r="Z6" s="211" t="s">
        <v>139</v>
      </c>
      <c r="AA6" s="211" t="s">
        <v>140</v>
      </c>
      <c r="AB6" s="211" t="s">
        <v>141</v>
      </c>
      <c r="AC6" s="211" t="s">
        <v>142</v>
      </c>
      <c r="AD6" s="211" t="s">
        <v>143</v>
      </c>
      <c r="AE6" s="211" t="s">
        <v>144</v>
      </c>
      <c r="AF6" s="211" t="s">
        <v>145</v>
      </c>
      <c r="AG6" s="211" t="s">
        <v>146</v>
      </c>
      <c r="AH6" s="211" t="s">
        <v>147</v>
      </c>
      <c r="AI6" s="211" t="s">
        <v>148</v>
      </c>
      <c r="AJ6" s="211" t="s">
        <v>149</v>
      </c>
      <c r="AK6" s="211" t="s">
        <v>150</v>
      </c>
      <c r="AL6" s="211" t="s">
        <v>151</v>
      </c>
      <c r="AM6" s="211" t="s">
        <v>152</v>
      </c>
      <c r="AN6" s="211" t="s">
        <v>153</v>
      </c>
      <c r="AO6" s="211" t="s">
        <v>261</v>
      </c>
      <c r="AP6" s="211" t="s">
        <v>154</v>
      </c>
      <c r="AQ6" s="211" t="s">
        <v>155</v>
      </c>
      <c r="AR6" s="211" t="s">
        <v>156</v>
      </c>
      <c r="AS6" s="211" t="s">
        <v>157</v>
      </c>
      <c r="AT6" s="211" t="s">
        <v>257</v>
      </c>
      <c r="AU6" s="211" t="s">
        <v>158</v>
      </c>
      <c r="AV6" s="211" t="s">
        <v>159</v>
      </c>
      <c r="AW6" s="211" t="s">
        <v>160</v>
      </c>
      <c r="AX6" s="211" t="s">
        <v>161</v>
      </c>
      <c r="AY6" s="211" t="s">
        <v>162</v>
      </c>
      <c r="AZ6" s="211" t="s">
        <v>163</v>
      </c>
      <c r="BA6" s="211" t="s">
        <v>164</v>
      </c>
      <c r="BB6" s="211" t="s">
        <v>165</v>
      </c>
      <c r="BC6" s="211" t="s">
        <v>166</v>
      </c>
      <c r="BD6" s="211" t="s">
        <v>167</v>
      </c>
      <c r="BE6" s="211" t="s">
        <v>255</v>
      </c>
      <c r="BF6" s="211" t="s">
        <v>258</v>
      </c>
      <c r="BG6" s="211" t="s">
        <v>260</v>
      </c>
      <c r="BH6" s="211" t="s">
        <v>168</v>
      </c>
      <c r="BI6" s="211" t="s">
        <v>169</v>
      </c>
      <c r="BJ6" s="211" t="s">
        <v>170</v>
      </c>
      <c r="BK6" s="211" t="s">
        <v>171</v>
      </c>
      <c r="BL6" s="211" t="s">
        <v>172</v>
      </c>
      <c r="BM6" s="211" t="s">
        <v>173</v>
      </c>
      <c r="BN6" s="445" t="s">
        <v>308</v>
      </c>
      <c r="BO6" s="445" t="s">
        <v>310</v>
      </c>
      <c r="BP6" s="445" t="s">
        <v>311</v>
      </c>
      <c r="BQ6" s="445" t="s">
        <v>312</v>
      </c>
      <c r="BR6" s="445" t="s">
        <v>314</v>
      </c>
      <c r="BS6" s="445" t="s">
        <v>315</v>
      </c>
      <c r="BT6" s="445" t="s">
        <v>316</v>
      </c>
      <c r="BU6" s="211" t="s">
        <v>174</v>
      </c>
      <c r="BV6" s="211" t="s">
        <v>175</v>
      </c>
      <c r="BW6" s="211" t="s">
        <v>256</v>
      </c>
      <c r="BX6" s="211" t="s">
        <v>317</v>
      </c>
      <c r="BY6" s="211" t="s">
        <v>176</v>
      </c>
      <c r="BZ6" s="211" t="s">
        <v>177</v>
      </c>
      <c r="CA6" s="211" t="s">
        <v>178</v>
      </c>
      <c r="CB6" s="211" t="s">
        <v>179</v>
      </c>
      <c r="CC6" s="211" t="s">
        <v>180</v>
      </c>
      <c r="CD6" s="211" t="s">
        <v>181</v>
      </c>
      <c r="CE6" s="211" t="s">
        <v>182</v>
      </c>
      <c r="CF6" s="211" t="s">
        <v>183</v>
      </c>
      <c r="CG6" s="211" t="s">
        <v>184</v>
      </c>
      <c r="CH6" s="211" t="s">
        <v>185</v>
      </c>
      <c r="CI6" s="211" t="s">
        <v>186</v>
      </c>
      <c r="CJ6" s="211" t="s">
        <v>187</v>
      </c>
      <c r="CK6" s="211" t="s">
        <v>188</v>
      </c>
      <c r="CL6" s="211" t="s">
        <v>189</v>
      </c>
      <c r="CM6" s="211" t="s">
        <v>190</v>
      </c>
      <c r="CN6" s="211" t="s">
        <v>191</v>
      </c>
      <c r="CO6" s="211" t="s">
        <v>192</v>
      </c>
      <c r="CP6" s="211" t="s">
        <v>193</v>
      </c>
      <c r="CQ6" s="211" t="s">
        <v>194</v>
      </c>
      <c r="CR6" s="211" t="s">
        <v>195</v>
      </c>
      <c r="CS6" s="211" t="s">
        <v>196</v>
      </c>
      <c r="CT6" s="211" t="s">
        <v>197</v>
      </c>
      <c r="CU6" s="211" t="s">
        <v>198</v>
      </c>
      <c r="CV6" s="211" t="s">
        <v>199</v>
      </c>
      <c r="CW6" s="211" t="s">
        <v>200</v>
      </c>
      <c r="CX6" s="211" t="s">
        <v>201</v>
      </c>
      <c r="CY6" s="211" t="s">
        <v>202</v>
      </c>
      <c r="CZ6" s="211" t="s">
        <v>203</v>
      </c>
      <c r="DA6" s="212" t="s">
        <v>204</v>
      </c>
      <c r="DB6" s="212" t="s">
        <v>205</v>
      </c>
      <c r="DC6" s="212" t="s">
        <v>206</v>
      </c>
      <c r="DD6" s="213" t="s">
        <v>207</v>
      </c>
      <c r="DE6" s="213" t="s">
        <v>208</v>
      </c>
      <c r="DF6" s="213" t="s">
        <v>209</v>
      </c>
      <c r="DG6" s="214" t="s">
        <v>210</v>
      </c>
      <c r="DH6" s="213" t="s">
        <v>211</v>
      </c>
      <c r="DI6" s="214" t="s">
        <v>212</v>
      </c>
      <c r="DJ6" s="214" t="s">
        <v>213</v>
      </c>
      <c r="DK6" s="213" t="s">
        <v>214</v>
      </c>
      <c r="DL6" s="214" t="s">
        <v>215</v>
      </c>
      <c r="DM6" s="214" t="s">
        <v>216</v>
      </c>
      <c r="DN6" s="214" t="s">
        <v>217</v>
      </c>
      <c r="DO6" s="214" t="s">
        <v>218</v>
      </c>
      <c r="DP6" s="214" t="s">
        <v>219</v>
      </c>
      <c r="DQ6" s="214" t="s">
        <v>220</v>
      </c>
      <c r="DR6" s="214" t="s">
        <v>221</v>
      </c>
      <c r="DS6" s="214" t="s">
        <v>222</v>
      </c>
      <c r="DT6" s="214" t="s">
        <v>223</v>
      </c>
      <c r="DU6" s="214" t="s">
        <v>224</v>
      </c>
      <c r="DV6" s="214" t="s">
        <v>262</v>
      </c>
      <c r="DW6" s="214" t="s">
        <v>225</v>
      </c>
      <c r="DX6" s="214" t="s">
        <v>226</v>
      </c>
      <c r="DY6" s="214" t="s">
        <v>227</v>
      </c>
      <c r="DZ6" s="214" t="s">
        <v>228</v>
      </c>
      <c r="EA6" s="214" t="s">
        <v>229</v>
      </c>
      <c r="EB6" s="214" t="s">
        <v>230</v>
      </c>
      <c r="EC6" s="214" t="s">
        <v>231</v>
      </c>
      <c r="ED6" s="214" t="s">
        <v>232</v>
      </c>
      <c r="EE6" s="214" t="s">
        <v>233</v>
      </c>
      <c r="EF6" s="214" t="s">
        <v>234</v>
      </c>
      <c r="EG6" s="214" t="s">
        <v>235</v>
      </c>
      <c r="EH6" s="214" t="s">
        <v>236</v>
      </c>
      <c r="EI6" s="214" t="s">
        <v>237</v>
      </c>
      <c r="EJ6" s="214" t="s">
        <v>238</v>
      </c>
      <c r="EK6" s="214" t="s">
        <v>239</v>
      </c>
      <c r="EL6" s="214" t="s">
        <v>240</v>
      </c>
      <c r="EM6" s="214" t="s">
        <v>241</v>
      </c>
      <c r="EN6" s="214" t="s">
        <v>242</v>
      </c>
      <c r="EO6" s="214" t="s">
        <v>243</v>
      </c>
      <c r="EP6" s="214" t="s">
        <v>244</v>
      </c>
      <c r="EQ6" s="214" t="s">
        <v>304</v>
      </c>
      <c r="ER6" s="214" t="s">
        <v>307</v>
      </c>
      <c r="ES6" s="446" t="s">
        <v>309</v>
      </c>
      <c r="ET6" s="446" t="s">
        <v>313</v>
      </c>
      <c r="EU6" s="214" t="s">
        <v>245</v>
      </c>
      <c r="EV6" s="214" t="s">
        <v>246</v>
      </c>
      <c r="EW6" s="214" t="s">
        <v>247</v>
      </c>
      <c r="EX6" s="214" t="s">
        <v>248</v>
      </c>
      <c r="EY6" s="214" t="s">
        <v>249</v>
      </c>
      <c r="EZ6" s="214" t="s">
        <v>250</v>
      </c>
      <c r="FA6" s="331" t="s">
        <v>251</v>
      </c>
      <c r="FB6" s="331" t="s">
        <v>252</v>
      </c>
      <c r="FC6" s="331" t="s">
        <v>253</v>
      </c>
      <c r="FD6" s="331" t="s">
        <v>254</v>
      </c>
    </row>
    <row r="7" spans="1:161">
      <c r="A7" s="10"/>
      <c r="B7" s="211">
        <v>6392.5050000000001</v>
      </c>
      <c r="C7" s="211">
        <v>660.63499999999999</v>
      </c>
      <c r="D7" s="211">
        <v>677.78250000000003</v>
      </c>
      <c r="E7" s="211">
        <v>0</v>
      </c>
      <c r="F7" s="211">
        <v>96.217500000000001</v>
      </c>
      <c r="G7" s="211">
        <v>0</v>
      </c>
      <c r="H7" s="211">
        <v>29.545000000000002</v>
      </c>
      <c r="I7" s="211">
        <v>165.1875</v>
      </c>
      <c r="J7" s="211">
        <v>381.1</v>
      </c>
      <c r="K7" s="211">
        <v>0</v>
      </c>
      <c r="L7" s="211">
        <v>259.60250000000002</v>
      </c>
      <c r="M7" s="211">
        <v>76.567499999999995</v>
      </c>
      <c r="N7" s="211">
        <v>88.057500000000005</v>
      </c>
      <c r="O7" s="211">
        <v>196.51499999999999</v>
      </c>
      <c r="P7" s="211">
        <v>462.78250000000003</v>
      </c>
      <c r="Q7" s="211">
        <v>128.11250000000001</v>
      </c>
      <c r="R7" s="211">
        <v>1453.1575</v>
      </c>
      <c r="S7" s="211">
        <v>2475.9250000000002</v>
      </c>
      <c r="T7" s="211">
        <v>1588.8975</v>
      </c>
      <c r="U7" s="211">
        <v>997.39750000000004</v>
      </c>
      <c r="V7" s="211">
        <v>71.967500000000001</v>
      </c>
      <c r="W7" s="211">
        <v>104.99250000000001</v>
      </c>
      <c r="X7" s="211">
        <v>306.30250000000001</v>
      </c>
      <c r="Y7" s="211">
        <v>269.5575</v>
      </c>
      <c r="Z7" s="211">
        <v>2034.8724999999999</v>
      </c>
      <c r="AA7" s="211">
        <v>1285.0550000000001</v>
      </c>
      <c r="AB7" s="211">
        <v>76.237499999999997</v>
      </c>
      <c r="AC7" s="211">
        <v>349.85</v>
      </c>
      <c r="AD7" s="211">
        <v>183.9325</v>
      </c>
      <c r="AE7" s="211">
        <v>1850.8575000000001</v>
      </c>
      <c r="AF7" s="211">
        <v>47.032499999999999</v>
      </c>
      <c r="AG7" s="211">
        <v>46.642499999999998</v>
      </c>
      <c r="AH7" s="211">
        <v>48.652500000000003</v>
      </c>
      <c r="AI7" s="211">
        <v>0</v>
      </c>
      <c r="AJ7" s="211">
        <v>48.615000000000002</v>
      </c>
      <c r="AK7" s="211">
        <v>27.395</v>
      </c>
      <c r="AL7" s="211">
        <v>9.1199999999999992</v>
      </c>
      <c r="AM7" s="211">
        <v>165.98</v>
      </c>
      <c r="AN7" s="211">
        <v>1.29</v>
      </c>
      <c r="AO7" s="211">
        <v>42.897500000000001</v>
      </c>
      <c r="AP7" s="211">
        <v>14.432499999999999</v>
      </c>
      <c r="AQ7" s="211">
        <v>81.855000000000004</v>
      </c>
      <c r="AR7" s="211">
        <v>0</v>
      </c>
      <c r="AS7" s="211">
        <v>595.12</v>
      </c>
      <c r="AT7" s="211">
        <v>1218.99</v>
      </c>
      <c r="AU7" s="211">
        <v>21.627500000000001</v>
      </c>
      <c r="AV7" s="211">
        <v>121.39749999999999</v>
      </c>
      <c r="AW7" s="211">
        <v>104.88500000000001</v>
      </c>
      <c r="AX7" s="211">
        <v>199.45</v>
      </c>
      <c r="AY7" s="211">
        <v>0</v>
      </c>
      <c r="AZ7" s="211">
        <v>62.55</v>
      </c>
      <c r="BA7" s="211">
        <v>18.954999999999998</v>
      </c>
      <c r="BB7" s="211">
        <v>59.295000000000002</v>
      </c>
      <c r="BC7" s="211">
        <v>73.42</v>
      </c>
      <c r="BD7" s="211">
        <v>52.542499999999997</v>
      </c>
      <c r="BE7" s="211">
        <v>21.44</v>
      </c>
      <c r="BF7" s="211">
        <v>10.029999999999999</v>
      </c>
      <c r="BG7" s="211">
        <v>38.977499999999999</v>
      </c>
      <c r="BH7" s="211">
        <v>357.21749999999997</v>
      </c>
      <c r="BI7" s="211">
        <v>347.875</v>
      </c>
      <c r="BJ7" s="211">
        <v>0</v>
      </c>
      <c r="BK7" s="211">
        <v>0</v>
      </c>
      <c r="BL7" s="211">
        <v>210.995</v>
      </c>
      <c r="BM7" s="211">
        <v>137.245</v>
      </c>
      <c r="BN7" s="211">
        <v>254.54</v>
      </c>
      <c r="BO7" s="211">
        <v>257.91750000000002</v>
      </c>
      <c r="BP7" s="211">
        <v>295.0625</v>
      </c>
      <c r="BQ7" s="211">
        <v>40.902500000000003</v>
      </c>
      <c r="BR7" s="211">
        <v>173.61750000000001</v>
      </c>
      <c r="BS7" s="211">
        <v>262.98</v>
      </c>
      <c r="BT7" s="211">
        <v>397.90499999999997</v>
      </c>
      <c r="BU7" s="211">
        <v>573.24749999999995</v>
      </c>
      <c r="BV7" s="211">
        <v>273.57499999999999</v>
      </c>
      <c r="BW7" s="211">
        <v>469.9975</v>
      </c>
      <c r="BX7" s="211">
        <v>261.60750000000002</v>
      </c>
      <c r="BY7" s="211">
        <v>0</v>
      </c>
      <c r="BZ7" s="211">
        <v>0</v>
      </c>
      <c r="CA7" s="211">
        <v>0</v>
      </c>
      <c r="CB7" s="211">
        <v>0</v>
      </c>
      <c r="CC7" s="211">
        <v>0</v>
      </c>
      <c r="CD7" s="211">
        <v>0</v>
      </c>
      <c r="CE7" s="211">
        <v>0</v>
      </c>
      <c r="CF7" s="211">
        <v>11.625</v>
      </c>
      <c r="CG7" s="211">
        <v>0</v>
      </c>
      <c r="CH7" s="211">
        <v>1102.57</v>
      </c>
      <c r="CI7" s="211">
        <v>0</v>
      </c>
      <c r="CJ7" s="211">
        <v>0</v>
      </c>
      <c r="CK7" s="211">
        <v>0</v>
      </c>
      <c r="CL7" s="211">
        <v>0</v>
      </c>
      <c r="CM7" s="211">
        <v>0</v>
      </c>
      <c r="CN7" s="338">
        <v>0</v>
      </c>
      <c r="CO7" s="338">
        <v>0</v>
      </c>
      <c r="CP7" s="338">
        <v>0</v>
      </c>
      <c r="CQ7" s="338">
        <v>0</v>
      </c>
      <c r="CR7" s="338">
        <v>0</v>
      </c>
      <c r="CS7" s="338">
        <v>0</v>
      </c>
      <c r="CT7" s="338">
        <v>0</v>
      </c>
      <c r="CU7" s="338">
        <v>0</v>
      </c>
      <c r="CV7" s="338">
        <v>0</v>
      </c>
      <c r="CW7" s="338">
        <v>745.55</v>
      </c>
      <c r="CX7" s="338">
        <v>0</v>
      </c>
      <c r="CY7" s="211">
        <v>0</v>
      </c>
      <c r="CZ7" s="211">
        <v>0</v>
      </c>
      <c r="DA7" s="211">
        <v>0</v>
      </c>
      <c r="DB7" s="211">
        <v>0</v>
      </c>
      <c r="DC7" s="211">
        <v>0</v>
      </c>
      <c r="DD7" s="213">
        <v>0</v>
      </c>
      <c r="DE7" s="211">
        <v>716.86249999999995</v>
      </c>
      <c r="DF7" s="211">
        <v>2670.625</v>
      </c>
      <c r="DG7" s="336">
        <v>321.52</v>
      </c>
      <c r="DH7" s="336">
        <v>1581.8625</v>
      </c>
      <c r="DI7" s="336">
        <v>0</v>
      </c>
      <c r="DJ7" s="336">
        <v>774.67</v>
      </c>
      <c r="DK7" s="336">
        <v>3033.5574999999999</v>
      </c>
      <c r="DL7" s="336">
        <v>0</v>
      </c>
      <c r="DM7" s="336">
        <v>0</v>
      </c>
      <c r="DN7" s="336">
        <v>0</v>
      </c>
      <c r="DO7" s="336">
        <v>0</v>
      </c>
      <c r="DP7" s="336">
        <v>0</v>
      </c>
      <c r="DQ7" s="336">
        <v>0</v>
      </c>
      <c r="DR7" s="336">
        <v>0</v>
      </c>
      <c r="DS7" s="336">
        <v>0</v>
      </c>
      <c r="DT7" s="336">
        <v>0</v>
      </c>
      <c r="DU7" s="336">
        <v>0</v>
      </c>
      <c r="DV7" s="336">
        <v>0</v>
      </c>
      <c r="DW7" s="336">
        <v>125.69750000000001</v>
      </c>
      <c r="DX7" s="336">
        <v>141.6925</v>
      </c>
      <c r="DY7" s="336">
        <v>139.92250000000001</v>
      </c>
      <c r="DZ7" s="336">
        <v>0</v>
      </c>
      <c r="EA7" s="336">
        <v>28.6875</v>
      </c>
      <c r="EB7" s="336">
        <v>90.75</v>
      </c>
      <c r="EC7" s="336">
        <v>59.697499999999998</v>
      </c>
      <c r="ED7" s="336">
        <v>93.924999999999997</v>
      </c>
      <c r="EE7" s="336">
        <v>14.78</v>
      </c>
      <c r="EF7" s="336">
        <v>0</v>
      </c>
      <c r="EG7" s="336">
        <v>0</v>
      </c>
      <c r="EH7" s="336">
        <v>1084.9324999999999</v>
      </c>
      <c r="EI7" s="336">
        <v>68.284999999999997</v>
      </c>
      <c r="EJ7" s="336">
        <v>108.39</v>
      </c>
      <c r="EK7" s="336">
        <v>0</v>
      </c>
      <c r="EL7" s="336">
        <v>0</v>
      </c>
      <c r="EM7" s="336">
        <v>0</v>
      </c>
      <c r="EN7" s="336">
        <v>20.94</v>
      </c>
      <c r="EO7" s="336">
        <v>7.4074999999999998</v>
      </c>
      <c r="EP7" s="336">
        <v>0</v>
      </c>
      <c r="EQ7" s="336">
        <v>0</v>
      </c>
      <c r="ER7" s="336">
        <v>202.80250000000001</v>
      </c>
      <c r="ES7" s="336">
        <v>197.45</v>
      </c>
      <c r="ET7" s="336">
        <v>217.61750000000001</v>
      </c>
      <c r="EU7" s="336">
        <v>0</v>
      </c>
      <c r="EV7" s="336">
        <v>0</v>
      </c>
      <c r="EW7" s="336">
        <v>0</v>
      </c>
      <c r="EX7" s="336">
        <v>0</v>
      </c>
      <c r="EY7" s="336">
        <v>0</v>
      </c>
      <c r="EZ7" s="336">
        <v>297.51749999999998</v>
      </c>
      <c r="FA7" s="336">
        <v>2688.13</v>
      </c>
      <c r="FB7" s="336">
        <v>-3660.1</v>
      </c>
      <c r="FC7" s="336">
        <v>43969.907500000001</v>
      </c>
      <c r="FD7" s="336">
        <v>44941.88</v>
      </c>
    </row>
    <row r="8" spans="1:161" s="20" customFormat="1" ht="19.5" customHeight="1">
      <c r="A8" s="19">
        <v>1</v>
      </c>
      <c r="B8" s="18">
        <v>267.83999999999997</v>
      </c>
      <c r="C8" s="18">
        <v>0</v>
      </c>
      <c r="D8" s="18">
        <v>27.52</v>
      </c>
      <c r="E8" s="18">
        <v>0</v>
      </c>
      <c r="F8" s="18">
        <v>4.01</v>
      </c>
      <c r="G8" s="18">
        <v>0</v>
      </c>
      <c r="H8" s="18">
        <v>0</v>
      </c>
      <c r="I8" s="18">
        <v>5.0999999999999996</v>
      </c>
      <c r="J8" s="18">
        <v>15.86</v>
      </c>
      <c r="K8" s="18">
        <v>0</v>
      </c>
      <c r="L8" s="18">
        <v>11.63</v>
      </c>
      <c r="M8" s="18">
        <v>3.22</v>
      </c>
      <c r="N8" s="18">
        <v>1.45</v>
      </c>
      <c r="O8" s="18">
        <v>2.61</v>
      </c>
      <c r="P8" s="18">
        <v>18.54</v>
      </c>
      <c r="Q8" s="18">
        <v>6.61</v>
      </c>
      <c r="R8" s="18">
        <v>63.79</v>
      </c>
      <c r="S8" s="18">
        <v>103.44</v>
      </c>
      <c r="T8" s="18">
        <v>66.39</v>
      </c>
      <c r="U8" s="18">
        <v>49.01</v>
      </c>
      <c r="V8" s="18">
        <v>3.17</v>
      </c>
      <c r="W8" s="18">
        <v>4.37</v>
      </c>
      <c r="X8" s="18">
        <v>14.71</v>
      </c>
      <c r="Y8" s="18">
        <v>12.65</v>
      </c>
      <c r="Z8" s="18">
        <v>73.97</v>
      </c>
      <c r="AA8" s="18">
        <v>54.4</v>
      </c>
      <c r="AB8" s="18">
        <v>2.11</v>
      </c>
      <c r="AC8" s="18">
        <v>16.03</v>
      </c>
      <c r="AD8" s="18">
        <v>9.31</v>
      </c>
      <c r="AE8" s="18">
        <v>75.33</v>
      </c>
      <c r="AF8" s="18">
        <v>2.52</v>
      </c>
      <c r="AG8" s="18">
        <v>2</v>
      </c>
      <c r="AH8" s="18">
        <v>2.02</v>
      </c>
      <c r="AI8" s="18">
        <v>0</v>
      </c>
      <c r="AJ8" s="18">
        <v>2.04</v>
      </c>
      <c r="AK8" s="18">
        <v>1.69</v>
      </c>
      <c r="AL8" s="18">
        <v>0</v>
      </c>
      <c r="AM8" s="18">
        <v>3.36</v>
      </c>
      <c r="AN8" s="18">
        <v>0</v>
      </c>
      <c r="AO8" s="18">
        <v>0</v>
      </c>
      <c r="AP8" s="18">
        <v>0.62</v>
      </c>
      <c r="AQ8" s="18">
        <v>0</v>
      </c>
      <c r="AR8" s="18">
        <v>0</v>
      </c>
      <c r="AS8" s="18">
        <v>24.84</v>
      </c>
      <c r="AT8" s="18">
        <v>56.04</v>
      </c>
      <c r="AU8" s="18">
        <v>0.84</v>
      </c>
      <c r="AV8" s="18">
        <v>0</v>
      </c>
      <c r="AW8" s="18">
        <v>8.59</v>
      </c>
      <c r="AX8" s="18">
        <v>8.3000000000000007</v>
      </c>
      <c r="AY8" s="18">
        <v>0</v>
      </c>
      <c r="AZ8" s="18">
        <v>2.64</v>
      </c>
      <c r="BA8" s="18">
        <v>0</v>
      </c>
      <c r="BB8" s="18">
        <v>2.4700000000000002</v>
      </c>
      <c r="BC8" s="18">
        <v>2.5</v>
      </c>
      <c r="BD8" s="18">
        <v>2.2000000000000002</v>
      </c>
      <c r="BE8" s="18">
        <v>0.77</v>
      </c>
      <c r="BF8" s="18">
        <v>0</v>
      </c>
      <c r="BG8" s="18">
        <v>0</v>
      </c>
      <c r="BH8" s="18">
        <v>14.83</v>
      </c>
      <c r="BI8" s="18">
        <v>14.8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36.67</v>
      </c>
      <c r="BV8" s="18">
        <v>17.399999999999999</v>
      </c>
      <c r="BW8" s="18">
        <v>22.91</v>
      </c>
      <c r="BX8" s="18">
        <v>17.25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646">
        <v>30.22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646">
        <v>22.01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646">
        <v>30.45</v>
      </c>
      <c r="DF8" s="646">
        <v>102.4</v>
      </c>
      <c r="DG8" s="646">
        <v>10.34</v>
      </c>
      <c r="DH8" s="646">
        <v>58.28</v>
      </c>
      <c r="DI8" s="337">
        <v>0</v>
      </c>
      <c r="DJ8" s="648">
        <v>16.73</v>
      </c>
      <c r="DK8" s="649">
        <v>101.86</v>
      </c>
      <c r="DL8" s="337">
        <v>0</v>
      </c>
      <c r="DM8" s="337">
        <v>0</v>
      </c>
      <c r="DN8" s="337">
        <v>0</v>
      </c>
      <c r="DO8" s="337">
        <v>0</v>
      </c>
      <c r="DP8" s="337">
        <v>0</v>
      </c>
      <c r="DQ8" s="337">
        <v>0</v>
      </c>
      <c r="DR8" s="337">
        <v>0</v>
      </c>
      <c r="DS8" s="337">
        <v>0</v>
      </c>
      <c r="DT8" s="337">
        <v>0</v>
      </c>
      <c r="DU8" s="337">
        <v>0</v>
      </c>
      <c r="DV8" s="337">
        <v>0</v>
      </c>
      <c r="DW8" s="337">
        <v>0</v>
      </c>
      <c r="DX8" s="337">
        <v>0</v>
      </c>
      <c r="DY8" s="337">
        <v>0</v>
      </c>
      <c r="DZ8" s="337">
        <v>0</v>
      </c>
      <c r="EA8" s="337">
        <v>0</v>
      </c>
      <c r="EB8" s="337">
        <v>0</v>
      </c>
      <c r="EC8" s="337">
        <v>0</v>
      </c>
      <c r="ED8" s="337">
        <v>0</v>
      </c>
      <c r="EE8" s="337">
        <v>0</v>
      </c>
      <c r="EF8" s="337">
        <v>0</v>
      </c>
      <c r="EG8" s="337">
        <v>0</v>
      </c>
      <c r="EH8" s="648">
        <v>6.66</v>
      </c>
      <c r="EI8" s="337">
        <v>0</v>
      </c>
      <c r="EJ8" s="337">
        <v>0</v>
      </c>
      <c r="EK8" s="337">
        <v>0</v>
      </c>
      <c r="EL8" s="337">
        <v>0</v>
      </c>
      <c r="EM8" s="337">
        <v>0</v>
      </c>
      <c r="EN8" s="337">
        <v>0</v>
      </c>
      <c r="EO8" s="337">
        <v>0.3</v>
      </c>
      <c r="EP8" s="337">
        <v>0</v>
      </c>
      <c r="EQ8" s="337">
        <v>0</v>
      </c>
      <c r="ER8" s="337">
        <v>0</v>
      </c>
      <c r="ES8" s="337">
        <v>8.69</v>
      </c>
      <c r="ET8" s="337">
        <v>6.36</v>
      </c>
      <c r="EU8" s="337">
        <v>0</v>
      </c>
      <c r="EV8" s="337">
        <v>0</v>
      </c>
      <c r="EW8" s="337">
        <v>0</v>
      </c>
      <c r="EX8" s="337">
        <v>0</v>
      </c>
      <c r="EY8" s="337">
        <v>0</v>
      </c>
      <c r="EZ8" s="337">
        <v>0</v>
      </c>
      <c r="FA8" s="337">
        <v>149.11000000000001</v>
      </c>
      <c r="FB8" s="337">
        <v>-123.2</v>
      </c>
      <c r="FC8" s="337">
        <v>1554.67</v>
      </c>
      <c r="FD8" s="337">
        <v>1528.76</v>
      </c>
      <c r="FE8" s="19">
        <v>1</v>
      </c>
    </row>
    <row r="9" spans="1:161" s="20" customFormat="1" ht="19.5" customHeight="1">
      <c r="A9" s="19">
        <v>2</v>
      </c>
      <c r="B9" s="18">
        <v>261.2</v>
      </c>
      <c r="C9" s="18">
        <v>0</v>
      </c>
      <c r="D9" s="18">
        <v>27.1</v>
      </c>
      <c r="E9" s="18">
        <v>0</v>
      </c>
      <c r="F9" s="18">
        <v>4.01</v>
      </c>
      <c r="G9" s="18">
        <v>0</v>
      </c>
      <c r="H9" s="18">
        <v>0</v>
      </c>
      <c r="I9" s="18">
        <v>5.08</v>
      </c>
      <c r="J9" s="18">
        <v>15.9</v>
      </c>
      <c r="K9" s="18">
        <v>0</v>
      </c>
      <c r="L9" s="18">
        <v>11.55</v>
      </c>
      <c r="M9" s="18">
        <v>3.19</v>
      </c>
      <c r="N9" s="18">
        <v>1.31</v>
      </c>
      <c r="O9" s="18">
        <v>2.62</v>
      </c>
      <c r="P9" s="18">
        <v>17.149999999999999</v>
      </c>
      <c r="Q9" s="18">
        <v>3.19</v>
      </c>
      <c r="R9" s="18">
        <v>63.79</v>
      </c>
      <c r="S9" s="18">
        <v>103.4</v>
      </c>
      <c r="T9" s="18">
        <v>66.23</v>
      </c>
      <c r="U9" s="18">
        <v>44.48</v>
      </c>
      <c r="V9" s="18">
        <v>3.18</v>
      </c>
      <c r="W9" s="18">
        <v>4.37</v>
      </c>
      <c r="X9" s="18">
        <v>14.6</v>
      </c>
      <c r="Y9" s="18">
        <v>11.67</v>
      </c>
      <c r="Z9" s="18">
        <v>68.38</v>
      </c>
      <c r="AA9" s="18">
        <v>54.11</v>
      </c>
      <c r="AB9" s="18">
        <v>2.14</v>
      </c>
      <c r="AC9" s="18">
        <v>15.65</v>
      </c>
      <c r="AD9" s="18">
        <v>9.16</v>
      </c>
      <c r="AE9" s="18">
        <v>74.31</v>
      </c>
      <c r="AF9" s="18">
        <v>2.52</v>
      </c>
      <c r="AG9" s="18">
        <v>1.82</v>
      </c>
      <c r="AH9" s="18">
        <v>2.0299999999999998</v>
      </c>
      <c r="AI9" s="18">
        <v>0</v>
      </c>
      <c r="AJ9" s="18">
        <v>2.0499999999999998</v>
      </c>
      <c r="AK9" s="18">
        <v>1.69</v>
      </c>
      <c r="AL9" s="18">
        <v>0</v>
      </c>
      <c r="AM9" s="18">
        <v>3.36</v>
      </c>
      <c r="AN9" s="18">
        <v>0</v>
      </c>
      <c r="AO9" s="18">
        <v>0</v>
      </c>
      <c r="AP9" s="18">
        <v>0.61</v>
      </c>
      <c r="AQ9" s="18">
        <v>0</v>
      </c>
      <c r="AR9" s="18">
        <v>0</v>
      </c>
      <c r="AS9" s="18">
        <v>24.77</v>
      </c>
      <c r="AT9" s="18">
        <v>51.09</v>
      </c>
      <c r="AU9" s="18">
        <v>0.83</v>
      </c>
      <c r="AV9" s="18">
        <v>0</v>
      </c>
      <c r="AW9" s="18">
        <v>0</v>
      </c>
      <c r="AX9" s="18">
        <v>8.3000000000000007</v>
      </c>
      <c r="AY9" s="18">
        <v>0</v>
      </c>
      <c r="AZ9" s="18">
        <v>2.66</v>
      </c>
      <c r="BA9" s="18">
        <v>0</v>
      </c>
      <c r="BB9" s="18">
        <v>2.4</v>
      </c>
      <c r="BC9" s="18">
        <v>2.52</v>
      </c>
      <c r="BD9" s="18">
        <v>2.2000000000000002</v>
      </c>
      <c r="BE9" s="18">
        <v>0.77</v>
      </c>
      <c r="BF9" s="18">
        <v>0</v>
      </c>
      <c r="BG9" s="18">
        <v>1.76</v>
      </c>
      <c r="BH9" s="18">
        <v>15.18</v>
      </c>
      <c r="BI9" s="18">
        <v>14.8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41.04</v>
      </c>
      <c r="BV9" s="18">
        <v>21.1</v>
      </c>
      <c r="BW9" s="18">
        <v>20.5</v>
      </c>
      <c r="BX9" s="18">
        <v>15.31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646">
        <v>30.33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646">
        <v>22.01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646">
        <v>30.36</v>
      </c>
      <c r="DF9" s="646">
        <v>89</v>
      </c>
      <c r="DG9" s="646">
        <v>10.18</v>
      </c>
      <c r="DH9" s="646">
        <v>57.8</v>
      </c>
      <c r="DI9" s="337">
        <v>0</v>
      </c>
      <c r="DJ9" s="648">
        <v>18.739999999999998</v>
      </c>
      <c r="DK9" s="649">
        <v>102.04</v>
      </c>
      <c r="DL9" s="337">
        <v>0</v>
      </c>
      <c r="DM9" s="337">
        <v>0</v>
      </c>
      <c r="DN9" s="337">
        <v>0</v>
      </c>
      <c r="DO9" s="337">
        <v>0</v>
      </c>
      <c r="DP9" s="337">
        <v>0</v>
      </c>
      <c r="DQ9" s="337">
        <v>0</v>
      </c>
      <c r="DR9" s="337">
        <v>0</v>
      </c>
      <c r="DS9" s="337">
        <v>0</v>
      </c>
      <c r="DT9" s="337">
        <v>0</v>
      </c>
      <c r="DU9" s="337">
        <v>0</v>
      </c>
      <c r="DV9" s="337">
        <v>0</v>
      </c>
      <c r="DW9" s="337">
        <v>0</v>
      </c>
      <c r="DX9" s="337">
        <v>0</v>
      </c>
      <c r="DY9" s="337">
        <v>0</v>
      </c>
      <c r="DZ9" s="337">
        <v>0</v>
      </c>
      <c r="EA9" s="337">
        <v>0</v>
      </c>
      <c r="EB9" s="337">
        <v>0</v>
      </c>
      <c r="EC9" s="337">
        <v>0</v>
      </c>
      <c r="ED9" s="337">
        <v>0</v>
      </c>
      <c r="EE9" s="337">
        <v>0</v>
      </c>
      <c r="EF9" s="337">
        <v>0</v>
      </c>
      <c r="EG9" s="337">
        <v>0</v>
      </c>
      <c r="EH9" s="648">
        <v>11.38</v>
      </c>
      <c r="EI9" s="337">
        <v>0</v>
      </c>
      <c r="EJ9" s="337">
        <v>0</v>
      </c>
      <c r="EK9" s="337">
        <v>0</v>
      </c>
      <c r="EL9" s="337">
        <v>0</v>
      </c>
      <c r="EM9" s="337">
        <v>0</v>
      </c>
      <c r="EN9" s="337">
        <v>0</v>
      </c>
      <c r="EO9" s="337">
        <v>0.3</v>
      </c>
      <c r="EP9" s="337">
        <v>0</v>
      </c>
      <c r="EQ9" s="337">
        <v>0</v>
      </c>
      <c r="ER9" s="337">
        <v>0</v>
      </c>
      <c r="ES9" s="337">
        <v>8.67</v>
      </c>
      <c r="ET9" s="337">
        <v>6.4</v>
      </c>
      <c r="EU9" s="337">
        <v>0</v>
      </c>
      <c r="EV9" s="337">
        <v>0</v>
      </c>
      <c r="EW9" s="337">
        <v>0</v>
      </c>
      <c r="EX9" s="337">
        <v>0</v>
      </c>
      <c r="EY9" s="337">
        <v>0</v>
      </c>
      <c r="EZ9" s="337">
        <v>0</v>
      </c>
      <c r="FA9" s="337">
        <v>168.63</v>
      </c>
      <c r="FB9" s="337">
        <v>-141.19999999999999</v>
      </c>
      <c r="FC9" s="337">
        <v>1514.29</v>
      </c>
      <c r="FD9" s="337">
        <v>1486.86</v>
      </c>
      <c r="FE9" s="19">
        <v>2</v>
      </c>
    </row>
    <row r="10" spans="1:161" s="20" customFormat="1" ht="19.5" customHeight="1">
      <c r="A10" s="19">
        <v>3</v>
      </c>
      <c r="B10" s="18">
        <v>268.52</v>
      </c>
      <c r="C10" s="18">
        <v>0</v>
      </c>
      <c r="D10" s="18">
        <v>26.88</v>
      </c>
      <c r="E10" s="18">
        <v>0</v>
      </c>
      <c r="F10" s="18">
        <v>4.0199999999999996</v>
      </c>
      <c r="G10" s="18">
        <v>0</v>
      </c>
      <c r="H10" s="18">
        <v>0</v>
      </c>
      <c r="I10" s="18">
        <v>5.1100000000000003</v>
      </c>
      <c r="J10" s="18">
        <v>15.72</v>
      </c>
      <c r="K10" s="18">
        <v>0</v>
      </c>
      <c r="L10" s="18">
        <v>11.56</v>
      </c>
      <c r="M10" s="18">
        <v>3.17</v>
      </c>
      <c r="N10" s="18">
        <v>1.22</v>
      </c>
      <c r="O10" s="18">
        <v>6.67</v>
      </c>
      <c r="P10" s="18">
        <v>16.489999999999998</v>
      </c>
      <c r="Q10" s="18">
        <v>3.2</v>
      </c>
      <c r="R10" s="18">
        <v>63.66</v>
      </c>
      <c r="S10" s="18">
        <v>103.2</v>
      </c>
      <c r="T10" s="18">
        <v>66.14</v>
      </c>
      <c r="U10" s="18">
        <v>45.76</v>
      </c>
      <c r="V10" s="18">
        <v>3.18</v>
      </c>
      <c r="W10" s="18">
        <v>4.3600000000000003</v>
      </c>
      <c r="X10" s="18">
        <v>7.85</v>
      </c>
      <c r="Y10" s="18">
        <v>6.77</v>
      </c>
      <c r="Z10" s="18">
        <v>68.84</v>
      </c>
      <c r="AA10" s="18">
        <v>52.49</v>
      </c>
      <c r="AB10" s="18">
        <v>2.16</v>
      </c>
      <c r="AC10" s="18">
        <v>14.32</v>
      </c>
      <c r="AD10" s="18">
        <v>9.23</v>
      </c>
      <c r="AE10" s="18">
        <v>71.2</v>
      </c>
      <c r="AF10" s="18">
        <v>2.52</v>
      </c>
      <c r="AG10" s="18">
        <v>2</v>
      </c>
      <c r="AH10" s="18">
        <v>2.0299999999999998</v>
      </c>
      <c r="AI10" s="18">
        <v>0</v>
      </c>
      <c r="AJ10" s="18">
        <v>2.04</v>
      </c>
      <c r="AK10" s="18">
        <v>1.69</v>
      </c>
      <c r="AL10" s="18">
        <v>0</v>
      </c>
      <c r="AM10" s="18">
        <v>2.94</v>
      </c>
      <c r="AN10" s="18">
        <v>0</v>
      </c>
      <c r="AO10" s="18">
        <v>0</v>
      </c>
      <c r="AP10" s="18">
        <v>0.6</v>
      </c>
      <c r="AQ10" s="18">
        <v>0</v>
      </c>
      <c r="AR10" s="18">
        <v>0</v>
      </c>
      <c r="AS10" s="18">
        <v>24.79</v>
      </c>
      <c r="AT10" s="18">
        <v>52.14</v>
      </c>
      <c r="AU10" s="18">
        <v>0.82</v>
      </c>
      <c r="AV10" s="18">
        <v>0</v>
      </c>
      <c r="AW10" s="18">
        <v>0</v>
      </c>
      <c r="AX10" s="18">
        <v>8.3000000000000007</v>
      </c>
      <c r="AY10" s="18">
        <v>0</v>
      </c>
      <c r="AZ10" s="18">
        <v>2.75</v>
      </c>
      <c r="BA10" s="18">
        <v>0</v>
      </c>
      <c r="BB10" s="18">
        <v>1.28</v>
      </c>
      <c r="BC10" s="18">
        <v>2.52</v>
      </c>
      <c r="BD10" s="18">
        <v>2.2000000000000002</v>
      </c>
      <c r="BE10" s="18">
        <v>0.77</v>
      </c>
      <c r="BF10" s="18">
        <v>0</v>
      </c>
      <c r="BG10" s="18">
        <v>1.76</v>
      </c>
      <c r="BH10" s="18">
        <v>14.6</v>
      </c>
      <c r="BI10" s="18">
        <v>15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0.56000000000000005</v>
      </c>
      <c r="BV10" s="18">
        <v>8.9</v>
      </c>
      <c r="BW10" s="18">
        <v>16.23</v>
      </c>
      <c r="BX10" s="18">
        <v>14.29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646">
        <v>30.25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646">
        <v>22.01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646">
        <v>30.74</v>
      </c>
      <c r="DF10" s="646">
        <v>74.5</v>
      </c>
      <c r="DG10" s="646">
        <v>10.119999999999999</v>
      </c>
      <c r="DH10" s="646">
        <v>56.92</v>
      </c>
      <c r="DI10" s="337">
        <v>0</v>
      </c>
      <c r="DJ10" s="648">
        <v>18.98</v>
      </c>
      <c r="DK10" s="649">
        <v>102.35</v>
      </c>
      <c r="DL10" s="337">
        <v>0</v>
      </c>
      <c r="DM10" s="337">
        <v>0</v>
      </c>
      <c r="DN10" s="337">
        <v>0</v>
      </c>
      <c r="DO10" s="337">
        <v>0</v>
      </c>
      <c r="DP10" s="337">
        <v>0</v>
      </c>
      <c r="DQ10" s="337">
        <v>0</v>
      </c>
      <c r="DR10" s="337">
        <v>0</v>
      </c>
      <c r="DS10" s="337">
        <v>0</v>
      </c>
      <c r="DT10" s="337">
        <v>0</v>
      </c>
      <c r="DU10" s="337">
        <v>0</v>
      </c>
      <c r="DV10" s="337">
        <v>0</v>
      </c>
      <c r="DW10" s="337">
        <v>0</v>
      </c>
      <c r="DX10" s="337">
        <v>0</v>
      </c>
      <c r="DY10" s="337">
        <v>0</v>
      </c>
      <c r="DZ10" s="337">
        <v>0</v>
      </c>
      <c r="EA10" s="337">
        <v>0</v>
      </c>
      <c r="EB10" s="337">
        <v>0</v>
      </c>
      <c r="EC10" s="337">
        <v>0</v>
      </c>
      <c r="ED10" s="337">
        <v>0</v>
      </c>
      <c r="EE10" s="337">
        <v>0</v>
      </c>
      <c r="EF10" s="337">
        <v>0</v>
      </c>
      <c r="EG10" s="337">
        <v>0</v>
      </c>
      <c r="EH10" s="648">
        <v>3.64</v>
      </c>
      <c r="EI10" s="337">
        <v>0</v>
      </c>
      <c r="EJ10" s="337">
        <v>0</v>
      </c>
      <c r="EK10" s="337">
        <v>0</v>
      </c>
      <c r="EL10" s="337">
        <v>0</v>
      </c>
      <c r="EM10" s="337">
        <v>0</v>
      </c>
      <c r="EN10" s="337">
        <v>0</v>
      </c>
      <c r="EO10" s="337">
        <v>0.3</v>
      </c>
      <c r="EP10" s="337">
        <v>0</v>
      </c>
      <c r="EQ10" s="337">
        <v>0</v>
      </c>
      <c r="ER10" s="337">
        <v>0</v>
      </c>
      <c r="ES10" s="337">
        <v>8.69</v>
      </c>
      <c r="ET10" s="337">
        <v>6.23</v>
      </c>
      <c r="EU10" s="337">
        <v>0</v>
      </c>
      <c r="EV10" s="337">
        <v>0</v>
      </c>
      <c r="EW10" s="337">
        <v>0</v>
      </c>
      <c r="EX10" s="337">
        <v>0</v>
      </c>
      <c r="EY10" s="337">
        <v>0</v>
      </c>
      <c r="EZ10" s="337">
        <v>0</v>
      </c>
      <c r="FA10" s="337">
        <v>190.97</v>
      </c>
      <c r="FB10" s="337">
        <v>-184.2</v>
      </c>
      <c r="FC10" s="337">
        <v>1427.18</v>
      </c>
      <c r="FD10" s="337">
        <v>1420.41</v>
      </c>
      <c r="FE10" s="19">
        <v>3</v>
      </c>
    </row>
    <row r="11" spans="1:161" s="20" customFormat="1" ht="19.5" customHeight="1">
      <c r="A11" s="19">
        <v>4</v>
      </c>
      <c r="B11" s="18">
        <v>266.85000000000002</v>
      </c>
      <c r="C11" s="18">
        <v>0</v>
      </c>
      <c r="D11" s="18">
        <v>26.87</v>
      </c>
      <c r="E11" s="18">
        <v>0</v>
      </c>
      <c r="F11" s="18">
        <v>4</v>
      </c>
      <c r="G11" s="18">
        <v>0</v>
      </c>
      <c r="H11" s="18">
        <v>0</v>
      </c>
      <c r="I11" s="18">
        <v>5.08</v>
      </c>
      <c r="J11" s="18">
        <v>15.8</v>
      </c>
      <c r="K11" s="18">
        <v>0</v>
      </c>
      <c r="L11" s="18">
        <v>11.56</v>
      </c>
      <c r="M11" s="18">
        <v>3.21</v>
      </c>
      <c r="N11" s="18">
        <v>1.19</v>
      </c>
      <c r="O11" s="18">
        <v>6.85</v>
      </c>
      <c r="P11" s="18">
        <v>16.420000000000002</v>
      </c>
      <c r="Q11" s="18">
        <v>7.3</v>
      </c>
      <c r="R11" s="18">
        <v>63.62</v>
      </c>
      <c r="S11" s="18">
        <v>102.6</v>
      </c>
      <c r="T11" s="18">
        <v>66.78</v>
      </c>
      <c r="U11" s="18">
        <v>44.66</v>
      </c>
      <c r="V11" s="18">
        <v>3.18</v>
      </c>
      <c r="W11" s="18">
        <v>4.4000000000000004</v>
      </c>
      <c r="X11" s="18">
        <v>22.61</v>
      </c>
      <c r="Y11" s="18">
        <v>11.87</v>
      </c>
      <c r="Z11" s="18">
        <v>73.47</v>
      </c>
      <c r="AA11" s="18">
        <v>47.99</v>
      </c>
      <c r="AB11" s="18">
        <v>2.19</v>
      </c>
      <c r="AC11" s="18">
        <v>14.22</v>
      </c>
      <c r="AD11" s="18">
        <v>9.2200000000000006</v>
      </c>
      <c r="AE11" s="18">
        <v>73.930000000000007</v>
      </c>
      <c r="AF11" s="18">
        <v>2.52</v>
      </c>
      <c r="AG11" s="18">
        <v>2</v>
      </c>
      <c r="AH11" s="18">
        <v>2.02</v>
      </c>
      <c r="AI11" s="18">
        <v>0</v>
      </c>
      <c r="AJ11" s="18">
        <v>2.04</v>
      </c>
      <c r="AK11" s="18">
        <v>0.53</v>
      </c>
      <c r="AL11" s="18">
        <v>0</v>
      </c>
      <c r="AM11" s="18">
        <v>2.77</v>
      </c>
      <c r="AN11" s="18">
        <v>0</v>
      </c>
      <c r="AO11" s="18">
        <v>0</v>
      </c>
      <c r="AP11" s="18">
        <v>0.61</v>
      </c>
      <c r="AQ11" s="18">
        <v>0</v>
      </c>
      <c r="AR11" s="18">
        <v>0</v>
      </c>
      <c r="AS11" s="18">
        <v>24.83</v>
      </c>
      <c r="AT11" s="18">
        <v>51.71</v>
      </c>
      <c r="AU11" s="18">
        <v>0.78</v>
      </c>
      <c r="AV11" s="18">
        <v>0</v>
      </c>
      <c r="AW11" s="18">
        <v>0</v>
      </c>
      <c r="AX11" s="18">
        <v>8.3000000000000007</v>
      </c>
      <c r="AY11" s="18">
        <v>0</v>
      </c>
      <c r="AZ11" s="18">
        <v>2.73</v>
      </c>
      <c r="BA11" s="18">
        <v>0</v>
      </c>
      <c r="BB11" s="18">
        <v>2.44</v>
      </c>
      <c r="BC11" s="18">
        <v>2.5299999999999998</v>
      </c>
      <c r="BD11" s="18">
        <v>2.2000000000000002</v>
      </c>
      <c r="BE11" s="18">
        <v>0.77</v>
      </c>
      <c r="BF11" s="18">
        <v>0</v>
      </c>
      <c r="BG11" s="18">
        <v>1.76</v>
      </c>
      <c r="BH11" s="18">
        <v>15.4</v>
      </c>
      <c r="BI11" s="18">
        <v>14.4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3.48</v>
      </c>
      <c r="BV11" s="18">
        <v>3.1</v>
      </c>
      <c r="BW11" s="18">
        <v>11.78</v>
      </c>
      <c r="BX11" s="18">
        <v>8.6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646">
        <v>30.16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646">
        <v>22.01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646">
        <v>30.65</v>
      </c>
      <c r="DF11" s="646">
        <v>60.5</v>
      </c>
      <c r="DG11" s="646">
        <v>10.01</v>
      </c>
      <c r="DH11" s="646">
        <v>57.86</v>
      </c>
      <c r="DI11" s="337">
        <v>0</v>
      </c>
      <c r="DJ11" s="648">
        <v>18.850000000000001</v>
      </c>
      <c r="DK11" s="649">
        <v>103.77</v>
      </c>
      <c r="DL11" s="337">
        <v>0</v>
      </c>
      <c r="DM11" s="337">
        <v>0</v>
      </c>
      <c r="DN11" s="337">
        <v>0</v>
      </c>
      <c r="DO11" s="337">
        <v>0</v>
      </c>
      <c r="DP11" s="337">
        <v>0</v>
      </c>
      <c r="DQ11" s="337">
        <v>0</v>
      </c>
      <c r="DR11" s="337">
        <v>0</v>
      </c>
      <c r="DS11" s="337">
        <v>0</v>
      </c>
      <c r="DT11" s="337">
        <v>0</v>
      </c>
      <c r="DU11" s="337">
        <v>0</v>
      </c>
      <c r="DV11" s="337">
        <v>0</v>
      </c>
      <c r="DW11" s="337">
        <v>0</v>
      </c>
      <c r="DX11" s="337">
        <v>0</v>
      </c>
      <c r="DY11" s="337">
        <v>0</v>
      </c>
      <c r="DZ11" s="337">
        <v>0</v>
      </c>
      <c r="EA11" s="337">
        <v>0</v>
      </c>
      <c r="EB11" s="337">
        <v>0</v>
      </c>
      <c r="EC11" s="337">
        <v>0</v>
      </c>
      <c r="ED11" s="337">
        <v>0</v>
      </c>
      <c r="EE11" s="337">
        <v>0</v>
      </c>
      <c r="EF11" s="337">
        <v>0</v>
      </c>
      <c r="EG11" s="337">
        <v>0</v>
      </c>
      <c r="EH11" s="648">
        <v>12.57</v>
      </c>
      <c r="EI11" s="337">
        <v>0</v>
      </c>
      <c r="EJ11" s="337">
        <v>0</v>
      </c>
      <c r="EK11" s="337">
        <v>0</v>
      </c>
      <c r="EL11" s="337">
        <v>0</v>
      </c>
      <c r="EM11" s="337">
        <v>0</v>
      </c>
      <c r="EN11" s="337">
        <v>0</v>
      </c>
      <c r="EO11" s="337">
        <v>0.3</v>
      </c>
      <c r="EP11" s="337">
        <v>0</v>
      </c>
      <c r="EQ11" s="337">
        <v>0</v>
      </c>
      <c r="ER11" s="337">
        <v>0</v>
      </c>
      <c r="ES11" s="337">
        <v>8.69</v>
      </c>
      <c r="ET11" s="337">
        <v>6.37</v>
      </c>
      <c r="EU11" s="337">
        <v>0</v>
      </c>
      <c r="EV11" s="337">
        <v>0</v>
      </c>
      <c r="EW11" s="337">
        <v>0</v>
      </c>
      <c r="EX11" s="337">
        <v>0</v>
      </c>
      <c r="EY11" s="337">
        <v>0</v>
      </c>
      <c r="EZ11" s="337">
        <v>0</v>
      </c>
      <c r="FA11" s="337">
        <v>152.16999999999999</v>
      </c>
      <c r="FB11" s="337">
        <v>-185.6</v>
      </c>
      <c r="FC11" s="337">
        <v>1434.91</v>
      </c>
      <c r="FD11" s="337">
        <v>1468.34</v>
      </c>
      <c r="FE11" s="19">
        <v>4</v>
      </c>
    </row>
    <row r="12" spans="1:161" s="20" customFormat="1" ht="19.5" customHeight="1">
      <c r="A12" s="19">
        <v>5</v>
      </c>
      <c r="B12" s="18">
        <v>260.87</v>
      </c>
      <c r="C12" s="18">
        <v>0</v>
      </c>
      <c r="D12" s="18">
        <v>26.75</v>
      </c>
      <c r="E12" s="18">
        <v>0</v>
      </c>
      <c r="F12" s="18">
        <v>4.0199999999999996</v>
      </c>
      <c r="G12" s="18">
        <v>0</v>
      </c>
      <c r="H12" s="18">
        <v>0</v>
      </c>
      <c r="I12" s="18">
        <v>5.07</v>
      </c>
      <c r="J12" s="18">
        <v>15.86</v>
      </c>
      <c r="K12" s="18">
        <v>0</v>
      </c>
      <c r="L12" s="18">
        <v>11.56</v>
      </c>
      <c r="M12" s="18">
        <v>3.18</v>
      </c>
      <c r="N12" s="18">
        <v>1.22</v>
      </c>
      <c r="O12" s="18">
        <v>6.84</v>
      </c>
      <c r="P12" s="18">
        <v>18.59</v>
      </c>
      <c r="Q12" s="18">
        <v>3.88</v>
      </c>
      <c r="R12" s="18">
        <v>63.69</v>
      </c>
      <c r="S12" s="18">
        <v>102.95</v>
      </c>
      <c r="T12" s="18">
        <v>66.16</v>
      </c>
      <c r="U12" s="18">
        <v>42.64</v>
      </c>
      <c r="V12" s="18">
        <v>3.18</v>
      </c>
      <c r="W12" s="18">
        <v>4.41</v>
      </c>
      <c r="X12" s="18">
        <v>12.7</v>
      </c>
      <c r="Y12" s="18">
        <v>11.73</v>
      </c>
      <c r="Z12" s="18">
        <v>78.010000000000005</v>
      </c>
      <c r="AA12" s="18">
        <v>45.98</v>
      </c>
      <c r="AB12" s="18">
        <v>2.19</v>
      </c>
      <c r="AC12" s="18">
        <v>13.93</v>
      </c>
      <c r="AD12" s="18">
        <v>9.2899999999999991</v>
      </c>
      <c r="AE12" s="18">
        <v>75.680000000000007</v>
      </c>
      <c r="AF12" s="18">
        <v>2.52</v>
      </c>
      <c r="AG12" s="18">
        <v>2</v>
      </c>
      <c r="AH12" s="18">
        <v>2.02</v>
      </c>
      <c r="AI12" s="18">
        <v>0</v>
      </c>
      <c r="AJ12" s="18">
        <v>2.04</v>
      </c>
      <c r="AK12" s="18">
        <v>1</v>
      </c>
      <c r="AL12" s="18">
        <v>0</v>
      </c>
      <c r="AM12" s="18">
        <v>2.52</v>
      </c>
      <c r="AN12" s="18">
        <v>0</v>
      </c>
      <c r="AO12" s="18">
        <v>0</v>
      </c>
      <c r="AP12" s="18">
        <v>0.62</v>
      </c>
      <c r="AQ12" s="18">
        <v>0</v>
      </c>
      <c r="AR12" s="18">
        <v>0</v>
      </c>
      <c r="AS12" s="18">
        <v>24.74</v>
      </c>
      <c r="AT12" s="18">
        <v>48.42</v>
      </c>
      <c r="AU12" s="18">
        <v>0.79</v>
      </c>
      <c r="AV12" s="18">
        <v>4.5199999999999996</v>
      </c>
      <c r="AW12" s="18">
        <v>0</v>
      </c>
      <c r="AX12" s="18">
        <v>8.3000000000000007</v>
      </c>
      <c r="AY12" s="18">
        <v>0</v>
      </c>
      <c r="AZ12" s="18">
        <v>2.71</v>
      </c>
      <c r="BA12" s="18">
        <v>0</v>
      </c>
      <c r="BB12" s="18">
        <v>2.44</v>
      </c>
      <c r="BC12" s="18">
        <v>2.54</v>
      </c>
      <c r="BD12" s="18">
        <v>2.2000000000000002</v>
      </c>
      <c r="BE12" s="18">
        <v>0.77</v>
      </c>
      <c r="BF12" s="18">
        <v>0</v>
      </c>
      <c r="BG12" s="18">
        <v>1.75</v>
      </c>
      <c r="BH12" s="18">
        <v>15.47</v>
      </c>
      <c r="BI12" s="18">
        <v>14.6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13.31</v>
      </c>
      <c r="BV12" s="18">
        <v>10.8</v>
      </c>
      <c r="BW12" s="18">
        <v>12.08</v>
      </c>
      <c r="BX12" s="18">
        <v>6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646">
        <v>30.12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646">
        <v>23.01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646">
        <v>30.39</v>
      </c>
      <c r="DF12" s="646">
        <v>62</v>
      </c>
      <c r="DG12" s="646">
        <v>10.19</v>
      </c>
      <c r="DH12" s="646">
        <v>58.2</v>
      </c>
      <c r="DI12" s="337">
        <v>0</v>
      </c>
      <c r="DJ12" s="648">
        <v>18.12</v>
      </c>
      <c r="DK12" s="649">
        <v>124.69</v>
      </c>
      <c r="DL12" s="337">
        <v>0</v>
      </c>
      <c r="DM12" s="337">
        <v>0</v>
      </c>
      <c r="DN12" s="337">
        <v>0</v>
      </c>
      <c r="DO12" s="337">
        <v>0</v>
      </c>
      <c r="DP12" s="337">
        <v>0</v>
      </c>
      <c r="DQ12" s="337">
        <v>0</v>
      </c>
      <c r="DR12" s="337">
        <v>0</v>
      </c>
      <c r="DS12" s="337">
        <v>0</v>
      </c>
      <c r="DT12" s="337">
        <v>0</v>
      </c>
      <c r="DU12" s="337">
        <v>0</v>
      </c>
      <c r="DV12" s="337">
        <v>0</v>
      </c>
      <c r="DW12" s="648">
        <v>4.0199999999999996</v>
      </c>
      <c r="DX12" s="648">
        <v>4.09</v>
      </c>
      <c r="DY12" s="648">
        <v>4.0199999999999996</v>
      </c>
      <c r="DZ12" s="337">
        <v>0</v>
      </c>
      <c r="EA12" s="337">
        <v>0</v>
      </c>
      <c r="EB12" s="337">
        <v>0</v>
      </c>
      <c r="EC12" s="337">
        <v>0</v>
      </c>
      <c r="ED12" s="337">
        <v>0</v>
      </c>
      <c r="EE12" s="337">
        <v>0</v>
      </c>
      <c r="EF12" s="337">
        <v>0</v>
      </c>
      <c r="EG12" s="337">
        <v>0</v>
      </c>
      <c r="EH12" s="648">
        <v>14.51</v>
      </c>
      <c r="EI12" s="337">
        <v>0</v>
      </c>
      <c r="EJ12" s="337">
        <v>0</v>
      </c>
      <c r="EK12" s="337">
        <v>0</v>
      </c>
      <c r="EL12" s="337">
        <v>0</v>
      </c>
      <c r="EM12" s="337">
        <v>0</v>
      </c>
      <c r="EN12" s="337">
        <v>0</v>
      </c>
      <c r="EO12" s="337">
        <v>0.3</v>
      </c>
      <c r="EP12" s="337">
        <v>0</v>
      </c>
      <c r="EQ12" s="337">
        <v>0</v>
      </c>
      <c r="ER12" s="337">
        <v>0</v>
      </c>
      <c r="ES12" s="337">
        <v>8.4600000000000009</v>
      </c>
      <c r="ET12" s="337">
        <v>6.29</v>
      </c>
      <c r="EU12" s="337">
        <v>0</v>
      </c>
      <c r="EV12" s="337">
        <v>0</v>
      </c>
      <c r="EW12" s="337">
        <v>0</v>
      </c>
      <c r="EX12" s="337">
        <v>0</v>
      </c>
      <c r="EY12" s="337">
        <v>0</v>
      </c>
      <c r="EZ12" s="337">
        <v>0</v>
      </c>
      <c r="FA12" s="337">
        <v>181.46</v>
      </c>
      <c r="FB12" s="337">
        <v>-231.4</v>
      </c>
      <c r="FC12" s="337">
        <v>1472.95</v>
      </c>
      <c r="FD12" s="337">
        <v>1522.89</v>
      </c>
      <c r="FE12" s="19">
        <v>5</v>
      </c>
    </row>
    <row r="13" spans="1:161" s="20" customFormat="1" ht="19.5" customHeight="1">
      <c r="A13" s="21">
        <v>6</v>
      </c>
      <c r="B13" s="18">
        <v>271.18</v>
      </c>
      <c r="C13" s="18">
        <v>28.74</v>
      </c>
      <c r="D13" s="18">
        <v>36.770000000000003</v>
      </c>
      <c r="E13" s="18">
        <v>0</v>
      </c>
      <c r="F13" s="18">
        <v>4.01</v>
      </c>
      <c r="G13" s="18">
        <v>0</v>
      </c>
      <c r="H13" s="18">
        <v>0</v>
      </c>
      <c r="I13" s="18">
        <v>5.08</v>
      </c>
      <c r="J13" s="18">
        <v>15.99</v>
      </c>
      <c r="K13" s="18">
        <v>0</v>
      </c>
      <c r="L13" s="18">
        <v>11.55</v>
      </c>
      <c r="M13" s="18">
        <v>3.21</v>
      </c>
      <c r="N13" s="18">
        <v>1.19</v>
      </c>
      <c r="O13" s="18">
        <v>19.63</v>
      </c>
      <c r="P13" s="18">
        <v>23.64</v>
      </c>
      <c r="Q13" s="18">
        <v>9.35</v>
      </c>
      <c r="R13" s="18">
        <v>63.86</v>
      </c>
      <c r="S13" s="18">
        <v>103.05</v>
      </c>
      <c r="T13" s="18">
        <v>66.55</v>
      </c>
      <c r="U13" s="18">
        <v>48.95</v>
      </c>
      <c r="V13" s="18">
        <v>3.17</v>
      </c>
      <c r="W13" s="18">
        <v>4.3899999999999997</v>
      </c>
      <c r="X13" s="18">
        <v>14.58</v>
      </c>
      <c r="Y13" s="18">
        <v>11.79</v>
      </c>
      <c r="Z13" s="18">
        <v>93.03</v>
      </c>
      <c r="AA13" s="18">
        <v>56.92</v>
      </c>
      <c r="AB13" s="18">
        <v>2.39</v>
      </c>
      <c r="AC13" s="18">
        <v>16.13</v>
      </c>
      <c r="AD13" s="18">
        <v>8.86</v>
      </c>
      <c r="AE13" s="18">
        <v>84.54</v>
      </c>
      <c r="AF13" s="18">
        <v>2.5099999999999998</v>
      </c>
      <c r="AG13" s="18">
        <v>1.85</v>
      </c>
      <c r="AH13" s="18">
        <v>1.97</v>
      </c>
      <c r="AI13" s="18">
        <v>0</v>
      </c>
      <c r="AJ13" s="18">
        <v>2.0499999999999998</v>
      </c>
      <c r="AK13" s="18">
        <v>1.05</v>
      </c>
      <c r="AL13" s="18">
        <v>0</v>
      </c>
      <c r="AM13" s="18">
        <v>16.38</v>
      </c>
      <c r="AN13" s="18">
        <v>0</v>
      </c>
      <c r="AO13" s="18">
        <v>0</v>
      </c>
      <c r="AP13" s="18">
        <v>0.64</v>
      </c>
      <c r="AQ13" s="18">
        <v>0</v>
      </c>
      <c r="AR13" s="18">
        <v>0</v>
      </c>
      <c r="AS13" s="18">
        <v>24.73</v>
      </c>
      <c r="AT13" s="18">
        <v>55.32</v>
      </c>
      <c r="AU13" s="18">
        <v>0.71</v>
      </c>
      <c r="AV13" s="18">
        <v>5.55</v>
      </c>
      <c r="AW13" s="18">
        <v>6.65</v>
      </c>
      <c r="AX13" s="18">
        <v>8.3000000000000007</v>
      </c>
      <c r="AY13" s="18">
        <v>0</v>
      </c>
      <c r="AZ13" s="18">
        <v>2.57</v>
      </c>
      <c r="BA13" s="18">
        <v>0</v>
      </c>
      <c r="BB13" s="18">
        <v>2.46</v>
      </c>
      <c r="BC13" s="18">
        <v>2.54</v>
      </c>
      <c r="BD13" s="18">
        <v>2.2000000000000002</v>
      </c>
      <c r="BE13" s="18">
        <v>0.77</v>
      </c>
      <c r="BF13" s="18">
        <v>0</v>
      </c>
      <c r="BG13" s="18">
        <v>1.76</v>
      </c>
      <c r="BH13" s="18">
        <v>15.66</v>
      </c>
      <c r="BI13" s="18">
        <v>14.7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0.35</v>
      </c>
      <c r="BS13" s="18">
        <v>0</v>
      </c>
      <c r="BT13" s="18">
        <v>0</v>
      </c>
      <c r="BU13" s="18">
        <v>21.38</v>
      </c>
      <c r="BV13" s="18">
        <v>16.2</v>
      </c>
      <c r="BW13" s="18">
        <v>13.13</v>
      </c>
      <c r="BX13" s="18">
        <v>10.15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646">
        <v>30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646">
        <v>21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646">
        <v>30.07</v>
      </c>
      <c r="DF13" s="646">
        <v>68.5</v>
      </c>
      <c r="DG13" s="646">
        <v>10.32</v>
      </c>
      <c r="DH13" s="646">
        <v>57.76</v>
      </c>
      <c r="DI13" s="337">
        <v>0</v>
      </c>
      <c r="DJ13" s="648">
        <v>19.739999999999998</v>
      </c>
      <c r="DK13" s="649">
        <v>133.08000000000001</v>
      </c>
      <c r="DL13" s="337">
        <v>0</v>
      </c>
      <c r="DM13" s="337">
        <v>0</v>
      </c>
      <c r="DN13" s="337">
        <v>0</v>
      </c>
      <c r="DO13" s="337">
        <v>0</v>
      </c>
      <c r="DP13" s="337">
        <v>0</v>
      </c>
      <c r="DQ13" s="337">
        <v>0</v>
      </c>
      <c r="DR13" s="337">
        <v>0</v>
      </c>
      <c r="DS13" s="337">
        <v>0</v>
      </c>
      <c r="DT13" s="337">
        <v>0</v>
      </c>
      <c r="DU13" s="337">
        <v>0</v>
      </c>
      <c r="DV13" s="337">
        <v>0</v>
      </c>
      <c r="DW13" s="648">
        <v>12.29</v>
      </c>
      <c r="DX13" s="648">
        <v>14.16</v>
      </c>
      <c r="DY13" s="648">
        <v>12.99</v>
      </c>
      <c r="DZ13" s="337">
        <v>0</v>
      </c>
      <c r="EA13" s="337">
        <v>0</v>
      </c>
      <c r="EB13" s="337">
        <v>0</v>
      </c>
      <c r="EC13" s="337">
        <v>0</v>
      </c>
      <c r="ED13" s="337">
        <v>0</v>
      </c>
      <c r="EE13" s="337">
        <v>0</v>
      </c>
      <c r="EF13" s="337">
        <v>0</v>
      </c>
      <c r="EG13" s="337">
        <v>0</v>
      </c>
      <c r="EH13" s="648">
        <v>0</v>
      </c>
      <c r="EI13" s="337">
        <v>0</v>
      </c>
      <c r="EJ13" s="337">
        <v>0</v>
      </c>
      <c r="EK13" s="337">
        <v>0</v>
      </c>
      <c r="EL13" s="337">
        <v>0</v>
      </c>
      <c r="EM13" s="337">
        <v>0</v>
      </c>
      <c r="EN13" s="337">
        <v>0</v>
      </c>
      <c r="EO13" s="337">
        <v>0.28000000000000003</v>
      </c>
      <c r="EP13" s="337">
        <v>0</v>
      </c>
      <c r="EQ13" s="337">
        <v>0</v>
      </c>
      <c r="ER13" s="337">
        <v>0</v>
      </c>
      <c r="ES13" s="337">
        <v>8.4499999999999993</v>
      </c>
      <c r="ET13" s="337">
        <v>6.24</v>
      </c>
      <c r="EU13" s="337">
        <v>0</v>
      </c>
      <c r="EV13" s="337">
        <v>0</v>
      </c>
      <c r="EW13" s="337">
        <v>0</v>
      </c>
      <c r="EX13" s="337">
        <v>0</v>
      </c>
      <c r="EY13" s="337">
        <v>0</v>
      </c>
      <c r="EZ13" s="337">
        <v>0</v>
      </c>
      <c r="FA13" s="337">
        <v>141.13999999999999</v>
      </c>
      <c r="FB13" s="337">
        <v>-155.19999999999999</v>
      </c>
      <c r="FC13" s="337">
        <v>1665.01</v>
      </c>
      <c r="FD13" s="337">
        <v>1679.07</v>
      </c>
      <c r="FE13" s="21">
        <v>6</v>
      </c>
    </row>
    <row r="14" spans="1:161" s="20" customFormat="1" ht="19.5" customHeight="1">
      <c r="A14" s="19">
        <v>7</v>
      </c>
      <c r="B14" s="18">
        <v>270.52</v>
      </c>
      <c r="C14" s="18">
        <v>40.47</v>
      </c>
      <c r="D14" s="18">
        <v>30.87</v>
      </c>
      <c r="E14" s="18">
        <v>0</v>
      </c>
      <c r="F14" s="18">
        <v>4.0199999999999996</v>
      </c>
      <c r="G14" s="18">
        <v>0</v>
      </c>
      <c r="H14" s="18">
        <v>1.07</v>
      </c>
      <c r="I14" s="18">
        <v>6.1</v>
      </c>
      <c r="J14" s="18">
        <v>15.82</v>
      </c>
      <c r="K14" s="18">
        <v>0</v>
      </c>
      <c r="L14" s="18">
        <v>11.56</v>
      </c>
      <c r="M14" s="18">
        <v>3.22</v>
      </c>
      <c r="N14" s="18">
        <v>1.22</v>
      </c>
      <c r="O14" s="18">
        <v>8.48</v>
      </c>
      <c r="P14" s="18">
        <v>20.94</v>
      </c>
      <c r="Q14" s="18">
        <v>7.97</v>
      </c>
      <c r="R14" s="18">
        <v>63.67</v>
      </c>
      <c r="S14" s="18">
        <v>102.95</v>
      </c>
      <c r="T14" s="18">
        <v>66.25</v>
      </c>
      <c r="U14" s="18">
        <v>49.06</v>
      </c>
      <c r="V14" s="18">
        <v>3.18</v>
      </c>
      <c r="W14" s="18">
        <v>4.38</v>
      </c>
      <c r="X14" s="18">
        <v>18.11</v>
      </c>
      <c r="Y14" s="18">
        <v>15.44</v>
      </c>
      <c r="Z14" s="18">
        <v>81.92</v>
      </c>
      <c r="AA14" s="18">
        <v>56.66</v>
      </c>
      <c r="AB14" s="18">
        <v>3.44</v>
      </c>
      <c r="AC14" s="18">
        <v>15.15</v>
      </c>
      <c r="AD14" s="18">
        <v>7.86</v>
      </c>
      <c r="AE14" s="18">
        <v>84.59</v>
      </c>
      <c r="AF14" s="18">
        <v>2.52</v>
      </c>
      <c r="AG14" s="18">
        <v>1.93</v>
      </c>
      <c r="AH14" s="18">
        <v>2.0299999999999998</v>
      </c>
      <c r="AI14" s="18">
        <v>0</v>
      </c>
      <c r="AJ14" s="18">
        <v>2.02</v>
      </c>
      <c r="AK14" s="18">
        <v>0.91</v>
      </c>
      <c r="AL14" s="18">
        <v>0</v>
      </c>
      <c r="AM14" s="18">
        <v>7</v>
      </c>
      <c r="AN14" s="18">
        <v>0</v>
      </c>
      <c r="AO14" s="18">
        <v>0</v>
      </c>
      <c r="AP14" s="18">
        <v>0.63</v>
      </c>
      <c r="AQ14" s="18">
        <v>0</v>
      </c>
      <c r="AR14" s="18">
        <v>0</v>
      </c>
      <c r="AS14" s="18">
        <v>24.78</v>
      </c>
      <c r="AT14" s="18">
        <v>55.46</v>
      </c>
      <c r="AU14" s="18">
        <v>0.68</v>
      </c>
      <c r="AV14" s="18">
        <v>7.08</v>
      </c>
      <c r="AW14" s="18">
        <v>10.08</v>
      </c>
      <c r="AX14" s="18">
        <v>8.3000000000000007</v>
      </c>
      <c r="AY14" s="18">
        <v>0</v>
      </c>
      <c r="AZ14" s="18">
        <v>2.65</v>
      </c>
      <c r="BA14" s="18">
        <v>0</v>
      </c>
      <c r="BB14" s="18">
        <v>3.07</v>
      </c>
      <c r="BC14" s="18">
        <v>2.5499999999999998</v>
      </c>
      <c r="BD14" s="18">
        <v>2.2000000000000002</v>
      </c>
      <c r="BE14" s="18">
        <v>0.77</v>
      </c>
      <c r="BF14" s="18">
        <v>0</v>
      </c>
      <c r="BG14" s="18">
        <v>1.75</v>
      </c>
      <c r="BH14" s="18">
        <v>14.46</v>
      </c>
      <c r="BI14" s="18">
        <v>14.6</v>
      </c>
      <c r="BJ14" s="18">
        <v>0</v>
      </c>
      <c r="BK14" s="18">
        <v>0</v>
      </c>
      <c r="BL14" s="18">
        <v>1.66</v>
      </c>
      <c r="BM14" s="18">
        <v>0.93</v>
      </c>
      <c r="BN14" s="18">
        <v>3.84</v>
      </c>
      <c r="BO14" s="18">
        <v>3.68</v>
      </c>
      <c r="BP14" s="18">
        <v>5.6</v>
      </c>
      <c r="BQ14" s="18">
        <v>1.22</v>
      </c>
      <c r="BR14" s="18">
        <v>5.28</v>
      </c>
      <c r="BS14" s="18">
        <v>7</v>
      </c>
      <c r="BT14" s="18">
        <v>8.0399999999999991</v>
      </c>
      <c r="BU14" s="18">
        <v>51.79</v>
      </c>
      <c r="BV14" s="18">
        <v>22.6</v>
      </c>
      <c r="BW14" s="18">
        <v>22.39</v>
      </c>
      <c r="BX14" s="18">
        <v>17.149999999999999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646">
        <v>45.52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646">
        <v>36.01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646">
        <v>30.51</v>
      </c>
      <c r="DF14" s="647">
        <v>78.900000000000006</v>
      </c>
      <c r="DG14" s="646">
        <v>9.94</v>
      </c>
      <c r="DH14" s="646">
        <v>71.75</v>
      </c>
      <c r="DI14" s="337">
        <v>0</v>
      </c>
      <c r="DJ14" s="648">
        <v>29.23</v>
      </c>
      <c r="DK14" s="337">
        <v>133.69</v>
      </c>
      <c r="DL14" s="337">
        <v>0</v>
      </c>
      <c r="DM14" s="337">
        <v>0</v>
      </c>
      <c r="DN14" s="337">
        <v>0</v>
      </c>
      <c r="DO14" s="337">
        <v>0</v>
      </c>
      <c r="DP14" s="337">
        <v>0</v>
      </c>
      <c r="DQ14" s="337">
        <v>0</v>
      </c>
      <c r="DR14" s="337">
        <v>0</v>
      </c>
      <c r="DS14" s="337">
        <v>0</v>
      </c>
      <c r="DT14" s="337">
        <v>0</v>
      </c>
      <c r="DU14" s="337">
        <v>0</v>
      </c>
      <c r="DV14" s="337">
        <v>0</v>
      </c>
      <c r="DW14" s="648">
        <v>6.5</v>
      </c>
      <c r="DX14" s="648">
        <v>7.65</v>
      </c>
      <c r="DY14" s="648">
        <v>7.33</v>
      </c>
      <c r="DZ14" s="337">
        <v>0</v>
      </c>
      <c r="EA14" s="337">
        <v>0</v>
      </c>
      <c r="EB14" s="337">
        <v>0</v>
      </c>
      <c r="EC14" s="337">
        <v>0</v>
      </c>
      <c r="ED14" s="337">
        <v>0</v>
      </c>
      <c r="EE14" s="337">
        <v>0</v>
      </c>
      <c r="EF14" s="337">
        <v>0</v>
      </c>
      <c r="EG14" s="337">
        <v>0</v>
      </c>
      <c r="EH14" s="337">
        <v>0</v>
      </c>
      <c r="EI14" s="337">
        <v>0</v>
      </c>
      <c r="EJ14" s="337">
        <v>0</v>
      </c>
      <c r="EK14" s="337">
        <v>0</v>
      </c>
      <c r="EL14" s="337">
        <v>0</v>
      </c>
      <c r="EM14" s="337">
        <v>0</v>
      </c>
      <c r="EN14" s="337">
        <v>0</v>
      </c>
      <c r="EO14" s="337">
        <v>0.32</v>
      </c>
      <c r="EP14" s="337">
        <v>0</v>
      </c>
      <c r="EQ14" s="337">
        <v>0</v>
      </c>
      <c r="ER14" s="337">
        <v>11.76</v>
      </c>
      <c r="ES14" s="337">
        <v>8.4499999999999993</v>
      </c>
      <c r="ET14" s="337">
        <v>6.35</v>
      </c>
      <c r="EU14" s="337">
        <v>0</v>
      </c>
      <c r="EV14" s="337">
        <v>0</v>
      </c>
      <c r="EW14" s="337">
        <v>0</v>
      </c>
      <c r="EX14" s="337">
        <v>0</v>
      </c>
      <c r="EY14" s="337">
        <v>0</v>
      </c>
      <c r="EZ14" s="337">
        <v>0</v>
      </c>
      <c r="FA14" s="337">
        <v>140.5</v>
      </c>
      <c r="FB14" s="337">
        <v>-193.6</v>
      </c>
      <c r="FC14" s="337">
        <v>1795.48</v>
      </c>
      <c r="FD14" s="337">
        <v>1848.58</v>
      </c>
      <c r="FE14" s="19">
        <v>7</v>
      </c>
    </row>
    <row r="15" spans="1:161" s="20" customFormat="1" ht="19.5" customHeight="1">
      <c r="A15" s="19">
        <v>8</v>
      </c>
      <c r="B15" s="18">
        <v>270.85000000000002</v>
      </c>
      <c r="C15" s="18">
        <v>39.86</v>
      </c>
      <c r="D15" s="18">
        <v>31.62</v>
      </c>
      <c r="E15" s="18">
        <v>0</v>
      </c>
      <c r="F15" s="18">
        <v>4.0199999999999996</v>
      </c>
      <c r="G15" s="18">
        <v>0</v>
      </c>
      <c r="H15" s="18">
        <v>1.0900000000000001</v>
      </c>
      <c r="I15" s="18">
        <v>6.06</v>
      </c>
      <c r="J15" s="18">
        <v>15.85</v>
      </c>
      <c r="K15" s="18">
        <v>0</v>
      </c>
      <c r="L15" s="18">
        <v>11.56</v>
      </c>
      <c r="M15" s="18">
        <v>3.17</v>
      </c>
      <c r="N15" s="18">
        <v>1.19</v>
      </c>
      <c r="O15" s="18">
        <v>7.64</v>
      </c>
      <c r="P15" s="18">
        <v>19.989999999999998</v>
      </c>
      <c r="Q15" s="18">
        <v>9.31</v>
      </c>
      <c r="R15" s="18">
        <v>47.99</v>
      </c>
      <c r="S15" s="18">
        <v>102.62</v>
      </c>
      <c r="T15" s="18">
        <v>65.62</v>
      </c>
      <c r="U15" s="18">
        <v>48.68</v>
      </c>
      <c r="V15" s="18">
        <v>3.16</v>
      </c>
      <c r="W15" s="18">
        <v>4.4000000000000004</v>
      </c>
      <c r="X15" s="18">
        <v>14.65</v>
      </c>
      <c r="Y15" s="18">
        <v>13.52</v>
      </c>
      <c r="Z15" s="18">
        <v>82.92</v>
      </c>
      <c r="AA15" s="18">
        <v>55.28</v>
      </c>
      <c r="AB15" s="18">
        <v>3.52</v>
      </c>
      <c r="AC15" s="18">
        <v>16.03</v>
      </c>
      <c r="AD15" s="18">
        <v>8.43</v>
      </c>
      <c r="AE15" s="18">
        <v>78.959999999999994</v>
      </c>
      <c r="AF15" s="18">
        <v>0</v>
      </c>
      <c r="AG15" s="18">
        <v>1.92</v>
      </c>
      <c r="AH15" s="18">
        <v>2.0499999999999998</v>
      </c>
      <c r="AI15" s="18">
        <v>0</v>
      </c>
      <c r="AJ15" s="18">
        <v>2.02</v>
      </c>
      <c r="AK15" s="18">
        <v>0.83</v>
      </c>
      <c r="AL15" s="18">
        <v>0</v>
      </c>
      <c r="AM15" s="18">
        <v>7.56</v>
      </c>
      <c r="AN15" s="18">
        <v>0</v>
      </c>
      <c r="AO15" s="18">
        <v>0</v>
      </c>
      <c r="AP15" s="18">
        <v>0.56000000000000005</v>
      </c>
      <c r="AQ15" s="18">
        <v>0</v>
      </c>
      <c r="AR15" s="18">
        <v>0</v>
      </c>
      <c r="AS15" s="18">
        <v>24.78</v>
      </c>
      <c r="AT15" s="18">
        <v>55.72</v>
      </c>
      <c r="AU15" s="18">
        <v>0.67</v>
      </c>
      <c r="AV15" s="18">
        <v>7.04</v>
      </c>
      <c r="AW15" s="18">
        <v>9.86</v>
      </c>
      <c r="AX15" s="18">
        <v>8.3000000000000007</v>
      </c>
      <c r="AY15" s="18">
        <v>0</v>
      </c>
      <c r="AZ15" s="18">
        <v>2.66</v>
      </c>
      <c r="BA15" s="18">
        <v>0</v>
      </c>
      <c r="BB15" s="18">
        <v>3.15</v>
      </c>
      <c r="BC15" s="18">
        <v>2.56</v>
      </c>
      <c r="BD15" s="18">
        <v>2.2000000000000002</v>
      </c>
      <c r="BE15" s="18">
        <v>0.77</v>
      </c>
      <c r="BF15" s="18">
        <v>0</v>
      </c>
      <c r="BG15" s="18">
        <v>1.74</v>
      </c>
      <c r="BH15" s="18">
        <v>15.06</v>
      </c>
      <c r="BI15" s="18">
        <v>14.6</v>
      </c>
      <c r="BJ15" s="18">
        <v>0</v>
      </c>
      <c r="BK15" s="18">
        <v>0</v>
      </c>
      <c r="BL15" s="18">
        <v>23</v>
      </c>
      <c r="BM15" s="18">
        <v>13</v>
      </c>
      <c r="BN15" s="18">
        <v>9.39</v>
      </c>
      <c r="BO15" s="18">
        <v>14.62</v>
      </c>
      <c r="BP15" s="18">
        <v>20.3</v>
      </c>
      <c r="BQ15" s="18">
        <v>2.5</v>
      </c>
      <c r="BR15" s="18">
        <v>9.89</v>
      </c>
      <c r="BS15" s="18">
        <v>14.89</v>
      </c>
      <c r="BT15" s="18">
        <v>22.22</v>
      </c>
      <c r="BU15" s="18">
        <v>52.94</v>
      </c>
      <c r="BV15" s="18">
        <v>19.3</v>
      </c>
      <c r="BW15" s="18">
        <v>19.82</v>
      </c>
      <c r="BX15" s="18">
        <v>7.4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56.58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36.01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647">
        <v>30.26</v>
      </c>
      <c r="DF15" s="18">
        <v>90.4</v>
      </c>
      <c r="DG15" s="18">
        <v>14.05</v>
      </c>
      <c r="DH15" s="18">
        <v>72.040000000000006</v>
      </c>
      <c r="DI15" s="337">
        <v>0</v>
      </c>
      <c r="DJ15" s="337">
        <v>33.229999999999997</v>
      </c>
      <c r="DK15" s="337">
        <v>133.69</v>
      </c>
      <c r="DL15" s="337">
        <v>0</v>
      </c>
      <c r="DM15" s="337">
        <v>0</v>
      </c>
      <c r="DN15" s="337">
        <v>0</v>
      </c>
      <c r="DO15" s="337">
        <v>0</v>
      </c>
      <c r="DP15" s="337">
        <v>0</v>
      </c>
      <c r="DQ15" s="337">
        <v>0</v>
      </c>
      <c r="DR15" s="337">
        <v>0</v>
      </c>
      <c r="DS15" s="337">
        <v>0</v>
      </c>
      <c r="DT15" s="337">
        <v>0</v>
      </c>
      <c r="DU15" s="337">
        <v>0</v>
      </c>
      <c r="DV15" s="337">
        <v>0</v>
      </c>
      <c r="DW15" s="337">
        <v>0</v>
      </c>
      <c r="DX15" s="648">
        <v>7.53</v>
      </c>
      <c r="DY15" s="648">
        <v>7.28</v>
      </c>
      <c r="DZ15" s="337">
        <v>0</v>
      </c>
      <c r="EA15" s="337">
        <v>0</v>
      </c>
      <c r="EB15" s="337">
        <v>0</v>
      </c>
      <c r="EC15" s="337">
        <v>0</v>
      </c>
      <c r="ED15" s="337">
        <v>0</v>
      </c>
      <c r="EE15" s="337">
        <v>0</v>
      </c>
      <c r="EF15" s="337">
        <v>0</v>
      </c>
      <c r="EG15" s="337">
        <v>0</v>
      </c>
      <c r="EH15" s="337">
        <v>0</v>
      </c>
      <c r="EI15" s="337">
        <v>0</v>
      </c>
      <c r="EJ15" s="337">
        <v>0</v>
      </c>
      <c r="EK15" s="337">
        <v>0</v>
      </c>
      <c r="EL15" s="337">
        <v>0</v>
      </c>
      <c r="EM15" s="337">
        <v>0</v>
      </c>
      <c r="EN15" s="337">
        <v>0</v>
      </c>
      <c r="EO15" s="337">
        <v>0.27</v>
      </c>
      <c r="EP15" s="337">
        <v>0</v>
      </c>
      <c r="EQ15" s="337">
        <v>0</v>
      </c>
      <c r="ER15" s="337">
        <v>11.74</v>
      </c>
      <c r="ES15" s="337">
        <v>8.44</v>
      </c>
      <c r="ET15" s="337">
        <v>6.37</v>
      </c>
      <c r="EU15" s="337">
        <v>0</v>
      </c>
      <c r="EV15" s="337">
        <v>0</v>
      </c>
      <c r="EW15" s="337">
        <v>0</v>
      </c>
      <c r="EX15" s="337">
        <v>0</v>
      </c>
      <c r="EY15" s="337">
        <v>0</v>
      </c>
      <c r="EZ15" s="337">
        <v>0</v>
      </c>
      <c r="FA15" s="337">
        <v>143.63999999999999</v>
      </c>
      <c r="FB15" s="337">
        <v>-213.8</v>
      </c>
      <c r="FC15" s="337">
        <v>1869.2</v>
      </c>
      <c r="FD15" s="337">
        <v>1939.36</v>
      </c>
      <c r="FE15" s="19">
        <v>8</v>
      </c>
    </row>
    <row r="16" spans="1:161" s="20" customFormat="1" ht="19.5" customHeight="1">
      <c r="A16" s="19">
        <v>9</v>
      </c>
      <c r="B16" s="18">
        <v>258.52999999999997</v>
      </c>
      <c r="C16" s="18">
        <v>0</v>
      </c>
      <c r="D16" s="18">
        <v>27.04</v>
      </c>
      <c r="E16" s="18">
        <v>0</v>
      </c>
      <c r="F16" s="18">
        <v>4.0199999999999996</v>
      </c>
      <c r="G16" s="18">
        <v>0</v>
      </c>
      <c r="H16" s="18">
        <v>1.08</v>
      </c>
      <c r="I16" s="18">
        <v>6.02</v>
      </c>
      <c r="J16" s="18">
        <v>15.86</v>
      </c>
      <c r="K16" s="18">
        <v>0</v>
      </c>
      <c r="L16" s="18">
        <v>11.56</v>
      </c>
      <c r="M16" s="18">
        <v>3.21</v>
      </c>
      <c r="N16" s="18">
        <v>1.21</v>
      </c>
      <c r="O16" s="18">
        <v>2.62</v>
      </c>
      <c r="P16" s="18">
        <v>10.45</v>
      </c>
      <c r="Q16" s="18">
        <v>3.88</v>
      </c>
      <c r="R16" s="18">
        <v>56.11</v>
      </c>
      <c r="S16" s="18">
        <v>102.98</v>
      </c>
      <c r="T16" s="18">
        <v>66.25</v>
      </c>
      <c r="U16" s="18">
        <v>38.549999999999997</v>
      </c>
      <c r="V16" s="18">
        <v>3.17</v>
      </c>
      <c r="W16" s="18">
        <v>4.4000000000000004</v>
      </c>
      <c r="X16" s="18">
        <v>11.93</v>
      </c>
      <c r="Y16" s="18">
        <v>11.89</v>
      </c>
      <c r="Z16" s="18">
        <v>75.11</v>
      </c>
      <c r="AA16" s="18">
        <v>46.96</v>
      </c>
      <c r="AB16" s="18">
        <v>3.52</v>
      </c>
      <c r="AC16" s="18">
        <v>12.91</v>
      </c>
      <c r="AD16" s="18">
        <v>6.41</v>
      </c>
      <c r="AE16" s="18">
        <v>78.180000000000007</v>
      </c>
      <c r="AF16" s="18">
        <v>0</v>
      </c>
      <c r="AG16" s="18">
        <v>1.91</v>
      </c>
      <c r="AH16" s="18">
        <v>2.0499999999999998</v>
      </c>
      <c r="AI16" s="18">
        <v>0</v>
      </c>
      <c r="AJ16" s="18">
        <v>2.0299999999999998</v>
      </c>
      <c r="AK16" s="18">
        <v>0.93</v>
      </c>
      <c r="AL16" s="18">
        <v>0</v>
      </c>
      <c r="AM16" s="18">
        <v>2.88</v>
      </c>
      <c r="AN16" s="18">
        <v>0</v>
      </c>
      <c r="AO16" s="18">
        <v>0</v>
      </c>
      <c r="AP16" s="18">
        <v>0.63</v>
      </c>
      <c r="AQ16" s="18">
        <v>0</v>
      </c>
      <c r="AR16" s="18">
        <v>0</v>
      </c>
      <c r="AS16" s="18">
        <v>24.81</v>
      </c>
      <c r="AT16" s="18">
        <v>44.87</v>
      </c>
      <c r="AU16" s="18">
        <v>0.7</v>
      </c>
      <c r="AV16" s="18">
        <v>7.03</v>
      </c>
      <c r="AW16" s="18">
        <v>8.3000000000000007</v>
      </c>
      <c r="AX16" s="18">
        <v>8.3000000000000007</v>
      </c>
      <c r="AY16" s="18">
        <v>0</v>
      </c>
      <c r="AZ16" s="18">
        <v>2.31</v>
      </c>
      <c r="BA16" s="18">
        <v>1.01</v>
      </c>
      <c r="BB16" s="18">
        <v>2.62</v>
      </c>
      <c r="BC16" s="18">
        <v>2.5499999999999998</v>
      </c>
      <c r="BD16" s="18">
        <v>2.2000000000000002</v>
      </c>
      <c r="BE16" s="18">
        <v>0.77</v>
      </c>
      <c r="BF16" s="18">
        <v>0</v>
      </c>
      <c r="BG16" s="18">
        <v>1.74</v>
      </c>
      <c r="BH16" s="18">
        <v>14.45</v>
      </c>
      <c r="BI16" s="18">
        <v>14.4</v>
      </c>
      <c r="BJ16" s="18">
        <v>0</v>
      </c>
      <c r="BK16" s="18">
        <v>0</v>
      </c>
      <c r="BL16" s="18">
        <v>25.12</v>
      </c>
      <c r="BM16" s="18">
        <v>16.86</v>
      </c>
      <c r="BN16" s="18">
        <v>13.68</v>
      </c>
      <c r="BO16" s="18">
        <v>13.49</v>
      </c>
      <c r="BP16" s="18">
        <v>29.86</v>
      </c>
      <c r="BQ16" s="18">
        <v>3.75</v>
      </c>
      <c r="BR16" s="18">
        <v>14.43</v>
      </c>
      <c r="BS16" s="18">
        <v>17.420000000000002</v>
      </c>
      <c r="BT16" s="18">
        <v>72.61</v>
      </c>
      <c r="BU16" s="18">
        <v>48.77</v>
      </c>
      <c r="BV16" s="18">
        <v>22.1</v>
      </c>
      <c r="BW16" s="18">
        <v>27.79</v>
      </c>
      <c r="BX16" s="18">
        <v>13.3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56.33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40.299999999999997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19.39</v>
      </c>
      <c r="DF16" s="18">
        <v>98.9</v>
      </c>
      <c r="DG16" s="18">
        <v>15.54</v>
      </c>
      <c r="DH16" s="18">
        <v>70.95</v>
      </c>
      <c r="DI16" s="337">
        <v>0</v>
      </c>
      <c r="DJ16" s="337">
        <v>45.6</v>
      </c>
      <c r="DK16" s="337">
        <v>133.69</v>
      </c>
      <c r="DL16" s="337">
        <v>0</v>
      </c>
      <c r="DM16" s="337">
        <v>0</v>
      </c>
      <c r="DN16" s="337">
        <v>0</v>
      </c>
      <c r="DO16" s="337">
        <v>0</v>
      </c>
      <c r="DP16" s="337">
        <v>0</v>
      </c>
      <c r="DQ16" s="337">
        <v>0</v>
      </c>
      <c r="DR16" s="337">
        <v>0</v>
      </c>
      <c r="DS16" s="337">
        <v>0</v>
      </c>
      <c r="DT16" s="337">
        <v>0</v>
      </c>
      <c r="DU16" s="337">
        <v>0</v>
      </c>
      <c r="DV16" s="337">
        <v>0</v>
      </c>
      <c r="DW16" s="648">
        <v>3.93</v>
      </c>
      <c r="DX16" s="648">
        <v>4.28</v>
      </c>
      <c r="DY16" s="648">
        <v>4.33</v>
      </c>
      <c r="DZ16" s="337">
        <v>0</v>
      </c>
      <c r="EA16" s="337">
        <v>0</v>
      </c>
      <c r="EB16" s="337">
        <v>0</v>
      </c>
      <c r="EC16" s="337">
        <v>0</v>
      </c>
      <c r="ED16" s="337">
        <v>0</v>
      </c>
      <c r="EE16" s="337">
        <v>0</v>
      </c>
      <c r="EF16" s="337">
        <v>0</v>
      </c>
      <c r="EG16" s="337">
        <v>0</v>
      </c>
      <c r="EH16" s="649">
        <v>58.14</v>
      </c>
      <c r="EI16" s="337">
        <v>0</v>
      </c>
      <c r="EJ16" s="337">
        <v>0</v>
      </c>
      <c r="EK16" s="337">
        <v>0</v>
      </c>
      <c r="EL16" s="337">
        <v>0</v>
      </c>
      <c r="EM16" s="337">
        <v>0</v>
      </c>
      <c r="EN16" s="337">
        <v>0</v>
      </c>
      <c r="EO16" s="337">
        <v>0.35</v>
      </c>
      <c r="EP16" s="337">
        <v>0</v>
      </c>
      <c r="EQ16" s="337">
        <v>0</v>
      </c>
      <c r="ER16" s="337">
        <v>11.77</v>
      </c>
      <c r="ES16" s="337">
        <v>8.4499999999999993</v>
      </c>
      <c r="ET16" s="337">
        <v>4.57</v>
      </c>
      <c r="EU16" s="337">
        <v>0</v>
      </c>
      <c r="EV16" s="337">
        <v>0</v>
      </c>
      <c r="EW16" s="337">
        <v>0</v>
      </c>
      <c r="EX16" s="337">
        <v>0</v>
      </c>
      <c r="EY16" s="337">
        <v>0</v>
      </c>
      <c r="EZ16" s="337">
        <v>28.86</v>
      </c>
      <c r="FA16" s="337">
        <v>118.55</v>
      </c>
      <c r="FB16" s="337">
        <v>-140.80000000000001</v>
      </c>
      <c r="FC16" s="337">
        <v>1934.9</v>
      </c>
      <c r="FD16" s="337">
        <v>1957.15</v>
      </c>
      <c r="FE16" s="19">
        <v>9</v>
      </c>
    </row>
    <row r="17" spans="1:161" s="20" customFormat="1" ht="19.5" customHeight="1">
      <c r="A17" s="21">
        <v>10</v>
      </c>
      <c r="B17" s="18">
        <v>258.20999999999998</v>
      </c>
      <c r="C17" s="18">
        <v>0</v>
      </c>
      <c r="D17" s="18">
        <v>27.16</v>
      </c>
      <c r="E17" s="18">
        <v>0</v>
      </c>
      <c r="F17" s="18">
        <v>4.01</v>
      </c>
      <c r="G17" s="18">
        <v>0</v>
      </c>
      <c r="H17" s="18">
        <v>1.08</v>
      </c>
      <c r="I17" s="18">
        <v>6.08</v>
      </c>
      <c r="J17" s="18">
        <v>15.89</v>
      </c>
      <c r="K17" s="18">
        <v>0</v>
      </c>
      <c r="L17" s="18">
        <v>11.55</v>
      </c>
      <c r="M17" s="18">
        <v>3.21</v>
      </c>
      <c r="N17" s="18">
        <v>1.18</v>
      </c>
      <c r="O17" s="18">
        <v>2.61</v>
      </c>
      <c r="P17" s="18">
        <v>10.36</v>
      </c>
      <c r="Q17" s="18">
        <v>1.84</v>
      </c>
      <c r="R17" s="18">
        <v>50.12</v>
      </c>
      <c r="S17" s="18">
        <v>103.57</v>
      </c>
      <c r="T17" s="18">
        <v>65.83</v>
      </c>
      <c r="U17" s="18">
        <v>31.17</v>
      </c>
      <c r="V17" s="18">
        <v>3.17</v>
      </c>
      <c r="W17" s="18">
        <v>4.38</v>
      </c>
      <c r="X17" s="18">
        <v>5.85</v>
      </c>
      <c r="Y17" s="18">
        <v>11.73</v>
      </c>
      <c r="Z17" s="18">
        <v>66.78</v>
      </c>
      <c r="AA17" s="18">
        <v>42.12</v>
      </c>
      <c r="AB17" s="18">
        <v>3.52</v>
      </c>
      <c r="AC17" s="18">
        <v>11.58</v>
      </c>
      <c r="AD17" s="18">
        <v>3.01</v>
      </c>
      <c r="AE17" s="18">
        <v>77.25</v>
      </c>
      <c r="AF17" s="18">
        <v>0</v>
      </c>
      <c r="AG17" s="18">
        <v>1.89</v>
      </c>
      <c r="AH17" s="18">
        <v>2.04</v>
      </c>
      <c r="AI17" s="18">
        <v>0</v>
      </c>
      <c r="AJ17" s="18">
        <v>2.0299999999999998</v>
      </c>
      <c r="AK17" s="18">
        <v>0.92</v>
      </c>
      <c r="AL17" s="18">
        <v>0</v>
      </c>
      <c r="AM17" s="18">
        <v>2.87</v>
      </c>
      <c r="AN17" s="18">
        <v>0</v>
      </c>
      <c r="AO17" s="18">
        <v>0</v>
      </c>
      <c r="AP17" s="18">
        <v>0.67</v>
      </c>
      <c r="AQ17" s="18">
        <v>0</v>
      </c>
      <c r="AR17" s="18">
        <v>0</v>
      </c>
      <c r="AS17" s="18">
        <v>24.72</v>
      </c>
      <c r="AT17" s="18">
        <v>39.11</v>
      </c>
      <c r="AU17" s="18">
        <v>0.76</v>
      </c>
      <c r="AV17" s="18">
        <v>9.25</v>
      </c>
      <c r="AW17" s="18">
        <v>0</v>
      </c>
      <c r="AX17" s="18">
        <v>8.4</v>
      </c>
      <c r="AY17" s="18">
        <v>0</v>
      </c>
      <c r="AZ17" s="18">
        <v>2.2599999999999998</v>
      </c>
      <c r="BA17" s="18">
        <v>1.03</v>
      </c>
      <c r="BB17" s="18">
        <v>2.57</v>
      </c>
      <c r="BC17" s="18">
        <v>2.56</v>
      </c>
      <c r="BD17" s="18">
        <v>2.2000000000000002</v>
      </c>
      <c r="BE17" s="18">
        <v>0.77</v>
      </c>
      <c r="BF17" s="18">
        <v>0</v>
      </c>
      <c r="BG17" s="18">
        <v>1.73</v>
      </c>
      <c r="BH17" s="18">
        <v>14.15</v>
      </c>
      <c r="BI17" s="18">
        <v>14.1</v>
      </c>
      <c r="BJ17" s="18">
        <v>0</v>
      </c>
      <c r="BK17" s="18">
        <v>0</v>
      </c>
      <c r="BL17" s="18">
        <v>22.92</v>
      </c>
      <c r="BM17" s="18">
        <v>12.95</v>
      </c>
      <c r="BN17" s="18">
        <v>17.309999999999999</v>
      </c>
      <c r="BO17" s="18">
        <v>9.35</v>
      </c>
      <c r="BP17" s="18">
        <v>33.17</v>
      </c>
      <c r="BQ17" s="18">
        <v>6.26</v>
      </c>
      <c r="BR17" s="18">
        <v>26.99</v>
      </c>
      <c r="BS17" s="18">
        <v>39.590000000000003</v>
      </c>
      <c r="BT17" s="18">
        <v>59.21</v>
      </c>
      <c r="BU17" s="18">
        <v>49.84</v>
      </c>
      <c r="BV17" s="18">
        <v>12.6</v>
      </c>
      <c r="BW17" s="18">
        <v>20.05</v>
      </c>
      <c r="BX17" s="18">
        <v>9.1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56.32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40.299999999999997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30.19</v>
      </c>
      <c r="DF17" s="18">
        <v>128</v>
      </c>
      <c r="DG17" s="18">
        <v>16.190000000000001</v>
      </c>
      <c r="DH17" s="18">
        <v>70.62</v>
      </c>
      <c r="DI17" s="337">
        <v>0</v>
      </c>
      <c r="DJ17" s="337">
        <v>44.44</v>
      </c>
      <c r="DK17" s="337">
        <v>133.69</v>
      </c>
      <c r="DL17" s="337">
        <v>0</v>
      </c>
      <c r="DM17" s="337">
        <v>0</v>
      </c>
      <c r="DN17" s="337">
        <v>0</v>
      </c>
      <c r="DO17" s="337">
        <v>0</v>
      </c>
      <c r="DP17" s="337">
        <v>0</v>
      </c>
      <c r="DQ17" s="337">
        <v>0</v>
      </c>
      <c r="DR17" s="337">
        <v>0</v>
      </c>
      <c r="DS17" s="337">
        <v>0</v>
      </c>
      <c r="DT17" s="337">
        <v>0</v>
      </c>
      <c r="DU17" s="337">
        <v>0</v>
      </c>
      <c r="DV17" s="337">
        <v>0</v>
      </c>
      <c r="DW17" s="648">
        <v>4.1399999999999997</v>
      </c>
      <c r="DX17" s="648">
        <v>4.2300000000000004</v>
      </c>
      <c r="DY17" s="648">
        <v>4.41</v>
      </c>
      <c r="DZ17" s="337">
        <v>0</v>
      </c>
      <c r="EA17" s="337">
        <v>0</v>
      </c>
      <c r="EB17" s="337">
        <v>0</v>
      </c>
      <c r="EC17" s="337">
        <v>0</v>
      </c>
      <c r="ED17" s="337">
        <v>0</v>
      </c>
      <c r="EE17" s="337">
        <v>0</v>
      </c>
      <c r="EF17" s="337">
        <v>0</v>
      </c>
      <c r="EG17" s="337">
        <v>0</v>
      </c>
      <c r="EH17" s="648">
        <v>26.33</v>
      </c>
      <c r="EI17" s="648">
        <v>2.58</v>
      </c>
      <c r="EJ17" s="648">
        <v>5.24</v>
      </c>
      <c r="EK17" s="337">
        <v>0</v>
      </c>
      <c r="EL17" s="337">
        <v>0</v>
      </c>
      <c r="EM17" s="337">
        <v>0</v>
      </c>
      <c r="EN17" s="337">
        <v>0</v>
      </c>
      <c r="EO17" s="337">
        <v>0.45</v>
      </c>
      <c r="EP17" s="337">
        <v>0</v>
      </c>
      <c r="EQ17" s="337">
        <v>0</v>
      </c>
      <c r="ER17" s="337">
        <v>11.76</v>
      </c>
      <c r="ES17" s="337">
        <v>8.4499999999999993</v>
      </c>
      <c r="ET17" s="337">
        <v>10.68</v>
      </c>
      <c r="EU17" s="337">
        <v>0</v>
      </c>
      <c r="EV17" s="337">
        <v>0</v>
      </c>
      <c r="EW17" s="337">
        <v>0</v>
      </c>
      <c r="EX17" s="337">
        <v>0</v>
      </c>
      <c r="EY17" s="337">
        <v>0</v>
      </c>
      <c r="EZ17" s="649">
        <v>28.86</v>
      </c>
      <c r="FA17" s="337">
        <v>100.35</v>
      </c>
      <c r="FB17" s="337">
        <v>-122.1</v>
      </c>
      <c r="FC17" s="337">
        <v>1903.51</v>
      </c>
      <c r="FD17" s="337">
        <v>1925.26</v>
      </c>
      <c r="FE17" s="21">
        <v>10</v>
      </c>
    </row>
    <row r="18" spans="1:161" s="20" customFormat="1" ht="19.5" customHeight="1">
      <c r="A18" s="19">
        <v>10.15</v>
      </c>
      <c r="B18" s="18">
        <v>255.54</v>
      </c>
      <c r="C18" s="18">
        <v>0</v>
      </c>
      <c r="D18" s="18">
        <v>27.75</v>
      </c>
      <c r="E18" s="18">
        <v>0</v>
      </c>
      <c r="F18" s="18">
        <v>4.0199999999999996</v>
      </c>
      <c r="G18" s="18">
        <v>0</v>
      </c>
      <c r="H18" s="18">
        <v>1.07</v>
      </c>
      <c r="I18" s="18">
        <v>6.12</v>
      </c>
      <c r="J18" s="18">
        <v>15.85</v>
      </c>
      <c r="K18" s="18">
        <v>0</v>
      </c>
      <c r="L18" s="18">
        <v>11.55</v>
      </c>
      <c r="M18" s="18">
        <v>3.22</v>
      </c>
      <c r="N18" s="18">
        <v>1.21</v>
      </c>
      <c r="O18" s="18">
        <v>2.59</v>
      </c>
      <c r="P18" s="18">
        <v>10.31</v>
      </c>
      <c r="Q18" s="18">
        <v>1.85</v>
      </c>
      <c r="R18" s="18">
        <v>50.1</v>
      </c>
      <c r="S18" s="18">
        <v>103.21</v>
      </c>
      <c r="T18" s="18">
        <v>66.27</v>
      </c>
      <c r="U18" s="18">
        <v>39.83</v>
      </c>
      <c r="V18" s="18">
        <v>3.15</v>
      </c>
      <c r="W18" s="18">
        <v>4.42</v>
      </c>
      <c r="X18" s="18">
        <v>7.8</v>
      </c>
      <c r="Y18" s="18">
        <v>11.6</v>
      </c>
      <c r="Z18" s="18">
        <v>83.92</v>
      </c>
      <c r="AA18" s="18">
        <v>48.78</v>
      </c>
      <c r="AB18" s="18">
        <v>3.38</v>
      </c>
      <c r="AC18" s="18">
        <v>12.29</v>
      </c>
      <c r="AD18" s="18">
        <v>1.46</v>
      </c>
      <c r="AE18" s="18">
        <v>77.42</v>
      </c>
      <c r="AF18" s="18">
        <v>0</v>
      </c>
      <c r="AG18" s="18">
        <v>1.93</v>
      </c>
      <c r="AH18" s="18">
        <v>2.04</v>
      </c>
      <c r="AI18" s="18">
        <v>0</v>
      </c>
      <c r="AJ18" s="18">
        <v>2.02</v>
      </c>
      <c r="AK18" s="18">
        <v>1</v>
      </c>
      <c r="AL18" s="18">
        <v>0</v>
      </c>
      <c r="AM18" s="18">
        <v>2.94</v>
      </c>
      <c r="AN18" s="18">
        <v>0</v>
      </c>
      <c r="AO18" s="18">
        <v>0</v>
      </c>
      <c r="AP18" s="18">
        <v>0.63</v>
      </c>
      <c r="AQ18" s="18">
        <v>0</v>
      </c>
      <c r="AR18" s="18">
        <v>0</v>
      </c>
      <c r="AS18" s="18">
        <v>24.8</v>
      </c>
      <c r="AT18" s="18">
        <v>45.76</v>
      </c>
      <c r="AU18" s="18">
        <v>0.77</v>
      </c>
      <c r="AV18" s="18">
        <v>9.1999999999999993</v>
      </c>
      <c r="AW18" s="18">
        <v>0</v>
      </c>
      <c r="AX18" s="18">
        <v>8.3000000000000007</v>
      </c>
      <c r="AY18" s="18">
        <v>0</v>
      </c>
      <c r="AZ18" s="18">
        <v>2.25</v>
      </c>
      <c r="BA18" s="18">
        <v>1.02</v>
      </c>
      <c r="BB18" s="18">
        <v>2.56</v>
      </c>
      <c r="BC18" s="18">
        <v>2.57</v>
      </c>
      <c r="BD18" s="18">
        <v>2.2000000000000002</v>
      </c>
      <c r="BE18" s="18">
        <v>0.7</v>
      </c>
      <c r="BF18" s="18">
        <v>0</v>
      </c>
      <c r="BG18" s="18">
        <v>1.73</v>
      </c>
      <c r="BH18" s="18">
        <v>13.95</v>
      </c>
      <c r="BI18" s="18">
        <v>13.9</v>
      </c>
      <c r="BJ18" s="18">
        <v>0</v>
      </c>
      <c r="BK18" s="18">
        <v>0</v>
      </c>
      <c r="BL18" s="18">
        <v>22.83</v>
      </c>
      <c r="BM18" s="18">
        <v>13.89</v>
      </c>
      <c r="BN18" s="18">
        <v>36.81</v>
      </c>
      <c r="BO18" s="18">
        <v>10.68</v>
      </c>
      <c r="BP18" s="18">
        <v>28.71</v>
      </c>
      <c r="BQ18" s="18">
        <v>5.65</v>
      </c>
      <c r="BR18" s="18">
        <v>25.45</v>
      </c>
      <c r="BS18" s="18">
        <v>40.78</v>
      </c>
      <c r="BT18" s="18">
        <v>25.73</v>
      </c>
      <c r="BU18" s="18">
        <v>48.37</v>
      </c>
      <c r="BV18" s="18">
        <v>13.5</v>
      </c>
      <c r="BW18" s="18">
        <v>27.17</v>
      </c>
      <c r="BX18" s="18">
        <v>7.37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56.08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40.01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647">
        <v>30.36</v>
      </c>
      <c r="DF18" s="18">
        <v>133.30000000000001</v>
      </c>
      <c r="DG18" s="18">
        <v>15.68</v>
      </c>
      <c r="DH18" s="18">
        <v>70.319999999999993</v>
      </c>
      <c r="DI18" s="337">
        <v>0</v>
      </c>
      <c r="DJ18" s="337">
        <v>44.23</v>
      </c>
      <c r="DK18" s="337">
        <v>133.69</v>
      </c>
      <c r="DL18" s="337">
        <v>0</v>
      </c>
      <c r="DM18" s="337">
        <v>0</v>
      </c>
      <c r="DN18" s="337">
        <v>0</v>
      </c>
      <c r="DO18" s="337">
        <v>0</v>
      </c>
      <c r="DP18" s="337">
        <v>0</v>
      </c>
      <c r="DQ18" s="337">
        <v>0</v>
      </c>
      <c r="DR18" s="337">
        <v>0</v>
      </c>
      <c r="DS18" s="337">
        <v>0</v>
      </c>
      <c r="DT18" s="337">
        <v>0</v>
      </c>
      <c r="DU18" s="337">
        <v>0</v>
      </c>
      <c r="DV18" s="337">
        <v>0</v>
      </c>
      <c r="DW18" s="648">
        <v>4.09</v>
      </c>
      <c r="DX18" s="648">
        <v>4.25</v>
      </c>
      <c r="DY18" s="648">
        <v>4.28</v>
      </c>
      <c r="DZ18" s="337">
        <v>0</v>
      </c>
      <c r="EA18" s="337">
        <v>0</v>
      </c>
      <c r="EB18" s="337">
        <v>0</v>
      </c>
      <c r="EC18" s="337">
        <v>0</v>
      </c>
      <c r="ED18" s="337">
        <v>0</v>
      </c>
      <c r="EE18" s="337">
        <v>0</v>
      </c>
      <c r="EF18" s="337">
        <v>0</v>
      </c>
      <c r="EG18" s="337">
        <v>0</v>
      </c>
      <c r="EH18" s="648">
        <v>19.18</v>
      </c>
      <c r="EI18" s="648">
        <v>4.4400000000000004</v>
      </c>
      <c r="EJ18" s="648">
        <v>5.18</v>
      </c>
      <c r="EK18" s="337">
        <v>0</v>
      </c>
      <c r="EL18" s="337">
        <v>0</v>
      </c>
      <c r="EM18" s="337">
        <v>0</v>
      </c>
      <c r="EN18" s="337">
        <v>0</v>
      </c>
      <c r="EO18" s="337">
        <v>0.32</v>
      </c>
      <c r="EP18" s="337">
        <v>0</v>
      </c>
      <c r="EQ18" s="337">
        <v>0</v>
      </c>
      <c r="ER18" s="337">
        <v>11.77</v>
      </c>
      <c r="ES18" s="337">
        <v>8.4499999999999993</v>
      </c>
      <c r="ET18" s="337">
        <v>10.75</v>
      </c>
      <c r="EU18" s="337">
        <v>0</v>
      </c>
      <c r="EV18" s="337">
        <v>0</v>
      </c>
      <c r="EW18" s="337">
        <v>0</v>
      </c>
      <c r="EX18" s="337">
        <v>0</v>
      </c>
      <c r="EY18" s="337">
        <v>0</v>
      </c>
      <c r="EZ18" s="648">
        <v>2.5</v>
      </c>
      <c r="FA18" s="337">
        <v>44.71</v>
      </c>
      <c r="FB18" s="337">
        <v>-95.6</v>
      </c>
      <c r="FC18" s="337">
        <v>1900.8</v>
      </c>
      <c r="FD18" s="337">
        <v>1951.69</v>
      </c>
      <c r="FE18" s="19">
        <v>10.15</v>
      </c>
    </row>
    <row r="19" spans="1:161" s="20" customFormat="1" ht="19.5" customHeight="1">
      <c r="A19" s="19">
        <v>10.3</v>
      </c>
      <c r="B19" s="18">
        <v>244.56</v>
      </c>
      <c r="C19" s="18">
        <v>0</v>
      </c>
      <c r="D19" s="18">
        <v>27.94</v>
      </c>
      <c r="E19" s="18">
        <v>0</v>
      </c>
      <c r="F19" s="18">
        <v>4.01</v>
      </c>
      <c r="G19" s="18">
        <v>0</v>
      </c>
      <c r="H19" s="18">
        <v>1.07</v>
      </c>
      <c r="I19" s="18">
        <v>6.12</v>
      </c>
      <c r="J19" s="18">
        <v>15.89</v>
      </c>
      <c r="K19" s="18">
        <v>0</v>
      </c>
      <c r="L19" s="18">
        <v>11.55</v>
      </c>
      <c r="M19" s="18">
        <v>3.22</v>
      </c>
      <c r="N19" s="18">
        <v>1.19</v>
      </c>
      <c r="O19" s="18">
        <v>2.59</v>
      </c>
      <c r="P19" s="18">
        <v>10.4</v>
      </c>
      <c r="Q19" s="18">
        <v>1.85</v>
      </c>
      <c r="R19" s="18">
        <v>56.29</v>
      </c>
      <c r="S19" s="18">
        <v>103.91</v>
      </c>
      <c r="T19" s="18">
        <v>66.459999999999994</v>
      </c>
      <c r="U19" s="18">
        <v>36.64</v>
      </c>
      <c r="V19" s="18">
        <v>3.18</v>
      </c>
      <c r="W19" s="18">
        <v>4.41</v>
      </c>
      <c r="X19" s="18">
        <v>7.78</v>
      </c>
      <c r="Y19" s="18">
        <v>11.68</v>
      </c>
      <c r="Z19" s="18">
        <v>80.5</v>
      </c>
      <c r="AA19" s="18">
        <v>46.39</v>
      </c>
      <c r="AB19" s="18">
        <v>3.43</v>
      </c>
      <c r="AC19" s="18">
        <v>11.92</v>
      </c>
      <c r="AD19" s="18">
        <v>1.46</v>
      </c>
      <c r="AE19" s="18">
        <v>55.87</v>
      </c>
      <c r="AF19" s="18">
        <v>0</v>
      </c>
      <c r="AG19" s="18">
        <v>2</v>
      </c>
      <c r="AH19" s="18">
        <v>2.04</v>
      </c>
      <c r="AI19" s="18">
        <v>0</v>
      </c>
      <c r="AJ19" s="18">
        <v>2.0299999999999998</v>
      </c>
      <c r="AK19" s="18">
        <v>0.98</v>
      </c>
      <c r="AL19" s="18">
        <v>0</v>
      </c>
      <c r="AM19" s="18">
        <v>2.86</v>
      </c>
      <c r="AN19" s="18">
        <v>0</v>
      </c>
      <c r="AO19" s="18">
        <v>0</v>
      </c>
      <c r="AP19" s="18">
        <v>0.61</v>
      </c>
      <c r="AQ19" s="18">
        <v>0</v>
      </c>
      <c r="AR19" s="18">
        <v>0</v>
      </c>
      <c r="AS19" s="18">
        <v>24.71</v>
      </c>
      <c r="AT19" s="18">
        <v>43.83</v>
      </c>
      <c r="AU19" s="18">
        <v>0.8</v>
      </c>
      <c r="AV19" s="18">
        <v>9.19</v>
      </c>
      <c r="AW19" s="18">
        <v>0</v>
      </c>
      <c r="AX19" s="18">
        <v>8.3000000000000007</v>
      </c>
      <c r="AY19" s="18">
        <v>0</v>
      </c>
      <c r="AZ19" s="18">
        <v>2.2400000000000002</v>
      </c>
      <c r="BA19" s="18">
        <v>1.03</v>
      </c>
      <c r="BB19" s="18">
        <v>2.46</v>
      </c>
      <c r="BC19" s="18">
        <v>2.58</v>
      </c>
      <c r="BD19" s="18">
        <v>2.2000000000000002</v>
      </c>
      <c r="BE19" s="18">
        <v>0.68</v>
      </c>
      <c r="BF19" s="18">
        <v>0</v>
      </c>
      <c r="BG19" s="18">
        <v>1.73</v>
      </c>
      <c r="BH19" s="18">
        <v>14.23</v>
      </c>
      <c r="BI19" s="18">
        <v>13.9</v>
      </c>
      <c r="BJ19" s="18">
        <v>0</v>
      </c>
      <c r="BK19" s="18">
        <v>0</v>
      </c>
      <c r="BL19" s="18">
        <v>22.29</v>
      </c>
      <c r="BM19" s="18">
        <v>13.59</v>
      </c>
      <c r="BN19" s="18">
        <v>56.04</v>
      </c>
      <c r="BO19" s="18">
        <v>19.38</v>
      </c>
      <c r="BP19" s="18">
        <v>20.53</v>
      </c>
      <c r="BQ19" s="18">
        <v>6.14</v>
      </c>
      <c r="BR19" s="18">
        <v>29.86</v>
      </c>
      <c r="BS19" s="18">
        <v>40.200000000000003</v>
      </c>
      <c r="BT19" s="18">
        <v>38.44</v>
      </c>
      <c r="BU19" s="18">
        <v>49.43</v>
      </c>
      <c r="BV19" s="18">
        <v>13.8</v>
      </c>
      <c r="BW19" s="18">
        <v>26.88</v>
      </c>
      <c r="BX19" s="18">
        <v>7.88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56.5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40.01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647">
        <v>30.17</v>
      </c>
      <c r="DF19" s="18">
        <v>132.5</v>
      </c>
      <c r="DG19" s="18">
        <v>15.86</v>
      </c>
      <c r="DH19" s="18">
        <v>70.27</v>
      </c>
      <c r="DI19" s="337">
        <v>0</v>
      </c>
      <c r="DJ19" s="337">
        <v>44.37</v>
      </c>
      <c r="DK19" s="337">
        <v>133.69</v>
      </c>
      <c r="DL19" s="337">
        <v>0</v>
      </c>
      <c r="DM19" s="337">
        <v>0</v>
      </c>
      <c r="DN19" s="337">
        <v>0</v>
      </c>
      <c r="DO19" s="337">
        <v>0</v>
      </c>
      <c r="DP19" s="337">
        <v>0</v>
      </c>
      <c r="DQ19" s="337">
        <v>0</v>
      </c>
      <c r="DR19" s="337">
        <v>0</v>
      </c>
      <c r="DS19" s="337">
        <v>0</v>
      </c>
      <c r="DT19" s="337">
        <v>0</v>
      </c>
      <c r="DU19" s="337">
        <v>0</v>
      </c>
      <c r="DV19" s="337">
        <v>0</v>
      </c>
      <c r="DW19" s="648">
        <v>4.0999999999999996</v>
      </c>
      <c r="DX19" s="648">
        <v>4.24</v>
      </c>
      <c r="DY19" s="648">
        <v>4.4400000000000004</v>
      </c>
      <c r="DZ19" s="337">
        <v>0</v>
      </c>
      <c r="EA19" s="337">
        <v>0</v>
      </c>
      <c r="EB19" s="337">
        <v>0</v>
      </c>
      <c r="EC19" s="337">
        <v>0</v>
      </c>
      <c r="ED19" s="337">
        <v>0</v>
      </c>
      <c r="EE19" s="337">
        <v>0</v>
      </c>
      <c r="EF19" s="337">
        <v>0</v>
      </c>
      <c r="EG19" s="337">
        <v>0</v>
      </c>
      <c r="EH19" s="648">
        <v>19.239999999999998</v>
      </c>
      <c r="EI19" s="648">
        <v>4.16</v>
      </c>
      <c r="EJ19" s="648">
        <v>5.14</v>
      </c>
      <c r="EK19" s="337">
        <v>0</v>
      </c>
      <c r="EL19" s="337">
        <v>0</v>
      </c>
      <c r="EM19" s="337">
        <v>0</v>
      </c>
      <c r="EN19" s="337">
        <v>0</v>
      </c>
      <c r="EO19" s="337">
        <v>0.3</v>
      </c>
      <c r="EP19" s="337">
        <v>0</v>
      </c>
      <c r="EQ19" s="337">
        <v>0</v>
      </c>
      <c r="ER19" s="337">
        <v>11.76</v>
      </c>
      <c r="ES19" s="337">
        <v>8.4600000000000009</v>
      </c>
      <c r="ET19" s="337">
        <v>9.92</v>
      </c>
      <c r="EU19" s="337">
        <v>0</v>
      </c>
      <c r="EV19" s="337">
        <v>0</v>
      </c>
      <c r="EW19" s="337">
        <v>0</v>
      </c>
      <c r="EX19" s="337">
        <v>0</v>
      </c>
      <c r="EY19" s="337">
        <v>0</v>
      </c>
      <c r="EZ19" s="648">
        <v>1.69</v>
      </c>
      <c r="FA19" s="337">
        <v>92.37</v>
      </c>
      <c r="FB19" s="337">
        <v>-138.69999999999999</v>
      </c>
      <c r="FC19" s="337">
        <v>1899.99</v>
      </c>
      <c r="FD19" s="337">
        <v>1946.32</v>
      </c>
      <c r="FE19" s="19">
        <v>10.3</v>
      </c>
    </row>
    <row r="20" spans="1:161" s="20" customFormat="1" ht="19.5" customHeight="1">
      <c r="A20" s="19">
        <v>10.45</v>
      </c>
      <c r="B20" s="18">
        <v>231.25</v>
      </c>
      <c r="C20" s="18">
        <v>0</v>
      </c>
      <c r="D20" s="18">
        <v>27.24</v>
      </c>
      <c r="E20" s="18">
        <v>0</v>
      </c>
      <c r="F20" s="18">
        <v>4.01</v>
      </c>
      <c r="G20" s="18">
        <v>0</v>
      </c>
      <c r="H20" s="18">
        <v>1.07</v>
      </c>
      <c r="I20" s="18">
        <v>6.12</v>
      </c>
      <c r="J20" s="18">
        <v>16.02</v>
      </c>
      <c r="K20" s="18">
        <v>0</v>
      </c>
      <c r="L20" s="18">
        <v>11.63</v>
      </c>
      <c r="M20" s="18">
        <v>3.21</v>
      </c>
      <c r="N20" s="18">
        <v>1.23</v>
      </c>
      <c r="O20" s="18">
        <v>2.59</v>
      </c>
      <c r="P20" s="18">
        <v>10.29</v>
      </c>
      <c r="Q20" s="18">
        <v>1.85</v>
      </c>
      <c r="R20" s="18">
        <v>56.11</v>
      </c>
      <c r="S20" s="18">
        <v>103.4</v>
      </c>
      <c r="T20" s="18">
        <v>65.459999999999994</v>
      </c>
      <c r="U20" s="18">
        <v>30.84</v>
      </c>
      <c r="V20" s="18">
        <v>3.17</v>
      </c>
      <c r="W20" s="18">
        <v>4.42</v>
      </c>
      <c r="X20" s="18">
        <v>9.6</v>
      </c>
      <c r="Y20" s="18">
        <v>6.51</v>
      </c>
      <c r="Z20" s="18">
        <v>72.400000000000006</v>
      </c>
      <c r="AA20" s="18">
        <v>42.01</v>
      </c>
      <c r="AB20" s="18">
        <v>3.53</v>
      </c>
      <c r="AC20" s="18">
        <v>11.62</v>
      </c>
      <c r="AD20" s="18">
        <v>1.46</v>
      </c>
      <c r="AE20" s="18">
        <v>55.76</v>
      </c>
      <c r="AF20" s="18">
        <v>0</v>
      </c>
      <c r="AG20" s="18">
        <v>1.9</v>
      </c>
      <c r="AH20" s="18">
        <v>2.06</v>
      </c>
      <c r="AI20" s="18">
        <v>0</v>
      </c>
      <c r="AJ20" s="18">
        <v>2.02</v>
      </c>
      <c r="AK20" s="18">
        <v>0.9</v>
      </c>
      <c r="AL20" s="18">
        <v>0</v>
      </c>
      <c r="AM20" s="18">
        <v>2.85</v>
      </c>
      <c r="AN20" s="18">
        <v>0</v>
      </c>
      <c r="AO20" s="18">
        <v>0</v>
      </c>
      <c r="AP20" s="18">
        <v>0.61</v>
      </c>
      <c r="AQ20" s="18">
        <v>0</v>
      </c>
      <c r="AR20" s="18">
        <v>0</v>
      </c>
      <c r="AS20" s="18">
        <v>24.77</v>
      </c>
      <c r="AT20" s="18">
        <v>35.26</v>
      </c>
      <c r="AU20" s="18">
        <v>0.84</v>
      </c>
      <c r="AV20" s="18">
        <v>9.25</v>
      </c>
      <c r="AW20" s="18">
        <v>0</v>
      </c>
      <c r="AX20" s="18">
        <v>8.3000000000000007</v>
      </c>
      <c r="AY20" s="18">
        <v>0</v>
      </c>
      <c r="AZ20" s="18">
        <v>2.23</v>
      </c>
      <c r="BA20" s="18">
        <v>1.01</v>
      </c>
      <c r="BB20" s="18">
        <v>2.46</v>
      </c>
      <c r="BC20" s="18">
        <v>2.59</v>
      </c>
      <c r="BD20" s="18">
        <v>1.17</v>
      </c>
      <c r="BE20" s="18">
        <v>0.68</v>
      </c>
      <c r="BF20" s="18">
        <v>0</v>
      </c>
      <c r="BG20" s="18">
        <v>1.73</v>
      </c>
      <c r="BH20" s="18">
        <v>14.39</v>
      </c>
      <c r="BI20" s="18">
        <v>14</v>
      </c>
      <c r="BJ20" s="18">
        <v>0</v>
      </c>
      <c r="BK20" s="18">
        <v>0</v>
      </c>
      <c r="BL20" s="18">
        <v>17.420000000000002</v>
      </c>
      <c r="BM20" s="18">
        <v>10.52</v>
      </c>
      <c r="BN20" s="18">
        <v>60.94</v>
      </c>
      <c r="BO20" s="18">
        <v>34.26</v>
      </c>
      <c r="BP20" s="18">
        <v>31.74</v>
      </c>
      <c r="BQ20" s="18">
        <v>6.62</v>
      </c>
      <c r="BR20" s="18">
        <v>28.05</v>
      </c>
      <c r="BS20" s="18">
        <v>46.41</v>
      </c>
      <c r="BT20" s="18">
        <v>59.45</v>
      </c>
      <c r="BU20" s="18">
        <v>47.66</v>
      </c>
      <c r="BV20" s="18">
        <v>12.8</v>
      </c>
      <c r="BW20" s="18">
        <v>29.41</v>
      </c>
      <c r="BX20" s="18">
        <v>6.55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57.24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32.01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647">
        <v>30.62</v>
      </c>
      <c r="DF20" s="18">
        <v>133</v>
      </c>
      <c r="DG20" s="18">
        <v>15.28</v>
      </c>
      <c r="DH20" s="18">
        <v>70.930000000000007</v>
      </c>
      <c r="DI20" s="337">
        <v>0</v>
      </c>
      <c r="DJ20" s="337">
        <v>44.22</v>
      </c>
      <c r="DK20" s="337">
        <v>133.69</v>
      </c>
      <c r="DL20" s="337">
        <v>0</v>
      </c>
      <c r="DM20" s="337">
        <v>0</v>
      </c>
      <c r="DN20" s="337">
        <v>0</v>
      </c>
      <c r="DO20" s="337">
        <v>0</v>
      </c>
      <c r="DP20" s="337">
        <v>0</v>
      </c>
      <c r="DQ20" s="337">
        <v>0</v>
      </c>
      <c r="DR20" s="337">
        <v>0</v>
      </c>
      <c r="DS20" s="337">
        <v>0</v>
      </c>
      <c r="DT20" s="337">
        <v>0</v>
      </c>
      <c r="DU20" s="337">
        <v>0</v>
      </c>
      <c r="DV20" s="337">
        <v>0</v>
      </c>
      <c r="DW20" s="648">
        <v>4.08</v>
      </c>
      <c r="DX20" s="648">
        <v>4.2</v>
      </c>
      <c r="DY20" s="648">
        <v>4.45</v>
      </c>
      <c r="DZ20" s="337">
        <v>0</v>
      </c>
      <c r="EA20" s="337">
        <v>0</v>
      </c>
      <c r="EB20" s="337">
        <v>0</v>
      </c>
      <c r="EC20" s="337">
        <v>0</v>
      </c>
      <c r="ED20" s="337">
        <v>0</v>
      </c>
      <c r="EE20" s="337">
        <v>0</v>
      </c>
      <c r="EF20" s="337">
        <v>0</v>
      </c>
      <c r="EG20" s="337">
        <v>0</v>
      </c>
      <c r="EH20" s="648">
        <v>19.34</v>
      </c>
      <c r="EI20" s="648">
        <v>4.57</v>
      </c>
      <c r="EJ20" s="648">
        <v>5.37</v>
      </c>
      <c r="EK20" s="337">
        <v>0</v>
      </c>
      <c r="EL20" s="337">
        <v>0</v>
      </c>
      <c r="EM20" s="337">
        <v>0</v>
      </c>
      <c r="EN20" s="337">
        <v>0</v>
      </c>
      <c r="EO20" s="337">
        <v>0.28000000000000003</v>
      </c>
      <c r="EP20" s="337">
        <v>0</v>
      </c>
      <c r="EQ20" s="337">
        <v>0</v>
      </c>
      <c r="ER20" s="337">
        <v>11.75</v>
      </c>
      <c r="ES20" s="337">
        <v>8.4499999999999993</v>
      </c>
      <c r="ET20" s="337">
        <v>11.28</v>
      </c>
      <c r="EU20" s="337">
        <v>0</v>
      </c>
      <c r="EV20" s="337">
        <v>0</v>
      </c>
      <c r="EW20" s="337">
        <v>0</v>
      </c>
      <c r="EX20" s="337">
        <v>0</v>
      </c>
      <c r="EY20" s="337">
        <v>0</v>
      </c>
      <c r="EZ20" s="648">
        <v>0</v>
      </c>
      <c r="FA20" s="337">
        <v>90.96</v>
      </c>
      <c r="FB20" s="337">
        <v>-139.80000000000001</v>
      </c>
      <c r="FC20" s="337">
        <v>1894.41</v>
      </c>
      <c r="FD20" s="337">
        <v>1943.25</v>
      </c>
      <c r="FE20" s="19">
        <v>10.45</v>
      </c>
    </row>
    <row r="21" spans="1:161" s="20" customFormat="1" ht="19.5" customHeight="1">
      <c r="A21" s="19">
        <v>11</v>
      </c>
      <c r="B21" s="18">
        <v>227.26</v>
      </c>
      <c r="C21" s="18">
        <v>0</v>
      </c>
      <c r="D21" s="18">
        <v>27.22</v>
      </c>
      <c r="E21" s="18">
        <v>0</v>
      </c>
      <c r="F21" s="18">
        <v>4.01</v>
      </c>
      <c r="G21" s="18">
        <v>0</v>
      </c>
      <c r="H21" s="18">
        <v>1.05</v>
      </c>
      <c r="I21" s="18">
        <v>6.03</v>
      </c>
      <c r="J21" s="18">
        <v>15.88</v>
      </c>
      <c r="K21" s="18">
        <v>0</v>
      </c>
      <c r="L21" s="18">
        <v>11.56</v>
      </c>
      <c r="M21" s="18">
        <v>3.17</v>
      </c>
      <c r="N21" s="18">
        <v>1.23</v>
      </c>
      <c r="O21" s="18">
        <v>2.6</v>
      </c>
      <c r="P21" s="18">
        <v>10.42</v>
      </c>
      <c r="Q21" s="18">
        <v>1.86</v>
      </c>
      <c r="R21" s="18">
        <v>56.04</v>
      </c>
      <c r="S21" s="18">
        <v>103.38</v>
      </c>
      <c r="T21" s="18">
        <v>66.19</v>
      </c>
      <c r="U21" s="18">
        <v>30.31</v>
      </c>
      <c r="V21" s="18">
        <v>3.17</v>
      </c>
      <c r="W21" s="18">
        <v>4.3600000000000003</v>
      </c>
      <c r="X21" s="18">
        <v>5.88</v>
      </c>
      <c r="Y21" s="18">
        <v>6.74</v>
      </c>
      <c r="Z21" s="18">
        <v>71.599999999999994</v>
      </c>
      <c r="AA21" s="18">
        <v>40.53</v>
      </c>
      <c r="AB21" s="18">
        <v>3.52</v>
      </c>
      <c r="AC21" s="18">
        <v>13.43</v>
      </c>
      <c r="AD21" s="18">
        <v>4.55</v>
      </c>
      <c r="AE21" s="18">
        <v>59.6</v>
      </c>
      <c r="AF21" s="18">
        <v>0</v>
      </c>
      <c r="AG21" s="18">
        <v>2</v>
      </c>
      <c r="AH21" s="18">
        <v>2.0299999999999998</v>
      </c>
      <c r="AI21" s="18">
        <v>0</v>
      </c>
      <c r="AJ21" s="18">
        <v>2.0299999999999998</v>
      </c>
      <c r="AK21" s="18">
        <v>0.66</v>
      </c>
      <c r="AL21" s="18">
        <v>0</v>
      </c>
      <c r="AM21" s="18">
        <v>2.89</v>
      </c>
      <c r="AN21" s="18">
        <v>0</v>
      </c>
      <c r="AO21" s="18">
        <v>0</v>
      </c>
      <c r="AP21" s="18">
        <v>0.62</v>
      </c>
      <c r="AQ21" s="18">
        <v>0</v>
      </c>
      <c r="AR21" s="18">
        <v>0</v>
      </c>
      <c r="AS21" s="18">
        <v>24.76</v>
      </c>
      <c r="AT21" s="18">
        <v>35.32</v>
      </c>
      <c r="AU21" s="18">
        <v>0.88</v>
      </c>
      <c r="AV21" s="18">
        <v>9.19</v>
      </c>
      <c r="AW21" s="18">
        <v>0</v>
      </c>
      <c r="AX21" s="18">
        <v>8.4</v>
      </c>
      <c r="AY21" s="18">
        <v>0</v>
      </c>
      <c r="AZ21" s="18">
        <v>2.0299999999999998</v>
      </c>
      <c r="BA21" s="18">
        <v>1.01</v>
      </c>
      <c r="BB21" s="18">
        <v>2.46</v>
      </c>
      <c r="BC21" s="18">
        <v>2.57</v>
      </c>
      <c r="BD21" s="18">
        <v>2.2000000000000002</v>
      </c>
      <c r="BE21" s="18">
        <v>0.68</v>
      </c>
      <c r="BF21" s="18">
        <v>0</v>
      </c>
      <c r="BG21" s="18">
        <v>1.73</v>
      </c>
      <c r="BH21" s="18">
        <v>14.46</v>
      </c>
      <c r="BI21" s="18">
        <v>14.1</v>
      </c>
      <c r="BJ21" s="18">
        <v>0</v>
      </c>
      <c r="BK21" s="18">
        <v>0</v>
      </c>
      <c r="BL21" s="18">
        <v>8.7200000000000006</v>
      </c>
      <c r="BM21" s="18">
        <v>5.18</v>
      </c>
      <c r="BN21" s="18">
        <v>41</v>
      </c>
      <c r="BO21" s="18">
        <v>44.39</v>
      </c>
      <c r="BP21" s="18">
        <v>50.87</v>
      </c>
      <c r="BQ21" s="18">
        <v>8.81</v>
      </c>
      <c r="BR21" s="18">
        <v>44.86</v>
      </c>
      <c r="BS21" s="18">
        <v>38.32</v>
      </c>
      <c r="BT21" s="18">
        <v>81.040000000000006</v>
      </c>
      <c r="BU21" s="18">
        <v>46.43</v>
      </c>
      <c r="BV21" s="18">
        <v>11</v>
      </c>
      <c r="BW21" s="18">
        <v>30.95</v>
      </c>
      <c r="BX21" s="18">
        <v>6.72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45.37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26.01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647">
        <v>29.91</v>
      </c>
      <c r="DF21" s="18">
        <v>132.19999999999999</v>
      </c>
      <c r="DG21" s="18">
        <v>13.45</v>
      </c>
      <c r="DH21" s="18">
        <v>66.5</v>
      </c>
      <c r="DI21" s="337">
        <v>0</v>
      </c>
      <c r="DJ21" s="337">
        <v>41.35</v>
      </c>
      <c r="DK21" s="337">
        <v>134.5</v>
      </c>
      <c r="DL21" s="337">
        <v>0</v>
      </c>
      <c r="DM21" s="337">
        <v>0</v>
      </c>
      <c r="DN21" s="337">
        <v>0</v>
      </c>
      <c r="DO21" s="337">
        <v>0</v>
      </c>
      <c r="DP21" s="337">
        <v>0</v>
      </c>
      <c r="DQ21" s="337">
        <v>0</v>
      </c>
      <c r="DR21" s="337">
        <v>0</v>
      </c>
      <c r="DS21" s="337">
        <v>0</v>
      </c>
      <c r="DT21" s="337">
        <v>0</v>
      </c>
      <c r="DU21" s="337">
        <v>0</v>
      </c>
      <c r="DV21" s="337">
        <v>0</v>
      </c>
      <c r="DW21" s="648">
        <v>4.08</v>
      </c>
      <c r="DX21" s="648">
        <v>4.29</v>
      </c>
      <c r="DY21" s="648">
        <v>4.41</v>
      </c>
      <c r="DZ21" s="337">
        <v>0</v>
      </c>
      <c r="EA21" s="337">
        <v>0</v>
      </c>
      <c r="EB21" s="337">
        <v>0</v>
      </c>
      <c r="EC21" s="337">
        <v>0</v>
      </c>
      <c r="ED21" s="337">
        <v>0</v>
      </c>
      <c r="EE21" s="337">
        <v>0</v>
      </c>
      <c r="EF21" s="337">
        <v>0</v>
      </c>
      <c r="EG21" s="337">
        <v>0</v>
      </c>
      <c r="EH21" s="648">
        <v>19.09</v>
      </c>
      <c r="EI21" s="648">
        <v>4.4800000000000004</v>
      </c>
      <c r="EJ21" s="648">
        <v>5.14</v>
      </c>
      <c r="EK21" s="337">
        <v>0</v>
      </c>
      <c r="EL21" s="337">
        <v>0</v>
      </c>
      <c r="EM21" s="337">
        <v>0</v>
      </c>
      <c r="EN21" s="337">
        <v>0</v>
      </c>
      <c r="EO21" s="337">
        <v>0.37</v>
      </c>
      <c r="EP21" s="337">
        <v>0</v>
      </c>
      <c r="EQ21" s="337">
        <v>0</v>
      </c>
      <c r="ER21" s="337">
        <v>11.74</v>
      </c>
      <c r="ES21" s="337">
        <v>8.4600000000000009</v>
      </c>
      <c r="ET21" s="337">
        <v>12.73</v>
      </c>
      <c r="EU21" s="337">
        <v>0</v>
      </c>
      <c r="EV21" s="337">
        <v>0</v>
      </c>
      <c r="EW21" s="337">
        <v>0</v>
      </c>
      <c r="EX21" s="337">
        <v>0</v>
      </c>
      <c r="EY21" s="337">
        <v>0</v>
      </c>
      <c r="EZ21" s="648">
        <v>0</v>
      </c>
      <c r="FA21" s="337">
        <v>71.459999999999994</v>
      </c>
      <c r="FB21" s="337">
        <v>-100.7</v>
      </c>
      <c r="FC21" s="337">
        <v>1893.98</v>
      </c>
      <c r="FD21" s="337">
        <v>1923.22</v>
      </c>
      <c r="FE21" s="19">
        <v>11</v>
      </c>
    </row>
    <row r="22" spans="1:161" s="20" customFormat="1" ht="19.5" customHeight="1">
      <c r="A22" s="19">
        <v>11.15</v>
      </c>
      <c r="B22" s="18">
        <v>268.19</v>
      </c>
      <c r="C22" s="18">
        <v>0</v>
      </c>
      <c r="D22" s="18">
        <v>27.19</v>
      </c>
      <c r="E22" s="18">
        <v>0</v>
      </c>
      <c r="F22" s="18">
        <v>4.0199999999999996</v>
      </c>
      <c r="G22" s="18">
        <v>0</v>
      </c>
      <c r="H22" s="18">
        <v>1.05</v>
      </c>
      <c r="I22" s="18">
        <v>6.04</v>
      </c>
      <c r="J22" s="18">
        <v>15.81</v>
      </c>
      <c r="K22" s="18">
        <v>0</v>
      </c>
      <c r="L22" s="18">
        <v>11.55</v>
      </c>
      <c r="M22" s="18">
        <v>3.21</v>
      </c>
      <c r="N22" s="18">
        <v>1.48</v>
      </c>
      <c r="O22" s="18">
        <v>2.68</v>
      </c>
      <c r="P22" s="18">
        <v>10.26</v>
      </c>
      <c r="Q22" s="18">
        <v>2.06</v>
      </c>
      <c r="R22" s="18">
        <v>56.13</v>
      </c>
      <c r="S22" s="18">
        <v>103.25</v>
      </c>
      <c r="T22" s="18">
        <v>66.150000000000006</v>
      </c>
      <c r="U22" s="18">
        <v>38.450000000000003</v>
      </c>
      <c r="V22" s="18">
        <v>3.16</v>
      </c>
      <c r="W22" s="18">
        <v>4.42</v>
      </c>
      <c r="X22" s="18">
        <v>7.84</v>
      </c>
      <c r="Y22" s="18">
        <v>6.76</v>
      </c>
      <c r="Z22" s="18">
        <v>72.94</v>
      </c>
      <c r="AA22" s="18">
        <v>49.06</v>
      </c>
      <c r="AB22" s="18">
        <v>3.52</v>
      </c>
      <c r="AC22" s="18">
        <v>14.06</v>
      </c>
      <c r="AD22" s="18">
        <v>7.37</v>
      </c>
      <c r="AE22" s="18">
        <v>63.24</v>
      </c>
      <c r="AF22" s="18">
        <v>0</v>
      </c>
      <c r="AG22" s="18">
        <v>1.87</v>
      </c>
      <c r="AH22" s="18">
        <v>2.06</v>
      </c>
      <c r="AI22" s="18">
        <v>0</v>
      </c>
      <c r="AJ22" s="18">
        <v>2.02</v>
      </c>
      <c r="AK22" s="18">
        <v>1.02</v>
      </c>
      <c r="AL22" s="18">
        <v>0</v>
      </c>
      <c r="AM22" s="18">
        <v>2.98</v>
      </c>
      <c r="AN22" s="18">
        <v>0</v>
      </c>
      <c r="AO22" s="18">
        <v>0</v>
      </c>
      <c r="AP22" s="18">
        <v>0.61</v>
      </c>
      <c r="AQ22" s="18">
        <v>0</v>
      </c>
      <c r="AR22" s="18">
        <v>0</v>
      </c>
      <c r="AS22" s="18">
        <v>24.8</v>
      </c>
      <c r="AT22" s="18">
        <v>44.64</v>
      </c>
      <c r="AU22" s="18">
        <v>0.89</v>
      </c>
      <c r="AV22" s="18">
        <v>9.2100000000000009</v>
      </c>
      <c r="AW22" s="18">
        <v>0</v>
      </c>
      <c r="AX22" s="18">
        <v>8.3000000000000007</v>
      </c>
      <c r="AY22" s="18">
        <v>0</v>
      </c>
      <c r="AZ22" s="18">
        <v>2.27</v>
      </c>
      <c r="BA22" s="18">
        <v>1.01</v>
      </c>
      <c r="BB22" s="18">
        <v>2.46</v>
      </c>
      <c r="BC22" s="18">
        <v>2.56</v>
      </c>
      <c r="BD22" s="18">
        <v>2.2000000000000002</v>
      </c>
      <c r="BE22" s="18">
        <v>0.68</v>
      </c>
      <c r="BF22" s="18">
        <v>0</v>
      </c>
      <c r="BG22" s="18">
        <v>1.73</v>
      </c>
      <c r="BH22" s="18">
        <v>14.79</v>
      </c>
      <c r="BI22" s="18">
        <v>14.5</v>
      </c>
      <c r="BJ22" s="18">
        <v>0</v>
      </c>
      <c r="BK22" s="18">
        <v>0</v>
      </c>
      <c r="BL22" s="18">
        <v>10.79</v>
      </c>
      <c r="BM22" s="18">
        <v>6.85</v>
      </c>
      <c r="BN22" s="18">
        <v>43.2</v>
      </c>
      <c r="BO22" s="18">
        <v>49.09</v>
      </c>
      <c r="BP22" s="18">
        <v>53.54</v>
      </c>
      <c r="BQ22" s="18">
        <v>6.85</v>
      </c>
      <c r="BR22" s="18">
        <v>30.99</v>
      </c>
      <c r="BS22" s="18">
        <v>39.32</v>
      </c>
      <c r="BT22" s="18">
        <v>44.04</v>
      </c>
      <c r="BU22" s="18">
        <v>49.56</v>
      </c>
      <c r="BV22" s="18">
        <v>11.8</v>
      </c>
      <c r="BW22" s="18">
        <v>31.08</v>
      </c>
      <c r="BX22" s="18">
        <v>5.63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646">
        <v>37.340000000000003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646">
        <v>22.01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646">
        <v>29.89</v>
      </c>
      <c r="DF22" s="18">
        <v>132.1</v>
      </c>
      <c r="DG22" s="646">
        <v>12.06</v>
      </c>
      <c r="DH22" s="647">
        <v>56.78</v>
      </c>
      <c r="DI22" s="337">
        <v>0</v>
      </c>
      <c r="DJ22" s="648">
        <v>41.15</v>
      </c>
      <c r="DK22" s="337">
        <v>134.61000000000001</v>
      </c>
      <c r="DL22" s="337">
        <v>0</v>
      </c>
      <c r="DM22" s="337">
        <v>0</v>
      </c>
      <c r="DN22" s="337">
        <v>0</v>
      </c>
      <c r="DO22" s="337">
        <v>0</v>
      </c>
      <c r="DP22" s="337">
        <v>0</v>
      </c>
      <c r="DQ22" s="337">
        <v>0</v>
      </c>
      <c r="DR22" s="337">
        <v>0</v>
      </c>
      <c r="DS22" s="337">
        <v>0</v>
      </c>
      <c r="DT22" s="337">
        <v>0</v>
      </c>
      <c r="DU22" s="337">
        <v>0</v>
      </c>
      <c r="DV22" s="337">
        <v>0</v>
      </c>
      <c r="DW22" s="648">
        <v>4.4000000000000004</v>
      </c>
      <c r="DX22" s="648">
        <v>4.32</v>
      </c>
      <c r="DY22" s="648">
        <v>4.45</v>
      </c>
      <c r="DZ22" s="337">
        <v>0</v>
      </c>
      <c r="EA22" s="337">
        <v>0</v>
      </c>
      <c r="EB22" s="337">
        <v>0</v>
      </c>
      <c r="EC22" s="337">
        <v>0</v>
      </c>
      <c r="ED22" s="337">
        <v>0</v>
      </c>
      <c r="EE22" s="337">
        <v>0</v>
      </c>
      <c r="EF22" s="337">
        <v>0</v>
      </c>
      <c r="EG22" s="337">
        <v>0</v>
      </c>
      <c r="EH22" s="648">
        <v>29.3</v>
      </c>
      <c r="EI22" s="648">
        <v>4.32</v>
      </c>
      <c r="EJ22" s="648">
        <v>5.41</v>
      </c>
      <c r="EK22" s="337">
        <v>0</v>
      </c>
      <c r="EL22" s="337">
        <v>0</v>
      </c>
      <c r="EM22" s="337">
        <v>0</v>
      </c>
      <c r="EN22" s="337">
        <v>0</v>
      </c>
      <c r="EO22" s="337">
        <v>0.45</v>
      </c>
      <c r="EP22" s="337">
        <v>0</v>
      </c>
      <c r="EQ22" s="337">
        <v>0</v>
      </c>
      <c r="ER22" s="337">
        <v>11.71</v>
      </c>
      <c r="ES22" s="337">
        <v>8.4499999999999993</v>
      </c>
      <c r="ET22" s="337">
        <v>12.76</v>
      </c>
      <c r="EU22" s="337">
        <v>0</v>
      </c>
      <c r="EV22" s="337">
        <v>0</v>
      </c>
      <c r="EW22" s="337">
        <v>0</v>
      </c>
      <c r="EX22" s="337">
        <v>0</v>
      </c>
      <c r="EY22" s="337">
        <v>0</v>
      </c>
      <c r="EZ22" s="337">
        <v>0</v>
      </c>
      <c r="FA22" s="337">
        <v>59.3</v>
      </c>
      <c r="FB22" s="337">
        <v>-102.4</v>
      </c>
      <c r="FC22" s="337">
        <v>1924.74</v>
      </c>
      <c r="FD22" s="337">
        <v>1967.84</v>
      </c>
      <c r="FE22" s="19">
        <v>11.15</v>
      </c>
    </row>
    <row r="23" spans="1:161" s="20" customFormat="1" ht="19.5" customHeight="1">
      <c r="A23" s="19">
        <v>11.3</v>
      </c>
      <c r="B23" s="18">
        <v>265.52</v>
      </c>
      <c r="C23" s="18">
        <v>0</v>
      </c>
      <c r="D23" s="18">
        <v>27.81</v>
      </c>
      <c r="E23" s="18">
        <v>0</v>
      </c>
      <c r="F23" s="18">
        <v>4.01</v>
      </c>
      <c r="G23" s="18">
        <v>0</v>
      </c>
      <c r="H23" s="18">
        <v>1.04</v>
      </c>
      <c r="I23" s="18">
        <v>6.05</v>
      </c>
      <c r="J23" s="18">
        <v>15.92</v>
      </c>
      <c r="K23" s="18">
        <v>0</v>
      </c>
      <c r="L23" s="18">
        <v>11.56</v>
      </c>
      <c r="M23" s="18">
        <v>3.21</v>
      </c>
      <c r="N23" s="18">
        <v>1.53</v>
      </c>
      <c r="O23" s="18">
        <v>2.74</v>
      </c>
      <c r="P23" s="18">
        <v>10.26</v>
      </c>
      <c r="Q23" s="18">
        <v>1.84</v>
      </c>
      <c r="R23" s="18">
        <v>56.04</v>
      </c>
      <c r="S23" s="18">
        <v>103.12</v>
      </c>
      <c r="T23" s="18">
        <v>66.59</v>
      </c>
      <c r="U23" s="18">
        <v>31.61</v>
      </c>
      <c r="V23" s="18">
        <v>3.17</v>
      </c>
      <c r="W23" s="18">
        <v>4.38</v>
      </c>
      <c r="X23" s="18">
        <v>7.78</v>
      </c>
      <c r="Y23" s="18">
        <v>6.79</v>
      </c>
      <c r="Z23" s="18">
        <v>56.74</v>
      </c>
      <c r="AA23" s="18">
        <v>43.03</v>
      </c>
      <c r="AB23" s="18">
        <v>3.51</v>
      </c>
      <c r="AC23" s="18">
        <v>11.31</v>
      </c>
      <c r="AD23" s="18">
        <v>7.29</v>
      </c>
      <c r="AE23" s="18">
        <v>63.17</v>
      </c>
      <c r="AF23" s="18">
        <v>0</v>
      </c>
      <c r="AG23" s="18">
        <v>1.9</v>
      </c>
      <c r="AH23" s="18">
        <v>2.2799999999999998</v>
      </c>
      <c r="AI23" s="18">
        <v>0</v>
      </c>
      <c r="AJ23" s="18">
        <v>2.02</v>
      </c>
      <c r="AK23" s="18">
        <v>1.02</v>
      </c>
      <c r="AL23" s="18">
        <v>0</v>
      </c>
      <c r="AM23" s="18">
        <v>3.01</v>
      </c>
      <c r="AN23" s="18">
        <v>0</v>
      </c>
      <c r="AO23" s="18">
        <v>0</v>
      </c>
      <c r="AP23" s="18">
        <v>0.64</v>
      </c>
      <c r="AQ23" s="18">
        <v>0</v>
      </c>
      <c r="AR23" s="18">
        <v>0</v>
      </c>
      <c r="AS23" s="18">
        <v>24.8</v>
      </c>
      <c r="AT23" s="18">
        <v>36.76</v>
      </c>
      <c r="AU23" s="18">
        <v>0.9</v>
      </c>
      <c r="AV23" s="18">
        <v>9.2100000000000009</v>
      </c>
      <c r="AW23" s="18">
        <v>0</v>
      </c>
      <c r="AX23" s="18">
        <v>8.3000000000000007</v>
      </c>
      <c r="AY23" s="18">
        <v>0</v>
      </c>
      <c r="AZ23" s="18">
        <v>2.72</v>
      </c>
      <c r="BA23" s="18">
        <v>1.01</v>
      </c>
      <c r="BB23" s="18">
        <v>2.46</v>
      </c>
      <c r="BC23" s="18">
        <v>2.57</v>
      </c>
      <c r="BD23" s="18">
        <v>2.2000000000000002</v>
      </c>
      <c r="BE23" s="18">
        <v>0.68</v>
      </c>
      <c r="BF23" s="18">
        <v>0.67</v>
      </c>
      <c r="BG23" s="18">
        <v>1.72</v>
      </c>
      <c r="BH23" s="18">
        <v>14.01</v>
      </c>
      <c r="BI23" s="18">
        <v>14.3</v>
      </c>
      <c r="BJ23" s="18">
        <v>0</v>
      </c>
      <c r="BK23" s="18">
        <v>0</v>
      </c>
      <c r="BL23" s="18">
        <v>12.12</v>
      </c>
      <c r="BM23" s="18">
        <v>7.96</v>
      </c>
      <c r="BN23" s="18">
        <v>44.99</v>
      </c>
      <c r="BO23" s="18">
        <v>42.69</v>
      </c>
      <c r="BP23" s="18">
        <v>63.64</v>
      </c>
      <c r="BQ23" s="18">
        <v>11.67</v>
      </c>
      <c r="BR23" s="18">
        <v>45.45</v>
      </c>
      <c r="BS23" s="18">
        <v>37.159999999999997</v>
      </c>
      <c r="BT23" s="18">
        <v>98.95</v>
      </c>
      <c r="BU23" s="18">
        <v>43.16</v>
      </c>
      <c r="BV23" s="18">
        <v>10.8</v>
      </c>
      <c r="BW23" s="18">
        <v>29.34</v>
      </c>
      <c r="BX23" s="18">
        <v>5.04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646">
        <v>30.01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646">
        <v>22.01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646">
        <v>29.86</v>
      </c>
      <c r="DF23" s="18">
        <v>131.5</v>
      </c>
      <c r="DG23" s="646">
        <v>9.98</v>
      </c>
      <c r="DH23" s="647">
        <v>57.8</v>
      </c>
      <c r="DI23" s="337">
        <v>0</v>
      </c>
      <c r="DJ23" s="648">
        <v>37.270000000000003</v>
      </c>
      <c r="DK23" s="337">
        <v>131</v>
      </c>
      <c r="DL23" s="337">
        <v>0</v>
      </c>
      <c r="DM23" s="337">
        <v>0</v>
      </c>
      <c r="DN23" s="337">
        <v>0</v>
      </c>
      <c r="DO23" s="337">
        <v>0</v>
      </c>
      <c r="DP23" s="337">
        <v>0</v>
      </c>
      <c r="DQ23" s="337">
        <v>0</v>
      </c>
      <c r="DR23" s="337">
        <v>0</v>
      </c>
      <c r="DS23" s="337">
        <v>0</v>
      </c>
      <c r="DT23" s="337">
        <v>0</v>
      </c>
      <c r="DU23" s="337">
        <v>0</v>
      </c>
      <c r="DV23" s="337">
        <v>0</v>
      </c>
      <c r="DW23" s="648">
        <v>4.3499999999999996</v>
      </c>
      <c r="DX23" s="648">
        <v>4.4400000000000004</v>
      </c>
      <c r="DY23" s="648">
        <v>4.46</v>
      </c>
      <c r="DZ23" s="337">
        <v>0</v>
      </c>
      <c r="EA23" s="337">
        <v>0</v>
      </c>
      <c r="EB23" s="337">
        <v>0</v>
      </c>
      <c r="EC23" s="337">
        <v>0</v>
      </c>
      <c r="ED23" s="337">
        <v>0</v>
      </c>
      <c r="EE23" s="337">
        <v>0</v>
      </c>
      <c r="EF23" s="337">
        <v>0</v>
      </c>
      <c r="EG23" s="337">
        <v>0</v>
      </c>
      <c r="EH23" s="648">
        <v>29.06</v>
      </c>
      <c r="EI23" s="648">
        <v>3.81</v>
      </c>
      <c r="EJ23" s="648">
        <v>5.37</v>
      </c>
      <c r="EK23" s="337">
        <v>0</v>
      </c>
      <c r="EL23" s="337">
        <v>0</v>
      </c>
      <c r="EM23" s="337">
        <v>0</v>
      </c>
      <c r="EN23" s="337">
        <v>0</v>
      </c>
      <c r="EO23" s="337">
        <v>0.47</v>
      </c>
      <c r="EP23" s="337">
        <v>0</v>
      </c>
      <c r="EQ23" s="337">
        <v>0</v>
      </c>
      <c r="ER23" s="337">
        <v>8.36</v>
      </c>
      <c r="ES23" s="337">
        <v>8.4600000000000009</v>
      </c>
      <c r="ET23" s="337">
        <v>12.92</v>
      </c>
      <c r="EU23" s="337">
        <v>0</v>
      </c>
      <c r="EV23" s="337">
        <v>0</v>
      </c>
      <c r="EW23" s="337">
        <v>0</v>
      </c>
      <c r="EX23" s="337">
        <v>0</v>
      </c>
      <c r="EY23" s="337">
        <v>0</v>
      </c>
      <c r="EZ23" s="337">
        <v>0</v>
      </c>
      <c r="FA23" s="337">
        <v>77.75</v>
      </c>
      <c r="FB23" s="337">
        <v>-124.1</v>
      </c>
      <c r="FC23" s="337">
        <v>1933.3</v>
      </c>
      <c r="FD23" s="337">
        <v>1979.65</v>
      </c>
      <c r="FE23" s="19">
        <v>11.3</v>
      </c>
    </row>
    <row r="24" spans="1:161" s="20" customFormat="1" ht="19.5" customHeight="1">
      <c r="A24" s="19">
        <v>11.45</v>
      </c>
      <c r="B24" s="18">
        <v>271.83999999999997</v>
      </c>
      <c r="C24" s="18">
        <v>0</v>
      </c>
      <c r="D24" s="18">
        <v>27.33</v>
      </c>
      <c r="E24" s="18">
        <v>0</v>
      </c>
      <c r="F24" s="18">
        <v>4</v>
      </c>
      <c r="G24" s="18">
        <v>0</v>
      </c>
      <c r="H24" s="18">
        <v>1.06</v>
      </c>
      <c r="I24" s="18">
        <v>6.06</v>
      </c>
      <c r="J24" s="18">
        <v>15.9</v>
      </c>
      <c r="K24" s="18">
        <v>0</v>
      </c>
      <c r="L24" s="18">
        <v>11.56</v>
      </c>
      <c r="M24" s="18">
        <v>3.16</v>
      </c>
      <c r="N24" s="18">
        <v>4.07</v>
      </c>
      <c r="O24" s="18">
        <v>2.72</v>
      </c>
      <c r="P24" s="18">
        <v>9.85</v>
      </c>
      <c r="Q24" s="18">
        <v>1.85</v>
      </c>
      <c r="R24" s="18">
        <v>56.14</v>
      </c>
      <c r="S24" s="18">
        <v>103.1</v>
      </c>
      <c r="T24" s="18">
        <v>65.66</v>
      </c>
      <c r="U24" s="18">
        <v>44.74</v>
      </c>
      <c r="V24" s="18">
        <v>3.16</v>
      </c>
      <c r="W24" s="18">
        <v>4.3899999999999997</v>
      </c>
      <c r="X24" s="18">
        <v>9.77</v>
      </c>
      <c r="Y24" s="18">
        <v>6.77</v>
      </c>
      <c r="Z24" s="18">
        <v>87.98</v>
      </c>
      <c r="AA24" s="18">
        <v>53.81</v>
      </c>
      <c r="AB24" s="18">
        <v>3.52</v>
      </c>
      <c r="AC24" s="18">
        <v>13.19</v>
      </c>
      <c r="AD24" s="18">
        <v>7.39</v>
      </c>
      <c r="AE24" s="18">
        <v>63.21</v>
      </c>
      <c r="AF24" s="18">
        <v>0</v>
      </c>
      <c r="AG24" s="18">
        <v>2</v>
      </c>
      <c r="AH24" s="18">
        <v>2.04</v>
      </c>
      <c r="AI24" s="18">
        <v>0</v>
      </c>
      <c r="AJ24" s="18">
        <v>2.02</v>
      </c>
      <c r="AK24" s="18">
        <v>1.02</v>
      </c>
      <c r="AL24" s="18">
        <v>0</v>
      </c>
      <c r="AM24" s="18">
        <v>3.16</v>
      </c>
      <c r="AN24" s="18">
        <v>0</v>
      </c>
      <c r="AO24" s="18">
        <v>0</v>
      </c>
      <c r="AP24" s="18">
        <v>0.63</v>
      </c>
      <c r="AQ24" s="18">
        <v>0</v>
      </c>
      <c r="AR24" s="18">
        <v>0</v>
      </c>
      <c r="AS24" s="18">
        <v>24.8</v>
      </c>
      <c r="AT24" s="18">
        <v>51.66</v>
      </c>
      <c r="AU24" s="18">
        <v>0.93</v>
      </c>
      <c r="AV24" s="18">
        <v>9.2100000000000009</v>
      </c>
      <c r="AW24" s="18">
        <v>0</v>
      </c>
      <c r="AX24" s="18">
        <v>8.3000000000000007</v>
      </c>
      <c r="AY24" s="18">
        <v>0</v>
      </c>
      <c r="AZ24" s="18">
        <v>2.64</v>
      </c>
      <c r="BA24" s="18">
        <v>1.01</v>
      </c>
      <c r="BB24" s="18">
        <v>2.46</v>
      </c>
      <c r="BC24" s="18">
        <v>2.58</v>
      </c>
      <c r="BD24" s="18">
        <v>2.2000000000000002</v>
      </c>
      <c r="BE24" s="18">
        <v>0.68</v>
      </c>
      <c r="BF24" s="18">
        <v>0.67</v>
      </c>
      <c r="BG24" s="18">
        <v>1.73</v>
      </c>
      <c r="BH24" s="18">
        <v>14.42</v>
      </c>
      <c r="BI24" s="18">
        <v>14.4</v>
      </c>
      <c r="BJ24" s="18">
        <v>0</v>
      </c>
      <c r="BK24" s="18">
        <v>0</v>
      </c>
      <c r="BL24" s="18">
        <v>19.28</v>
      </c>
      <c r="BM24" s="18">
        <v>12.32</v>
      </c>
      <c r="BN24" s="18">
        <v>41.22</v>
      </c>
      <c r="BO24" s="18">
        <v>38.619999999999997</v>
      </c>
      <c r="BP24" s="18">
        <v>73.489999999999995</v>
      </c>
      <c r="BQ24" s="18">
        <v>8.85</v>
      </c>
      <c r="BR24" s="18">
        <v>36.369999999999997</v>
      </c>
      <c r="BS24" s="18">
        <v>47.4</v>
      </c>
      <c r="BT24" s="18">
        <v>68.06</v>
      </c>
      <c r="BU24" s="18">
        <v>34.35</v>
      </c>
      <c r="BV24" s="18">
        <v>7.2</v>
      </c>
      <c r="BW24" s="18">
        <v>29</v>
      </c>
      <c r="BX24" s="18">
        <v>3.84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646">
        <v>30.4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646">
        <v>22.01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646">
        <v>30.27</v>
      </c>
      <c r="DF24" s="18">
        <v>128.4</v>
      </c>
      <c r="DG24" s="646">
        <v>10.58</v>
      </c>
      <c r="DH24" s="647">
        <v>58.07</v>
      </c>
      <c r="DI24" s="337">
        <v>0</v>
      </c>
      <c r="DJ24" s="648">
        <v>33.1</v>
      </c>
      <c r="DK24" s="337">
        <v>123.72</v>
      </c>
      <c r="DL24" s="337">
        <v>0</v>
      </c>
      <c r="DM24" s="337">
        <v>0</v>
      </c>
      <c r="DN24" s="337">
        <v>0</v>
      </c>
      <c r="DO24" s="337">
        <v>0</v>
      </c>
      <c r="DP24" s="337">
        <v>0</v>
      </c>
      <c r="DQ24" s="337">
        <v>0</v>
      </c>
      <c r="DR24" s="337">
        <v>0</v>
      </c>
      <c r="DS24" s="337">
        <v>0</v>
      </c>
      <c r="DT24" s="337">
        <v>0</v>
      </c>
      <c r="DU24" s="337">
        <v>0</v>
      </c>
      <c r="DV24" s="337">
        <v>0</v>
      </c>
      <c r="DW24" s="648">
        <v>4.12</v>
      </c>
      <c r="DX24" s="648">
        <v>4.46</v>
      </c>
      <c r="DY24" s="648">
        <v>4.2300000000000004</v>
      </c>
      <c r="DZ24" s="337">
        <v>0</v>
      </c>
      <c r="EA24" s="337">
        <v>0</v>
      </c>
      <c r="EB24" s="337">
        <v>0</v>
      </c>
      <c r="EC24" s="337">
        <v>0</v>
      </c>
      <c r="ED24" s="337">
        <v>0</v>
      </c>
      <c r="EE24" s="337">
        <v>0</v>
      </c>
      <c r="EF24" s="337">
        <v>0</v>
      </c>
      <c r="EG24" s="337">
        <v>0</v>
      </c>
      <c r="EH24" s="648">
        <v>29.44</v>
      </c>
      <c r="EI24" s="648">
        <v>4.04</v>
      </c>
      <c r="EJ24" s="648">
        <v>5.21</v>
      </c>
      <c r="EK24" s="337">
        <v>0</v>
      </c>
      <c r="EL24" s="337">
        <v>0</v>
      </c>
      <c r="EM24" s="337">
        <v>0</v>
      </c>
      <c r="EN24" s="337">
        <v>0</v>
      </c>
      <c r="EO24" s="337">
        <v>0.54</v>
      </c>
      <c r="EP24" s="337">
        <v>0</v>
      </c>
      <c r="EQ24" s="337">
        <v>0</v>
      </c>
      <c r="ER24" s="337">
        <v>7.53</v>
      </c>
      <c r="ES24" s="337">
        <v>8.4499999999999993</v>
      </c>
      <c r="ET24" s="337">
        <v>12.86</v>
      </c>
      <c r="EU24" s="337">
        <v>0</v>
      </c>
      <c r="EV24" s="337">
        <v>0</v>
      </c>
      <c r="EW24" s="337">
        <v>0</v>
      </c>
      <c r="EX24" s="337">
        <v>0</v>
      </c>
      <c r="EY24" s="337">
        <v>0</v>
      </c>
      <c r="EZ24" s="337">
        <v>0</v>
      </c>
      <c r="FA24" s="337">
        <v>129.16</v>
      </c>
      <c r="FB24" s="337">
        <v>-142.30000000000001</v>
      </c>
      <c r="FC24" s="337">
        <v>1968.22</v>
      </c>
      <c r="FD24" s="337">
        <v>1981.36</v>
      </c>
      <c r="FE24" s="19">
        <v>11.45</v>
      </c>
    </row>
    <row r="25" spans="1:161" s="20" customFormat="1" ht="19.5" customHeight="1">
      <c r="A25" s="19">
        <v>12</v>
      </c>
      <c r="B25" s="18">
        <v>272.51</v>
      </c>
      <c r="C25" s="18">
        <v>0</v>
      </c>
      <c r="D25" s="18">
        <v>28.75</v>
      </c>
      <c r="E25" s="18">
        <v>0</v>
      </c>
      <c r="F25" s="18">
        <v>4.01</v>
      </c>
      <c r="G25" s="18">
        <v>0</v>
      </c>
      <c r="H25" s="18">
        <v>1.06</v>
      </c>
      <c r="I25" s="18">
        <v>6.07</v>
      </c>
      <c r="J25" s="18">
        <v>16</v>
      </c>
      <c r="K25" s="18">
        <v>0</v>
      </c>
      <c r="L25" s="18">
        <v>11.55</v>
      </c>
      <c r="M25" s="18">
        <v>3.18</v>
      </c>
      <c r="N25" s="18">
        <v>4.42</v>
      </c>
      <c r="O25" s="18">
        <v>4.5999999999999996</v>
      </c>
      <c r="P25" s="18">
        <v>14.34</v>
      </c>
      <c r="Q25" s="18">
        <v>1.85</v>
      </c>
      <c r="R25" s="18">
        <v>56.13</v>
      </c>
      <c r="S25" s="18">
        <v>103.04</v>
      </c>
      <c r="T25" s="18">
        <v>66.540000000000006</v>
      </c>
      <c r="U25" s="18">
        <v>48.76</v>
      </c>
      <c r="V25" s="18">
        <v>3.15</v>
      </c>
      <c r="W25" s="18">
        <v>4.3899999999999997</v>
      </c>
      <c r="X25" s="18">
        <v>5.87</v>
      </c>
      <c r="Y25" s="18">
        <v>6.7</v>
      </c>
      <c r="Z25" s="18">
        <v>96.94</v>
      </c>
      <c r="AA25" s="18">
        <v>58.19</v>
      </c>
      <c r="AB25" s="18">
        <v>3.51</v>
      </c>
      <c r="AC25" s="18">
        <v>14.66</v>
      </c>
      <c r="AD25" s="18">
        <v>7.91</v>
      </c>
      <c r="AE25" s="18">
        <v>63.16</v>
      </c>
      <c r="AF25" s="18">
        <v>0</v>
      </c>
      <c r="AG25" s="18">
        <v>1.9</v>
      </c>
      <c r="AH25" s="18">
        <v>2.04</v>
      </c>
      <c r="AI25" s="18">
        <v>0</v>
      </c>
      <c r="AJ25" s="18">
        <v>2.0099999999999998</v>
      </c>
      <c r="AK25" s="18">
        <v>1.02</v>
      </c>
      <c r="AL25" s="18">
        <v>0</v>
      </c>
      <c r="AM25" s="18">
        <v>4.34</v>
      </c>
      <c r="AN25" s="18">
        <v>0</v>
      </c>
      <c r="AO25" s="18">
        <v>0</v>
      </c>
      <c r="AP25" s="18">
        <v>0.63</v>
      </c>
      <c r="AQ25" s="18">
        <v>0</v>
      </c>
      <c r="AR25" s="18">
        <v>0</v>
      </c>
      <c r="AS25" s="18">
        <v>24.7</v>
      </c>
      <c r="AT25" s="18">
        <v>56.36</v>
      </c>
      <c r="AU25" s="18">
        <v>0.98</v>
      </c>
      <c r="AV25" s="18">
        <v>9.16</v>
      </c>
      <c r="AW25" s="18">
        <v>0</v>
      </c>
      <c r="AX25" s="18">
        <v>8.3000000000000007</v>
      </c>
      <c r="AY25" s="18">
        <v>0</v>
      </c>
      <c r="AZ25" s="18">
        <v>2.64</v>
      </c>
      <c r="BA25" s="18">
        <v>1</v>
      </c>
      <c r="BB25" s="18">
        <v>2.4700000000000002</v>
      </c>
      <c r="BC25" s="18">
        <v>2.59</v>
      </c>
      <c r="BD25" s="18">
        <v>2.2000000000000002</v>
      </c>
      <c r="BE25" s="18">
        <v>0.68</v>
      </c>
      <c r="BF25" s="18">
        <v>0.67</v>
      </c>
      <c r="BG25" s="18">
        <v>1.72</v>
      </c>
      <c r="BH25" s="18">
        <v>14.58</v>
      </c>
      <c r="BI25" s="18">
        <v>14.3</v>
      </c>
      <c r="BJ25" s="18">
        <v>0</v>
      </c>
      <c r="BK25" s="18">
        <v>0</v>
      </c>
      <c r="BL25" s="18">
        <v>31.35</v>
      </c>
      <c r="BM25" s="18">
        <v>22.91</v>
      </c>
      <c r="BN25" s="18">
        <v>32.1</v>
      </c>
      <c r="BO25" s="18">
        <v>55.36</v>
      </c>
      <c r="BP25" s="18">
        <v>53.85</v>
      </c>
      <c r="BQ25" s="18">
        <v>5.28</v>
      </c>
      <c r="BR25" s="18">
        <v>21.26</v>
      </c>
      <c r="BS25" s="18">
        <v>24.41</v>
      </c>
      <c r="BT25" s="18">
        <v>72.81</v>
      </c>
      <c r="BU25" s="18">
        <v>13</v>
      </c>
      <c r="BV25" s="18">
        <v>9.3000000000000007</v>
      </c>
      <c r="BW25" s="18">
        <v>29.52</v>
      </c>
      <c r="BX25" s="18">
        <v>3.92</v>
      </c>
      <c r="BY25" s="18">
        <v>0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646">
        <v>31.04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646">
        <v>23.01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646">
        <v>29.96</v>
      </c>
      <c r="DF25" s="18">
        <v>124.8</v>
      </c>
      <c r="DG25" s="646">
        <v>10.5</v>
      </c>
      <c r="DH25" s="647">
        <v>57.47</v>
      </c>
      <c r="DI25" s="337">
        <v>0</v>
      </c>
      <c r="DJ25" s="648">
        <v>28.29</v>
      </c>
      <c r="DK25" s="337">
        <v>117.56</v>
      </c>
      <c r="DL25" s="337">
        <v>0</v>
      </c>
      <c r="DM25" s="337">
        <v>0</v>
      </c>
      <c r="DN25" s="337">
        <v>0</v>
      </c>
      <c r="DO25" s="337">
        <v>0</v>
      </c>
      <c r="DP25" s="337">
        <v>0</v>
      </c>
      <c r="DQ25" s="337">
        <v>0</v>
      </c>
      <c r="DR25" s="337">
        <v>0</v>
      </c>
      <c r="DS25" s="337">
        <v>0</v>
      </c>
      <c r="DT25" s="337">
        <v>0</v>
      </c>
      <c r="DU25" s="337">
        <v>0</v>
      </c>
      <c r="DV25" s="337">
        <v>0</v>
      </c>
      <c r="DW25" s="648">
        <v>5.32</v>
      </c>
      <c r="DX25" s="648">
        <v>5.26</v>
      </c>
      <c r="DY25" s="648">
        <v>5.65</v>
      </c>
      <c r="DZ25" s="337">
        <v>0</v>
      </c>
      <c r="EA25" s="337">
        <v>0</v>
      </c>
      <c r="EB25" s="337">
        <v>0</v>
      </c>
      <c r="EC25" s="337">
        <v>0</v>
      </c>
      <c r="ED25" s="337">
        <v>0</v>
      </c>
      <c r="EE25" s="337">
        <v>0</v>
      </c>
      <c r="EF25" s="337">
        <v>0</v>
      </c>
      <c r="EG25" s="337">
        <v>0</v>
      </c>
      <c r="EH25" s="648">
        <v>32.44</v>
      </c>
      <c r="EI25" s="648">
        <v>4.6100000000000003</v>
      </c>
      <c r="EJ25" s="648">
        <v>5.37</v>
      </c>
      <c r="EK25" s="337">
        <v>0</v>
      </c>
      <c r="EL25" s="337">
        <v>0</v>
      </c>
      <c r="EM25" s="337">
        <v>0</v>
      </c>
      <c r="EN25" s="337">
        <v>0</v>
      </c>
      <c r="EO25" s="337">
        <v>0.48</v>
      </c>
      <c r="EP25" s="337">
        <v>0</v>
      </c>
      <c r="EQ25" s="337">
        <v>0</v>
      </c>
      <c r="ER25" s="337">
        <v>7.55</v>
      </c>
      <c r="ES25" s="337">
        <v>8.44</v>
      </c>
      <c r="ET25" s="337">
        <v>12.69</v>
      </c>
      <c r="EU25" s="337">
        <v>0</v>
      </c>
      <c r="EV25" s="337">
        <v>0</v>
      </c>
      <c r="EW25" s="337">
        <v>0</v>
      </c>
      <c r="EX25" s="337">
        <v>0</v>
      </c>
      <c r="EY25" s="337">
        <v>0</v>
      </c>
      <c r="EZ25" s="337">
        <v>0</v>
      </c>
      <c r="FA25" s="337">
        <v>27.31</v>
      </c>
      <c r="FB25" s="337">
        <v>-71.099999999999994</v>
      </c>
      <c r="FC25" s="337">
        <v>1947.09</v>
      </c>
      <c r="FD25" s="337">
        <v>1990.88</v>
      </c>
      <c r="FE25" s="19">
        <v>12</v>
      </c>
    </row>
    <row r="26" spans="1:161" s="20" customFormat="1" ht="19.5" customHeight="1">
      <c r="A26" s="19">
        <v>12.15</v>
      </c>
      <c r="B26" s="18">
        <v>272.5</v>
      </c>
      <c r="C26" s="18">
        <v>0</v>
      </c>
      <c r="D26" s="18">
        <v>28.25</v>
      </c>
      <c r="E26" s="18">
        <v>0</v>
      </c>
      <c r="F26" s="18">
        <v>4.01</v>
      </c>
      <c r="G26" s="18">
        <v>0</v>
      </c>
      <c r="H26" s="18">
        <v>1.07</v>
      </c>
      <c r="I26" s="18">
        <v>6.08</v>
      </c>
      <c r="J26" s="18">
        <v>15.86</v>
      </c>
      <c r="K26" s="18">
        <v>0</v>
      </c>
      <c r="L26" s="18">
        <v>11.55</v>
      </c>
      <c r="M26" s="18">
        <v>3.17</v>
      </c>
      <c r="N26" s="18">
        <v>4.51</v>
      </c>
      <c r="O26" s="18">
        <v>3.16</v>
      </c>
      <c r="P26" s="18">
        <v>12.37</v>
      </c>
      <c r="Q26" s="18">
        <v>1.86</v>
      </c>
      <c r="R26" s="18">
        <v>55.8</v>
      </c>
      <c r="S26" s="18">
        <v>102.96</v>
      </c>
      <c r="T26" s="18">
        <v>66.209999999999994</v>
      </c>
      <c r="U26" s="18">
        <v>48.79</v>
      </c>
      <c r="V26" s="18">
        <v>3.13</v>
      </c>
      <c r="W26" s="18">
        <v>4.42</v>
      </c>
      <c r="X26" s="18">
        <v>8.74</v>
      </c>
      <c r="Y26" s="18">
        <v>6.8</v>
      </c>
      <c r="Z26" s="18">
        <v>95.51</v>
      </c>
      <c r="AA26" s="18">
        <v>58.27</v>
      </c>
      <c r="AB26" s="18">
        <v>3.52</v>
      </c>
      <c r="AC26" s="18">
        <v>14.99</v>
      </c>
      <c r="AD26" s="18">
        <v>7.94</v>
      </c>
      <c r="AE26" s="18">
        <v>63.16</v>
      </c>
      <c r="AF26" s="18">
        <v>0</v>
      </c>
      <c r="AG26" s="18">
        <v>1.94</v>
      </c>
      <c r="AH26" s="18">
        <v>2.04</v>
      </c>
      <c r="AI26" s="18">
        <v>0</v>
      </c>
      <c r="AJ26" s="18">
        <v>2.0099999999999998</v>
      </c>
      <c r="AK26" s="18">
        <v>1.02</v>
      </c>
      <c r="AL26" s="18">
        <v>0</v>
      </c>
      <c r="AM26" s="18">
        <v>4.03</v>
      </c>
      <c r="AN26" s="18">
        <v>0</v>
      </c>
      <c r="AO26" s="18">
        <v>0</v>
      </c>
      <c r="AP26" s="18">
        <v>0.6</v>
      </c>
      <c r="AQ26" s="18">
        <v>0</v>
      </c>
      <c r="AR26" s="18">
        <v>0</v>
      </c>
      <c r="AS26" s="18">
        <v>24.8</v>
      </c>
      <c r="AT26" s="18">
        <v>54.93</v>
      </c>
      <c r="AU26" s="18">
        <v>0.99</v>
      </c>
      <c r="AV26" s="18">
        <v>9.2100000000000009</v>
      </c>
      <c r="AW26" s="18">
        <v>0</v>
      </c>
      <c r="AX26" s="18">
        <v>8.3000000000000007</v>
      </c>
      <c r="AY26" s="18">
        <v>0</v>
      </c>
      <c r="AZ26" s="18">
        <v>2.7</v>
      </c>
      <c r="BA26" s="18">
        <v>1.01</v>
      </c>
      <c r="BB26" s="18">
        <v>2.4700000000000002</v>
      </c>
      <c r="BC26" s="18">
        <v>2.58</v>
      </c>
      <c r="BD26" s="18">
        <v>2.2000000000000002</v>
      </c>
      <c r="BE26" s="18">
        <v>0.68</v>
      </c>
      <c r="BF26" s="18">
        <v>0.67</v>
      </c>
      <c r="BG26" s="18">
        <v>1.72</v>
      </c>
      <c r="BH26" s="18">
        <v>15.17</v>
      </c>
      <c r="BI26" s="18">
        <v>14</v>
      </c>
      <c r="BJ26" s="18">
        <v>0</v>
      </c>
      <c r="BK26" s="18">
        <v>0</v>
      </c>
      <c r="BL26" s="18">
        <v>34.07</v>
      </c>
      <c r="BM26" s="18">
        <v>20.28</v>
      </c>
      <c r="BN26" s="18">
        <v>33.67</v>
      </c>
      <c r="BO26" s="18">
        <v>59.7</v>
      </c>
      <c r="BP26" s="18">
        <v>37.56</v>
      </c>
      <c r="BQ26" s="18">
        <v>9.27</v>
      </c>
      <c r="BR26" s="18">
        <v>35.1</v>
      </c>
      <c r="BS26" s="18">
        <v>27.46</v>
      </c>
      <c r="BT26" s="18">
        <v>63.25</v>
      </c>
      <c r="BU26" s="18">
        <v>8.07</v>
      </c>
      <c r="BV26" s="18">
        <v>5.4</v>
      </c>
      <c r="BW26" s="18">
        <v>24.6</v>
      </c>
      <c r="BX26" s="18">
        <v>12.23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646">
        <v>30.72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646">
        <v>23.01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646">
        <v>30.53</v>
      </c>
      <c r="DF26" s="646">
        <v>123.3</v>
      </c>
      <c r="DG26" s="646">
        <v>10.6</v>
      </c>
      <c r="DH26" s="646">
        <v>56.47</v>
      </c>
      <c r="DI26" s="337">
        <v>0</v>
      </c>
      <c r="DJ26" s="648">
        <v>24.29</v>
      </c>
      <c r="DK26" s="649">
        <v>109.61</v>
      </c>
      <c r="DL26" s="337">
        <v>0</v>
      </c>
      <c r="DM26" s="337">
        <v>0</v>
      </c>
      <c r="DN26" s="337">
        <v>0</v>
      </c>
      <c r="DO26" s="337">
        <v>0</v>
      </c>
      <c r="DP26" s="337">
        <v>0</v>
      </c>
      <c r="DQ26" s="337">
        <v>0</v>
      </c>
      <c r="DR26" s="337">
        <v>0</v>
      </c>
      <c r="DS26" s="337">
        <v>0</v>
      </c>
      <c r="DT26" s="337">
        <v>0</v>
      </c>
      <c r="DU26" s="337">
        <v>0</v>
      </c>
      <c r="DV26" s="337">
        <v>0</v>
      </c>
      <c r="DW26" s="648">
        <v>5.21</v>
      </c>
      <c r="DX26" s="648">
        <v>5.27</v>
      </c>
      <c r="DY26" s="648">
        <v>4.93</v>
      </c>
      <c r="DZ26" s="337">
        <v>0</v>
      </c>
      <c r="EA26" s="337">
        <v>0</v>
      </c>
      <c r="EB26" s="337">
        <v>0</v>
      </c>
      <c r="EC26" s="337">
        <v>0</v>
      </c>
      <c r="ED26" s="337">
        <v>0</v>
      </c>
      <c r="EE26" s="337">
        <v>0</v>
      </c>
      <c r="EF26" s="337">
        <v>0</v>
      </c>
      <c r="EG26" s="337">
        <v>0</v>
      </c>
      <c r="EH26" s="648">
        <v>21.61</v>
      </c>
      <c r="EI26" s="648">
        <v>3.82</v>
      </c>
      <c r="EJ26" s="648">
        <v>5.18</v>
      </c>
      <c r="EK26" s="337">
        <v>0</v>
      </c>
      <c r="EL26" s="337">
        <v>0</v>
      </c>
      <c r="EM26" s="337">
        <v>0</v>
      </c>
      <c r="EN26" s="337">
        <v>0</v>
      </c>
      <c r="EO26" s="337">
        <v>0.47</v>
      </c>
      <c r="EP26" s="337">
        <v>0</v>
      </c>
      <c r="EQ26" s="337">
        <v>0</v>
      </c>
      <c r="ER26" s="648">
        <v>7.57</v>
      </c>
      <c r="ES26" s="337">
        <v>8.4499999999999993</v>
      </c>
      <c r="ET26" s="337">
        <v>12.77</v>
      </c>
      <c r="EU26" s="337">
        <v>0</v>
      </c>
      <c r="EV26" s="337">
        <v>0</v>
      </c>
      <c r="EW26" s="337">
        <v>0</v>
      </c>
      <c r="EX26" s="337">
        <v>0</v>
      </c>
      <c r="EY26" s="337">
        <v>0</v>
      </c>
      <c r="EZ26" s="337">
        <v>0</v>
      </c>
      <c r="FA26" s="337">
        <v>39.18</v>
      </c>
      <c r="FB26" s="337">
        <v>-76.8</v>
      </c>
      <c r="FC26" s="337">
        <v>1912.17</v>
      </c>
      <c r="FD26" s="337">
        <v>1949.79</v>
      </c>
      <c r="FE26" s="19">
        <v>12.15</v>
      </c>
    </row>
    <row r="27" spans="1:161" s="20" customFormat="1" ht="19.5" customHeight="1">
      <c r="A27" s="19">
        <v>12.3</v>
      </c>
      <c r="B27" s="18">
        <v>272.51</v>
      </c>
      <c r="C27" s="18">
        <v>0</v>
      </c>
      <c r="D27" s="18">
        <v>32.74</v>
      </c>
      <c r="E27" s="18">
        <v>0</v>
      </c>
      <c r="F27" s="18">
        <v>4.01</v>
      </c>
      <c r="G27" s="18">
        <v>0</v>
      </c>
      <c r="H27" s="18">
        <v>1.06</v>
      </c>
      <c r="I27" s="18">
        <v>6.05</v>
      </c>
      <c r="J27" s="18">
        <v>15.89</v>
      </c>
      <c r="K27" s="18">
        <v>0</v>
      </c>
      <c r="L27" s="18">
        <v>11.56</v>
      </c>
      <c r="M27" s="18">
        <v>3.15</v>
      </c>
      <c r="N27" s="18">
        <v>4.53</v>
      </c>
      <c r="O27" s="18">
        <v>8.19</v>
      </c>
      <c r="P27" s="18">
        <v>26.78</v>
      </c>
      <c r="Q27" s="18">
        <v>1.85</v>
      </c>
      <c r="R27" s="18">
        <v>56.11</v>
      </c>
      <c r="S27" s="18">
        <v>102.74</v>
      </c>
      <c r="T27" s="18">
        <v>66.28</v>
      </c>
      <c r="U27" s="18">
        <v>48.82</v>
      </c>
      <c r="V27" s="18">
        <v>2.3199999999999998</v>
      </c>
      <c r="W27" s="18">
        <v>4.42</v>
      </c>
      <c r="X27" s="18">
        <v>8.74</v>
      </c>
      <c r="Y27" s="18">
        <v>6.79</v>
      </c>
      <c r="Z27" s="18">
        <v>96.38</v>
      </c>
      <c r="AA27" s="18">
        <v>57.91</v>
      </c>
      <c r="AB27" s="18">
        <v>3.41</v>
      </c>
      <c r="AC27" s="18">
        <v>14.99</v>
      </c>
      <c r="AD27" s="18">
        <v>8.4499999999999993</v>
      </c>
      <c r="AE27" s="18">
        <v>63.15</v>
      </c>
      <c r="AF27" s="18">
        <v>0</v>
      </c>
      <c r="AG27" s="18">
        <v>2</v>
      </c>
      <c r="AH27" s="18">
        <v>2.04</v>
      </c>
      <c r="AI27" s="18">
        <v>0</v>
      </c>
      <c r="AJ27" s="18">
        <v>2.0099999999999998</v>
      </c>
      <c r="AK27" s="18">
        <v>0.99</v>
      </c>
      <c r="AL27" s="18">
        <v>0</v>
      </c>
      <c r="AM27" s="18">
        <v>11.23</v>
      </c>
      <c r="AN27" s="18">
        <v>0</v>
      </c>
      <c r="AO27" s="18">
        <v>0</v>
      </c>
      <c r="AP27" s="18">
        <v>0.62</v>
      </c>
      <c r="AQ27" s="18">
        <v>0</v>
      </c>
      <c r="AR27" s="18">
        <v>0</v>
      </c>
      <c r="AS27" s="18">
        <v>24.8</v>
      </c>
      <c r="AT27" s="18">
        <v>55.17</v>
      </c>
      <c r="AU27" s="18">
        <v>1.02</v>
      </c>
      <c r="AV27" s="18">
        <v>9.18</v>
      </c>
      <c r="AW27" s="18">
        <v>0</v>
      </c>
      <c r="AX27" s="18">
        <v>8.3000000000000007</v>
      </c>
      <c r="AY27" s="18">
        <v>0</v>
      </c>
      <c r="AZ27" s="18">
        <v>2.64</v>
      </c>
      <c r="BA27" s="18">
        <v>1.02</v>
      </c>
      <c r="BB27" s="18">
        <v>2.48</v>
      </c>
      <c r="BC27" s="18">
        <v>2.58</v>
      </c>
      <c r="BD27" s="18">
        <v>2.2000000000000002</v>
      </c>
      <c r="BE27" s="18">
        <v>0.68</v>
      </c>
      <c r="BF27" s="18">
        <v>0.67</v>
      </c>
      <c r="BG27" s="18">
        <v>1.72</v>
      </c>
      <c r="BH27" s="18">
        <v>14.79</v>
      </c>
      <c r="BI27" s="18">
        <v>14.1</v>
      </c>
      <c r="BJ27" s="18">
        <v>0</v>
      </c>
      <c r="BK27" s="18">
        <v>0</v>
      </c>
      <c r="BL27" s="18">
        <v>33.880000000000003</v>
      </c>
      <c r="BM27" s="18">
        <v>19.89</v>
      </c>
      <c r="BN27" s="18">
        <v>39.49</v>
      </c>
      <c r="BO27" s="18">
        <v>45.53</v>
      </c>
      <c r="BP27" s="18">
        <v>30.63</v>
      </c>
      <c r="BQ27" s="18">
        <v>5.35</v>
      </c>
      <c r="BR27" s="18">
        <v>23.3</v>
      </c>
      <c r="BS27" s="18">
        <v>25.09</v>
      </c>
      <c r="BT27" s="18">
        <v>49.1</v>
      </c>
      <c r="BU27" s="18">
        <v>20.53</v>
      </c>
      <c r="BV27" s="18">
        <v>9.1999999999999993</v>
      </c>
      <c r="BW27" s="18">
        <v>25.77</v>
      </c>
      <c r="BX27" s="18">
        <v>1.8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646">
        <v>30.49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646">
        <v>22.01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646">
        <v>30.07</v>
      </c>
      <c r="DF27" s="646">
        <v>119.6</v>
      </c>
      <c r="DG27" s="646">
        <v>10.28</v>
      </c>
      <c r="DH27" s="646">
        <v>57.18</v>
      </c>
      <c r="DI27" s="337">
        <v>0</v>
      </c>
      <c r="DJ27" s="648">
        <v>19.5</v>
      </c>
      <c r="DK27" s="649">
        <v>103.07</v>
      </c>
      <c r="DL27" s="337">
        <v>0</v>
      </c>
      <c r="DM27" s="337">
        <v>0</v>
      </c>
      <c r="DN27" s="337">
        <v>0</v>
      </c>
      <c r="DO27" s="337">
        <v>0</v>
      </c>
      <c r="DP27" s="337">
        <v>0</v>
      </c>
      <c r="DQ27" s="337">
        <v>0</v>
      </c>
      <c r="DR27" s="337">
        <v>0</v>
      </c>
      <c r="DS27" s="337">
        <v>0</v>
      </c>
      <c r="DT27" s="337">
        <v>0</v>
      </c>
      <c r="DU27" s="337">
        <v>0</v>
      </c>
      <c r="DV27" s="337">
        <v>0</v>
      </c>
      <c r="DW27" s="648">
        <v>9.44</v>
      </c>
      <c r="DX27" s="648">
        <v>9.52</v>
      </c>
      <c r="DY27" s="648">
        <v>9.3800000000000008</v>
      </c>
      <c r="DZ27" s="337">
        <v>0</v>
      </c>
      <c r="EA27" s="337">
        <v>0</v>
      </c>
      <c r="EB27" s="337">
        <v>0</v>
      </c>
      <c r="EC27" s="337">
        <v>0</v>
      </c>
      <c r="ED27" s="337">
        <v>0</v>
      </c>
      <c r="EE27" s="337">
        <v>0</v>
      </c>
      <c r="EF27" s="337">
        <v>0</v>
      </c>
      <c r="EG27" s="337">
        <v>0</v>
      </c>
      <c r="EH27" s="648">
        <v>40.25</v>
      </c>
      <c r="EI27" s="648">
        <v>4.5</v>
      </c>
      <c r="EJ27" s="648">
        <v>5.44</v>
      </c>
      <c r="EK27" s="337">
        <v>0</v>
      </c>
      <c r="EL27" s="337">
        <v>0</v>
      </c>
      <c r="EM27" s="337">
        <v>0</v>
      </c>
      <c r="EN27" s="337">
        <v>0</v>
      </c>
      <c r="EO27" s="337">
        <v>0.34</v>
      </c>
      <c r="EP27" s="337">
        <v>0</v>
      </c>
      <c r="EQ27" s="337">
        <v>0</v>
      </c>
      <c r="ER27" s="648">
        <v>7.55</v>
      </c>
      <c r="ES27" s="337">
        <v>8.4499999999999993</v>
      </c>
      <c r="ET27" s="337">
        <v>12.79</v>
      </c>
      <c r="EU27" s="337">
        <v>0</v>
      </c>
      <c r="EV27" s="337">
        <v>0</v>
      </c>
      <c r="EW27" s="337">
        <v>0</v>
      </c>
      <c r="EX27" s="337">
        <v>0</v>
      </c>
      <c r="EY27" s="337">
        <v>0</v>
      </c>
      <c r="EZ27" s="337">
        <v>0</v>
      </c>
      <c r="FA27" s="337">
        <v>94.64</v>
      </c>
      <c r="FB27" s="337">
        <v>-169.5</v>
      </c>
      <c r="FC27" s="337">
        <v>1918.49</v>
      </c>
      <c r="FD27" s="337">
        <v>1993.35</v>
      </c>
      <c r="FE27" s="19">
        <v>12.3</v>
      </c>
    </row>
    <row r="28" spans="1:161" s="20" customFormat="1" ht="19.5" customHeight="1">
      <c r="A28" s="19">
        <v>12.45</v>
      </c>
      <c r="B28" s="18">
        <v>272.17</v>
      </c>
      <c r="C28" s="18">
        <v>0</v>
      </c>
      <c r="D28" s="18">
        <v>30.4</v>
      </c>
      <c r="E28" s="18">
        <v>0</v>
      </c>
      <c r="F28" s="18">
        <v>4.01</v>
      </c>
      <c r="G28" s="18">
        <v>0</v>
      </c>
      <c r="H28" s="18">
        <v>1.04</v>
      </c>
      <c r="I28" s="18">
        <v>6.07</v>
      </c>
      <c r="J28" s="18">
        <v>15.82</v>
      </c>
      <c r="K28" s="18">
        <v>0</v>
      </c>
      <c r="L28" s="18">
        <v>11.55</v>
      </c>
      <c r="M28" s="18">
        <v>3.16</v>
      </c>
      <c r="N28" s="18">
        <v>4.46</v>
      </c>
      <c r="O28" s="18">
        <v>4.7300000000000004</v>
      </c>
      <c r="P28" s="18">
        <v>18.899999999999999</v>
      </c>
      <c r="Q28" s="18">
        <v>3.2</v>
      </c>
      <c r="R28" s="18">
        <v>62.11</v>
      </c>
      <c r="S28" s="18">
        <v>103.13</v>
      </c>
      <c r="T28" s="18">
        <v>66.39</v>
      </c>
      <c r="U28" s="18">
        <v>48.71</v>
      </c>
      <c r="V28" s="18">
        <v>1.51</v>
      </c>
      <c r="W28" s="18">
        <v>4.41</v>
      </c>
      <c r="X28" s="18">
        <v>8.73</v>
      </c>
      <c r="Y28" s="18">
        <v>6.71</v>
      </c>
      <c r="Z28" s="18">
        <v>96.64</v>
      </c>
      <c r="AA28" s="18">
        <v>58.05</v>
      </c>
      <c r="AB28" s="18">
        <v>3.4</v>
      </c>
      <c r="AC28" s="18">
        <v>16.34</v>
      </c>
      <c r="AD28" s="18">
        <v>8.44</v>
      </c>
      <c r="AE28" s="18">
        <v>63.26</v>
      </c>
      <c r="AF28" s="18">
        <v>0</v>
      </c>
      <c r="AG28" s="18">
        <v>1.94</v>
      </c>
      <c r="AH28" s="18">
        <v>2.0299999999999998</v>
      </c>
      <c r="AI28" s="18">
        <v>0</v>
      </c>
      <c r="AJ28" s="18">
        <v>2.0099999999999998</v>
      </c>
      <c r="AK28" s="18">
        <v>0.99</v>
      </c>
      <c r="AL28" s="18">
        <v>0</v>
      </c>
      <c r="AM28" s="18">
        <v>7.05</v>
      </c>
      <c r="AN28" s="18">
        <v>0</v>
      </c>
      <c r="AO28" s="18">
        <v>0</v>
      </c>
      <c r="AP28" s="18">
        <v>0.62</v>
      </c>
      <c r="AQ28" s="18">
        <v>0</v>
      </c>
      <c r="AR28" s="18">
        <v>0</v>
      </c>
      <c r="AS28" s="18">
        <v>24.83</v>
      </c>
      <c r="AT28" s="18">
        <v>55.81</v>
      </c>
      <c r="AU28" s="18">
        <v>1.06</v>
      </c>
      <c r="AV28" s="18">
        <v>9.18</v>
      </c>
      <c r="AW28" s="18">
        <v>0</v>
      </c>
      <c r="AX28" s="18">
        <v>8.3000000000000007</v>
      </c>
      <c r="AY28" s="18">
        <v>0</v>
      </c>
      <c r="AZ28" s="18">
        <v>2.63</v>
      </c>
      <c r="BA28" s="18">
        <v>1.02</v>
      </c>
      <c r="BB28" s="18">
        <v>2.93</v>
      </c>
      <c r="BC28" s="18">
        <v>2.58</v>
      </c>
      <c r="BD28" s="18">
        <v>2.2000000000000002</v>
      </c>
      <c r="BE28" s="18">
        <v>0.68</v>
      </c>
      <c r="BF28" s="18">
        <v>0.67</v>
      </c>
      <c r="BG28" s="18">
        <v>1.72</v>
      </c>
      <c r="BH28" s="18">
        <v>14.29</v>
      </c>
      <c r="BI28" s="18">
        <v>14.2</v>
      </c>
      <c r="BJ28" s="18">
        <v>0</v>
      </c>
      <c r="BK28" s="18">
        <v>0</v>
      </c>
      <c r="BL28" s="18">
        <v>30.37</v>
      </c>
      <c r="BM28" s="18">
        <v>27.81</v>
      </c>
      <c r="BN28" s="18">
        <v>32.54</v>
      </c>
      <c r="BO28" s="18">
        <v>38.58</v>
      </c>
      <c r="BP28" s="18">
        <v>30.71</v>
      </c>
      <c r="BQ28" s="18">
        <v>5.76</v>
      </c>
      <c r="BR28" s="18">
        <v>24.11</v>
      </c>
      <c r="BS28" s="18">
        <v>23.76</v>
      </c>
      <c r="BT28" s="18">
        <v>40.049999999999997</v>
      </c>
      <c r="BU28" s="18">
        <v>20.29</v>
      </c>
      <c r="BV28" s="18">
        <v>10.3</v>
      </c>
      <c r="BW28" s="18">
        <v>27.86</v>
      </c>
      <c r="BX28" s="18">
        <v>2.93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646">
        <v>30.21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646">
        <v>22.01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646">
        <v>30.56</v>
      </c>
      <c r="DF28" s="646">
        <v>116.7</v>
      </c>
      <c r="DG28" s="646">
        <v>10.02</v>
      </c>
      <c r="DH28" s="646">
        <v>57.01</v>
      </c>
      <c r="DI28" s="337">
        <v>0</v>
      </c>
      <c r="DJ28" s="648">
        <v>19.62</v>
      </c>
      <c r="DK28" s="649">
        <v>103.42</v>
      </c>
      <c r="DL28" s="337">
        <v>0</v>
      </c>
      <c r="DM28" s="337">
        <v>0</v>
      </c>
      <c r="DN28" s="337">
        <v>0</v>
      </c>
      <c r="DO28" s="337">
        <v>0</v>
      </c>
      <c r="DP28" s="337">
        <v>0</v>
      </c>
      <c r="DQ28" s="337">
        <v>0</v>
      </c>
      <c r="DR28" s="337">
        <v>0</v>
      </c>
      <c r="DS28" s="337">
        <v>0</v>
      </c>
      <c r="DT28" s="337">
        <v>0</v>
      </c>
      <c r="DU28" s="337">
        <v>0</v>
      </c>
      <c r="DV28" s="337">
        <v>0</v>
      </c>
      <c r="DW28" s="648">
        <v>6.63</v>
      </c>
      <c r="DX28" s="648">
        <v>7.06</v>
      </c>
      <c r="DY28" s="648">
        <v>6.75</v>
      </c>
      <c r="DZ28" s="337">
        <v>0</v>
      </c>
      <c r="EA28" s="337">
        <v>0</v>
      </c>
      <c r="EB28" s="337">
        <v>0</v>
      </c>
      <c r="EC28" s="337">
        <v>0</v>
      </c>
      <c r="ED28" s="337">
        <v>0</v>
      </c>
      <c r="EE28" s="337">
        <v>0</v>
      </c>
      <c r="EF28" s="337">
        <v>0</v>
      </c>
      <c r="EG28" s="337">
        <v>0</v>
      </c>
      <c r="EH28" s="648">
        <v>29.7</v>
      </c>
      <c r="EI28" s="648">
        <v>4.3600000000000003</v>
      </c>
      <c r="EJ28" s="648">
        <v>5.31</v>
      </c>
      <c r="EK28" s="337">
        <v>0</v>
      </c>
      <c r="EL28" s="337">
        <v>0</v>
      </c>
      <c r="EM28" s="337">
        <v>0</v>
      </c>
      <c r="EN28" s="337">
        <v>0</v>
      </c>
      <c r="EO28" s="337">
        <v>0.53</v>
      </c>
      <c r="EP28" s="337">
        <v>0</v>
      </c>
      <c r="EQ28" s="337">
        <v>0</v>
      </c>
      <c r="ER28" s="648">
        <v>7.56</v>
      </c>
      <c r="ES28" s="337">
        <v>8.4600000000000009</v>
      </c>
      <c r="ET28" s="337">
        <v>12.81</v>
      </c>
      <c r="EU28" s="337">
        <v>0</v>
      </c>
      <c r="EV28" s="337">
        <v>0</v>
      </c>
      <c r="EW28" s="337">
        <v>0</v>
      </c>
      <c r="EX28" s="337">
        <v>0</v>
      </c>
      <c r="EY28" s="337">
        <v>0</v>
      </c>
      <c r="EZ28" s="337">
        <v>0</v>
      </c>
      <c r="FA28" s="337">
        <v>59.15</v>
      </c>
      <c r="FB28" s="337">
        <v>-96</v>
      </c>
      <c r="FC28" s="337">
        <v>1873.87</v>
      </c>
      <c r="FD28" s="337">
        <v>1910.72</v>
      </c>
      <c r="FE28" s="19">
        <v>12.45</v>
      </c>
    </row>
    <row r="29" spans="1:161" s="20" customFormat="1" ht="19.5" customHeight="1">
      <c r="A29" s="21">
        <v>13</v>
      </c>
      <c r="B29" s="18">
        <v>272.17</v>
      </c>
      <c r="C29" s="18">
        <v>0</v>
      </c>
      <c r="D29" s="18">
        <v>37.21</v>
      </c>
      <c r="E29" s="18">
        <v>0</v>
      </c>
      <c r="F29" s="18">
        <v>4.01</v>
      </c>
      <c r="G29" s="18">
        <v>0</v>
      </c>
      <c r="H29" s="18">
        <v>1.07</v>
      </c>
      <c r="I29" s="18">
        <v>6.02</v>
      </c>
      <c r="J29" s="18">
        <v>15.92</v>
      </c>
      <c r="K29" s="18">
        <v>0</v>
      </c>
      <c r="L29" s="18">
        <v>11.56</v>
      </c>
      <c r="M29" s="18">
        <v>3.15</v>
      </c>
      <c r="N29" s="18">
        <v>4.37</v>
      </c>
      <c r="O29" s="18">
        <v>10.220000000000001</v>
      </c>
      <c r="P29" s="18">
        <v>33.42</v>
      </c>
      <c r="Q29" s="18">
        <v>7.28</v>
      </c>
      <c r="R29" s="18">
        <v>61.85</v>
      </c>
      <c r="S29" s="18">
        <v>103.18</v>
      </c>
      <c r="T29" s="18">
        <v>66.260000000000005</v>
      </c>
      <c r="U29" s="18">
        <v>48.84</v>
      </c>
      <c r="V29" s="18">
        <v>1.51</v>
      </c>
      <c r="W29" s="18">
        <v>4.37</v>
      </c>
      <c r="X29" s="18">
        <v>6.76</v>
      </c>
      <c r="Y29" s="18">
        <v>6.7</v>
      </c>
      <c r="Z29" s="18">
        <v>96.64</v>
      </c>
      <c r="AA29" s="18">
        <v>58.16</v>
      </c>
      <c r="AB29" s="18">
        <v>3.51</v>
      </c>
      <c r="AC29" s="18">
        <v>16.28</v>
      </c>
      <c r="AD29" s="18">
        <v>8.4</v>
      </c>
      <c r="AE29" s="18">
        <v>63.22</v>
      </c>
      <c r="AF29" s="18">
        <v>0</v>
      </c>
      <c r="AG29" s="18">
        <v>1.91</v>
      </c>
      <c r="AH29" s="18">
        <v>2.04</v>
      </c>
      <c r="AI29" s="18">
        <v>0</v>
      </c>
      <c r="AJ29" s="18">
        <v>2</v>
      </c>
      <c r="AK29" s="18">
        <v>0.99</v>
      </c>
      <c r="AL29" s="18">
        <v>0.8</v>
      </c>
      <c r="AM29" s="18">
        <v>14.39</v>
      </c>
      <c r="AN29" s="18">
        <v>0</v>
      </c>
      <c r="AO29" s="18">
        <v>0</v>
      </c>
      <c r="AP29" s="18">
        <v>0.6</v>
      </c>
      <c r="AQ29" s="18">
        <v>0</v>
      </c>
      <c r="AR29" s="18">
        <v>0</v>
      </c>
      <c r="AS29" s="18">
        <v>24.8</v>
      </c>
      <c r="AT29" s="18">
        <v>55.65</v>
      </c>
      <c r="AU29" s="18">
        <v>1.08</v>
      </c>
      <c r="AV29" s="18">
        <v>9.19</v>
      </c>
      <c r="AW29" s="18">
        <v>0</v>
      </c>
      <c r="AX29" s="18">
        <v>8.3000000000000007</v>
      </c>
      <c r="AY29" s="18">
        <v>0</v>
      </c>
      <c r="AZ29" s="18">
        <v>2.66</v>
      </c>
      <c r="BA29" s="18">
        <v>1.02</v>
      </c>
      <c r="BB29" s="18">
        <v>2.92</v>
      </c>
      <c r="BC29" s="18">
        <v>2.58</v>
      </c>
      <c r="BD29" s="18">
        <v>2.2000000000000002</v>
      </c>
      <c r="BE29" s="18">
        <v>0.68</v>
      </c>
      <c r="BF29" s="18">
        <v>0.67</v>
      </c>
      <c r="BG29" s="18">
        <v>1.72</v>
      </c>
      <c r="BH29" s="18">
        <v>15</v>
      </c>
      <c r="BI29" s="18">
        <v>14.2</v>
      </c>
      <c r="BJ29" s="18">
        <v>0</v>
      </c>
      <c r="BK29" s="18">
        <v>0</v>
      </c>
      <c r="BL29" s="18">
        <v>42.73</v>
      </c>
      <c r="BM29" s="18">
        <v>24.79</v>
      </c>
      <c r="BN29" s="18">
        <v>27.21</v>
      </c>
      <c r="BO29" s="18">
        <v>33.24</v>
      </c>
      <c r="BP29" s="18">
        <v>34.479999999999997</v>
      </c>
      <c r="BQ29" s="18">
        <v>4.42</v>
      </c>
      <c r="BR29" s="18">
        <v>18.64</v>
      </c>
      <c r="BS29" s="18">
        <v>27.84</v>
      </c>
      <c r="BT29" s="18">
        <v>54.24</v>
      </c>
      <c r="BU29" s="18">
        <v>15.43</v>
      </c>
      <c r="BV29" s="18">
        <v>9.1</v>
      </c>
      <c r="BW29" s="18">
        <v>22.37</v>
      </c>
      <c r="BX29" s="18">
        <v>0.38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0.5</v>
      </c>
      <c r="CG29" s="18">
        <v>0</v>
      </c>
      <c r="CH29" s="646">
        <v>30.7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646">
        <v>22.01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646">
        <v>30.01</v>
      </c>
      <c r="DF29" s="646">
        <v>114.2</v>
      </c>
      <c r="DG29" s="646">
        <v>10.37</v>
      </c>
      <c r="DH29" s="646">
        <v>57.71</v>
      </c>
      <c r="DI29" s="337">
        <v>0</v>
      </c>
      <c r="DJ29" s="648">
        <v>19.62</v>
      </c>
      <c r="DK29" s="649">
        <v>103.47</v>
      </c>
      <c r="DL29" s="337">
        <v>0</v>
      </c>
      <c r="DM29" s="337">
        <v>0</v>
      </c>
      <c r="DN29" s="337">
        <v>0</v>
      </c>
      <c r="DO29" s="337">
        <v>0</v>
      </c>
      <c r="DP29" s="337">
        <v>0</v>
      </c>
      <c r="DQ29" s="337">
        <v>0</v>
      </c>
      <c r="DR29" s="337">
        <v>0</v>
      </c>
      <c r="DS29" s="337">
        <v>0</v>
      </c>
      <c r="DT29" s="337">
        <v>0</v>
      </c>
      <c r="DU29" s="337">
        <v>0</v>
      </c>
      <c r="DV29" s="337">
        <v>0</v>
      </c>
      <c r="DW29" s="648">
        <v>11.85</v>
      </c>
      <c r="DX29" s="648">
        <v>11.82</v>
      </c>
      <c r="DY29" s="648">
        <v>11.48</v>
      </c>
      <c r="DZ29" s="337">
        <v>0</v>
      </c>
      <c r="EA29" s="337">
        <v>0</v>
      </c>
      <c r="EB29" s="337">
        <v>0</v>
      </c>
      <c r="EC29" s="337">
        <v>0</v>
      </c>
      <c r="ED29" s="337">
        <v>0</v>
      </c>
      <c r="EE29" s="337">
        <v>0</v>
      </c>
      <c r="EF29" s="337">
        <v>0</v>
      </c>
      <c r="EG29" s="337">
        <v>0</v>
      </c>
      <c r="EH29" s="648">
        <v>47.95</v>
      </c>
      <c r="EI29" s="648">
        <v>4.38</v>
      </c>
      <c r="EJ29" s="648">
        <v>5.21</v>
      </c>
      <c r="EK29" s="337">
        <v>0</v>
      </c>
      <c r="EL29" s="337">
        <v>0</v>
      </c>
      <c r="EM29" s="337">
        <v>0</v>
      </c>
      <c r="EN29" s="337">
        <v>0</v>
      </c>
      <c r="EO29" s="337">
        <v>0.5</v>
      </c>
      <c r="EP29" s="337">
        <v>0</v>
      </c>
      <c r="EQ29" s="337">
        <v>0</v>
      </c>
      <c r="ER29" s="648">
        <v>7.57</v>
      </c>
      <c r="ES29" s="337">
        <v>8.4499999999999993</v>
      </c>
      <c r="ET29" s="337">
        <v>12.74</v>
      </c>
      <c r="EU29" s="337">
        <v>0</v>
      </c>
      <c r="EV29" s="337">
        <v>0</v>
      </c>
      <c r="EW29" s="337">
        <v>0</v>
      </c>
      <c r="EX29" s="337">
        <v>0</v>
      </c>
      <c r="EY29" s="337">
        <v>0</v>
      </c>
      <c r="EZ29" s="337">
        <v>0</v>
      </c>
      <c r="FA29" s="337">
        <v>77.12</v>
      </c>
      <c r="FB29" s="337">
        <v>-120.9</v>
      </c>
      <c r="FC29" s="337">
        <v>1942.89</v>
      </c>
      <c r="FD29" s="337">
        <v>1986.67</v>
      </c>
      <c r="FE29" s="21">
        <v>13</v>
      </c>
    </row>
    <row r="30" spans="1:161" s="20" customFormat="1" ht="19.5" customHeight="1">
      <c r="A30" s="447">
        <v>14</v>
      </c>
      <c r="B30" s="18">
        <v>272.83999999999997</v>
      </c>
      <c r="C30" s="18">
        <v>39.9</v>
      </c>
      <c r="D30" s="18">
        <v>37.71</v>
      </c>
      <c r="E30" s="18">
        <v>0</v>
      </c>
      <c r="F30" s="18">
        <v>4.01</v>
      </c>
      <c r="G30" s="18">
        <v>0</v>
      </c>
      <c r="H30" s="18">
        <v>1.07</v>
      </c>
      <c r="I30" s="18">
        <v>6.07</v>
      </c>
      <c r="J30" s="18">
        <v>15.97</v>
      </c>
      <c r="K30" s="18">
        <v>0</v>
      </c>
      <c r="L30" s="18">
        <v>11.56</v>
      </c>
      <c r="M30" s="18">
        <v>3.2</v>
      </c>
      <c r="N30" s="18">
        <v>4.34</v>
      </c>
      <c r="O30" s="18">
        <v>2.61</v>
      </c>
      <c r="P30" s="18">
        <v>28.82</v>
      </c>
      <c r="Q30" s="18">
        <v>8.66</v>
      </c>
      <c r="R30" s="18">
        <v>62.07</v>
      </c>
      <c r="S30" s="18">
        <v>103.22</v>
      </c>
      <c r="T30" s="18">
        <v>66.209999999999994</v>
      </c>
      <c r="U30" s="18">
        <v>48.99</v>
      </c>
      <c r="V30" s="18">
        <v>1.52</v>
      </c>
      <c r="W30" s="18">
        <v>4.41</v>
      </c>
      <c r="X30" s="18">
        <v>13.64</v>
      </c>
      <c r="Y30" s="18">
        <v>11.71</v>
      </c>
      <c r="Z30" s="18">
        <v>96.49</v>
      </c>
      <c r="AA30" s="18">
        <v>58.26</v>
      </c>
      <c r="AB30" s="18">
        <v>3.54</v>
      </c>
      <c r="AC30" s="18">
        <v>15.99</v>
      </c>
      <c r="AD30" s="18">
        <v>9.0399999999999991</v>
      </c>
      <c r="AE30" s="18">
        <v>63.14</v>
      </c>
      <c r="AF30" s="18">
        <v>0</v>
      </c>
      <c r="AG30" s="18">
        <v>1.86</v>
      </c>
      <c r="AH30" s="18">
        <v>2.0299999999999998</v>
      </c>
      <c r="AI30" s="18">
        <v>0</v>
      </c>
      <c r="AJ30" s="18">
        <v>2</v>
      </c>
      <c r="AK30" s="18">
        <v>0.56999999999999995</v>
      </c>
      <c r="AL30" s="18">
        <v>0.81</v>
      </c>
      <c r="AM30" s="18">
        <v>12.04</v>
      </c>
      <c r="AN30" s="18">
        <v>0</v>
      </c>
      <c r="AO30" s="18">
        <v>0</v>
      </c>
      <c r="AP30" s="18">
        <v>0.6</v>
      </c>
      <c r="AQ30" s="18">
        <v>3.62</v>
      </c>
      <c r="AR30" s="18">
        <v>0</v>
      </c>
      <c r="AS30" s="18">
        <v>24.82</v>
      </c>
      <c r="AT30" s="18">
        <v>55</v>
      </c>
      <c r="AU30" s="18">
        <v>1.1499999999999999</v>
      </c>
      <c r="AV30" s="18">
        <v>0</v>
      </c>
      <c r="AW30" s="18">
        <v>8.48</v>
      </c>
      <c r="AX30" s="18">
        <v>8.4</v>
      </c>
      <c r="AY30" s="18">
        <v>0</v>
      </c>
      <c r="AZ30" s="18">
        <v>2.52</v>
      </c>
      <c r="BA30" s="18">
        <v>1.02</v>
      </c>
      <c r="BB30" s="18">
        <v>3.17</v>
      </c>
      <c r="BC30" s="18">
        <v>2.4700000000000002</v>
      </c>
      <c r="BD30" s="18">
        <v>2.2000000000000002</v>
      </c>
      <c r="BE30" s="18">
        <v>0.62</v>
      </c>
      <c r="BF30" s="18">
        <v>0.66</v>
      </c>
      <c r="BG30" s="18">
        <v>1.67</v>
      </c>
      <c r="BH30" s="18">
        <v>14.05</v>
      </c>
      <c r="BI30" s="18">
        <v>14</v>
      </c>
      <c r="BJ30" s="18">
        <v>0</v>
      </c>
      <c r="BK30" s="18">
        <v>0</v>
      </c>
      <c r="BL30" s="18">
        <v>20.87</v>
      </c>
      <c r="BM30" s="18">
        <v>12.86</v>
      </c>
      <c r="BN30" s="18">
        <v>28.22</v>
      </c>
      <c r="BO30" s="18">
        <v>29.77</v>
      </c>
      <c r="BP30" s="18">
        <v>29.4</v>
      </c>
      <c r="BQ30" s="18">
        <v>2.0699999999999998</v>
      </c>
      <c r="BR30" s="18">
        <v>8.36</v>
      </c>
      <c r="BS30" s="18">
        <v>25.79</v>
      </c>
      <c r="BT30" s="18">
        <v>30.15</v>
      </c>
      <c r="BU30" s="18">
        <v>13.52</v>
      </c>
      <c r="BV30" s="18">
        <v>2.5</v>
      </c>
      <c r="BW30" s="18">
        <v>25.31</v>
      </c>
      <c r="BX30" s="18">
        <v>2.3199999999999998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3.3</v>
      </c>
      <c r="CG30" s="18">
        <v>0</v>
      </c>
      <c r="CH30" s="646">
        <v>30.48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646">
        <v>22.01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646">
        <v>29.87</v>
      </c>
      <c r="DF30" s="647">
        <v>115</v>
      </c>
      <c r="DG30" s="646">
        <v>10.33</v>
      </c>
      <c r="DH30" s="646">
        <v>58.72</v>
      </c>
      <c r="DI30" s="337">
        <v>0</v>
      </c>
      <c r="DJ30" s="648">
        <v>20.149999999999999</v>
      </c>
      <c r="DK30" s="337">
        <v>132.1</v>
      </c>
      <c r="DL30" s="337">
        <v>0</v>
      </c>
      <c r="DM30" s="337">
        <v>0</v>
      </c>
      <c r="DN30" s="337">
        <v>0</v>
      </c>
      <c r="DO30" s="337">
        <v>0</v>
      </c>
      <c r="DP30" s="337">
        <v>0</v>
      </c>
      <c r="DQ30" s="337">
        <v>0</v>
      </c>
      <c r="DR30" s="337">
        <v>0</v>
      </c>
      <c r="DS30" s="337">
        <v>0</v>
      </c>
      <c r="DT30" s="337">
        <v>0</v>
      </c>
      <c r="DU30" s="337">
        <v>0</v>
      </c>
      <c r="DV30" s="337">
        <v>0</v>
      </c>
      <c r="DW30" s="648">
        <v>9.6999999999999993</v>
      </c>
      <c r="DX30" s="648">
        <v>9.83</v>
      </c>
      <c r="DY30" s="648">
        <v>9.4700000000000006</v>
      </c>
      <c r="DZ30" s="337">
        <v>0</v>
      </c>
      <c r="EA30" s="337">
        <v>0</v>
      </c>
      <c r="EB30" s="337">
        <v>0</v>
      </c>
      <c r="EC30" s="337">
        <v>0</v>
      </c>
      <c r="ED30" s="337">
        <v>0</v>
      </c>
      <c r="EE30" s="337">
        <v>0</v>
      </c>
      <c r="EF30" s="337">
        <v>0</v>
      </c>
      <c r="EG30" s="337">
        <v>0</v>
      </c>
      <c r="EH30" s="648">
        <v>73.48</v>
      </c>
      <c r="EI30" s="648">
        <v>4.74</v>
      </c>
      <c r="EJ30" s="648">
        <v>5.93</v>
      </c>
      <c r="EK30" s="337">
        <v>0</v>
      </c>
      <c r="EL30" s="337">
        <v>0</v>
      </c>
      <c r="EM30" s="337">
        <v>0</v>
      </c>
      <c r="EN30" s="337">
        <v>0</v>
      </c>
      <c r="EO30" s="337">
        <v>0.46</v>
      </c>
      <c r="EP30" s="337">
        <v>0</v>
      </c>
      <c r="EQ30" s="337">
        <v>0</v>
      </c>
      <c r="ER30" s="337">
        <v>11.56</v>
      </c>
      <c r="ES30" s="337">
        <v>8.4600000000000009</v>
      </c>
      <c r="ET30" s="337">
        <v>12.72</v>
      </c>
      <c r="EU30" s="337">
        <v>0</v>
      </c>
      <c r="EV30" s="337">
        <v>0</v>
      </c>
      <c r="EW30" s="337">
        <v>0</v>
      </c>
      <c r="EX30" s="337">
        <v>0</v>
      </c>
      <c r="EY30" s="337">
        <v>0</v>
      </c>
      <c r="EZ30" s="337">
        <v>0</v>
      </c>
      <c r="FA30" s="337">
        <v>71.34</v>
      </c>
      <c r="FB30" s="337">
        <v>-128.69999999999999</v>
      </c>
      <c r="FC30" s="337">
        <v>1958.2</v>
      </c>
      <c r="FD30" s="337">
        <v>2015.56</v>
      </c>
      <c r="FE30" s="447">
        <v>14</v>
      </c>
    </row>
    <row r="31" spans="1:161" s="20" customFormat="1" ht="19.5" customHeight="1">
      <c r="A31" s="19">
        <v>15</v>
      </c>
      <c r="B31" s="18">
        <v>273.83</v>
      </c>
      <c r="C31" s="18">
        <v>40.29</v>
      </c>
      <c r="D31" s="18">
        <v>38.04</v>
      </c>
      <c r="E31" s="18">
        <v>0</v>
      </c>
      <c r="F31" s="18">
        <v>4.01</v>
      </c>
      <c r="G31" s="18">
        <v>0</v>
      </c>
      <c r="H31" s="18">
        <v>1.08</v>
      </c>
      <c r="I31" s="18">
        <v>6.08</v>
      </c>
      <c r="J31" s="18">
        <v>16.010000000000002</v>
      </c>
      <c r="K31" s="18">
        <v>0</v>
      </c>
      <c r="L31" s="18">
        <v>11.56</v>
      </c>
      <c r="M31" s="18">
        <v>3.19</v>
      </c>
      <c r="N31" s="18">
        <v>4.37</v>
      </c>
      <c r="O31" s="18">
        <v>23.3</v>
      </c>
      <c r="P31" s="18">
        <v>29.49</v>
      </c>
      <c r="Q31" s="18">
        <v>3.21</v>
      </c>
      <c r="R31" s="18">
        <v>62.02</v>
      </c>
      <c r="S31" s="18">
        <v>102.86</v>
      </c>
      <c r="T31" s="18">
        <v>66.040000000000006</v>
      </c>
      <c r="U31" s="18">
        <v>48.86</v>
      </c>
      <c r="V31" s="18">
        <v>1.52</v>
      </c>
      <c r="W31" s="18">
        <v>4.3600000000000003</v>
      </c>
      <c r="X31" s="18">
        <v>11.76</v>
      </c>
      <c r="Y31" s="18">
        <v>11.68</v>
      </c>
      <c r="Z31" s="18">
        <v>96.37</v>
      </c>
      <c r="AA31" s="18">
        <v>57.91</v>
      </c>
      <c r="AB31" s="18">
        <v>3.51</v>
      </c>
      <c r="AC31" s="18">
        <v>15.32</v>
      </c>
      <c r="AD31" s="18">
        <v>9.31</v>
      </c>
      <c r="AE31" s="18">
        <v>63.22</v>
      </c>
      <c r="AF31" s="18">
        <v>0</v>
      </c>
      <c r="AG31" s="18">
        <v>1.82</v>
      </c>
      <c r="AH31" s="18">
        <v>2.0299999999999998</v>
      </c>
      <c r="AI31" s="18">
        <v>0</v>
      </c>
      <c r="AJ31" s="18">
        <v>2</v>
      </c>
      <c r="AK31" s="18">
        <v>0.9</v>
      </c>
      <c r="AL31" s="18">
        <v>0.81</v>
      </c>
      <c r="AM31" s="18">
        <v>9.18</v>
      </c>
      <c r="AN31" s="18">
        <v>0</v>
      </c>
      <c r="AO31" s="18">
        <v>1.45</v>
      </c>
      <c r="AP31" s="18">
        <v>0.59</v>
      </c>
      <c r="AQ31" s="18">
        <v>4.6500000000000004</v>
      </c>
      <c r="AR31" s="18">
        <v>0</v>
      </c>
      <c r="AS31" s="18">
        <v>24.8</v>
      </c>
      <c r="AT31" s="18">
        <v>54.5</v>
      </c>
      <c r="AU31" s="18">
        <v>1.1599999999999999</v>
      </c>
      <c r="AV31" s="18">
        <v>0</v>
      </c>
      <c r="AW31" s="18">
        <v>8.07</v>
      </c>
      <c r="AX31" s="18">
        <v>8.3000000000000007</v>
      </c>
      <c r="AY31" s="18">
        <v>0</v>
      </c>
      <c r="AZ31" s="18">
        <v>2.5299999999999998</v>
      </c>
      <c r="BA31" s="18">
        <v>1.01</v>
      </c>
      <c r="BB31" s="18">
        <v>3.24</v>
      </c>
      <c r="BC31" s="18">
        <v>2.48</v>
      </c>
      <c r="BD31" s="18">
        <v>2.2000000000000002</v>
      </c>
      <c r="BE31" s="18">
        <v>0.56000000000000005</v>
      </c>
      <c r="BF31" s="18">
        <v>0.66</v>
      </c>
      <c r="BG31" s="18">
        <v>1.66</v>
      </c>
      <c r="BH31" s="18">
        <v>14.98</v>
      </c>
      <c r="BI31" s="18">
        <v>13.9</v>
      </c>
      <c r="BJ31" s="18">
        <v>0</v>
      </c>
      <c r="BK31" s="18">
        <v>0</v>
      </c>
      <c r="BL31" s="18">
        <v>25.34</v>
      </c>
      <c r="BM31" s="18">
        <v>13.51</v>
      </c>
      <c r="BN31" s="18">
        <v>28.01</v>
      </c>
      <c r="BO31" s="18">
        <v>23.98</v>
      </c>
      <c r="BP31" s="18">
        <v>30.45</v>
      </c>
      <c r="BQ31" s="18">
        <v>2.36</v>
      </c>
      <c r="BR31" s="18">
        <v>9.93</v>
      </c>
      <c r="BS31" s="18">
        <v>27.57</v>
      </c>
      <c r="BT31" s="18">
        <v>15.47</v>
      </c>
      <c r="BU31" s="18">
        <v>6.36</v>
      </c>
      <c r="BV31" s="18">
        <v>0.2</v>
      </c>
      <c r="BW31" s="18">
        <v>18.43</v>
      </c>
      <c r="BX31" s="18">
        <v>4.4000000000000004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3.4</v>
      </c>
      <c r="CG31" s="18">
        <v>0</v>
      </c>
      <c r="CH31" s="18">
        <v>56.49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647">
        <v>23.01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646">
        <v>30.28</v>
      </c>
      <c r="DF31" s="18">
        <v>132.5</v>
      </c>
      <c r="DG31" s="18">
        <v>15.5</v>
      </c>
      <c r="DH31" s="18">
        <v>69.37</v>
      </c>
      <c r="DI31" s="337">
        <v>0</v>
      </c>
      <c r="DJ31" s="648">
        <v>18.760000000000002</v>
      </c>
      <c r="DK31" s="337">
        <v>133.81</v>
      </c>
      <c r="DL31" s="337">
        <v>0</v>
      </c>
      <c r="DM31" s="337">
        <v>0</v>
      </c>
      <c r="DN31" s="337">
        <v>0</v>
      </c>
      <c r="DO31" s="337">
        <v>0</v>
      </c>
      <c r="DP31" s="337">
        <v>0</v>
      </c>
      <c r="DQ31" s="337">
        <v>0</v>
      </c>
      <c r="DR31" s="337">
        <v>0</v>
      </c>
      <c r="DS31" s="337">
        <v>0</v>
      </c>
      <c r="DT31" s="337">
        <v>0</v>
      </c>
      <c r="DU31" s="337">
        <v>0</v>
      </c>
      <c r="DV31" s="337">
        <v>0</v>
      </c>
      <c r="DW31" s="648">
        <v>7.94</v>
      </c>
      <c r="DX31" s="648">
        <v>7.93</v>
      </c>
      <c r="DY31" s="648">
        <v>7.97</v>
      </c>
      <c r="DZ31" s="337">
        <v>0</v>
      </c>
      <c r="EA31" s="337">
        <v>0</v>
      </c>
      <c r="EB31" s="337">
        <v>0</v>
      </c>
      <c r="EC31" s="337">
        <v>0</v>
      </c>
      <c r="ED31" s="337">
        <v>0</v>
      </c>
      <c r="EE31" s="337">
        <v>0</v>
      </c>
      <c r="EF31" s="337">
        <v>0</v>
      </c>
      <c r="EG31" s="337">
        <v>0</v>
      </c>
      <c r="EH31" s="648">
        <v>71.56</v>
      </c>
      <c r="EI31" s="648">
        <v>3.9</v>
      </c>
      <c r="EJ31" s="648">
        <v>5.96</v>
      </c>
      <c r="EK31" s="337">
        <v>0</v>
      </c>
      <c r="EL31" s="337">
        <v>0</v>
      </c>
      <c r="EM31" s="337">
        <v>0</v>
      </c>
      <c r="EN31" s="337">
        <v>0</v>
      </c>
      <c r="EO31" s="337">
        <v>0.2</v>
      </c>
      <c r="EP31" s="337">
        <v>0</v>
      </c>
      <c r="EQ31" s="337">
        <v>0</v>
      </c>
      <c r="ER31" s="337">
        <v>11.53</v>
      </c>
      <c r="ES31" s="337">
        <v>8.84</v>
      </c>
      <c r="ET31" s="337">
        <v>12.81</v>
      </c>
      <c r="EU31" s="337">
        <v>0</v>
      </c>
      <c r="EV31" s="337">
        <v>0</v>
      </c>
      <c r="EW31" s="337">
        <v>0</v>
      </c>
      <c r="EX31" s="337">
        <v>0</v>
      </c>
      <c r="EY31" s="337">
        <v>0</v>
      </c>
      <c r="EZ31" s="337">
        <v>0</v>
      </c>
      <c r="FA31" s="337">
        <v>99.88</v>
      </c>
      <c r="FB31" s="337">
        <v>-169.4</v>
      </c>
      <c r="FC31" s="337">
        <v>2000.45</v>
      </c>
      <c r="FD31" s="337">
        <v>2069.9699999999998</v>
      </c>
      <c r="FE31" s="19">
        <v>15</v>
      </c>
    </row>
    <row r="32" spans="1:161" s="20" customFormat="1" ht="19.5" customHeight="1">
      <c r="A32" s="19">
        <v>16</v>
      </c>
      <c r="B32" s="18">
        <v>273.18</v>
      </c>
      <c r="C32" s="18">
        <v>40.04</v>
      </c>
      <c r="D32" s="18">
        <v>36.340000000000003</v>
      </c>
      <c r="E32" s="18">
        <v>0</v>
      </c>
      <c r="F32" s="18">
        <v>4.01</v>
      </c>
      <c r="G32" s="18">
        <v>0</v>
      </c>
      <c r="H32" s="18">
        <v>1.05</v>
      </c>
      <c r="I32" s="18">
        <v>6.07</v>
      </c>
      <c r="J32" s="18">
        <v>15.94</v>
      </c>
      <c r="K32" s="18">
        <v>0</v>
      </c>
      <c r="L32" s="18">
        <v>11.55</v>
      </c>
      <c r="M32" s="18">
        <v>3.18</v>
      </c>
      <c r="N32" s="18">
        <v>4.32</v>
      </c>
      <c r="O32" s="18">
        <v>16.29</v>
      </c>
      <c r="P32" s="18">
        <v>37.31</v>
      </c>
      <c r="Q32" s="18">
        <v>11.35</v>
      </c>
      <c r="R32" s="18">
        <v>62.12</v>
      </c>
      <c r="S32" s="18">
        <v>103.18</v>
      </c>
      <c r="T32" s="18">
        <v>66.91</v>
      </c>
      <c r="U32" s="18">
        <v>44.59</v>
      </c>
      <c r="V32" s="18">
        <v>1.52</v>
      </c>
      <c r="W32" s="18">
        <v>4.4000000000000004</v>
      </c>
      <c r="X32" s="18">
        <v>22.39</v>
      </c>
      <c r="Y32" s="18">
        <v>19.399999999999999</v>
      </c>
      <c r="Z32" s="18">
        <v>94.34</v>
      </c>
      <c r="AA32" s="18">
        <v>57.82</v>
      </c>
      <c r="AB32" s="18">
        <v>3.51</v>
      </c>
      <c r="AC32" s="18">
        <v>14.81</v>
      </c>
      <c r="AD32" s="18">
        <v>9.2200000000000006</v>
      </c>
      <c r="AE32" s="18">
        <v>83.65</v>
      </c>
      <c r="AF32" s="18">
        <v>0</v>
      </c>
      <c r="AG32" s="18">
        <v>1.88</v>
      </c>
      <c r="AH32" s="18">
        <v>2.04</v>
      </c>
      <c r="AI32" s="18">
        <v>0</v>
      </c>
      <c r="AJ32" s="18">
        <v>2.0099999999999998</v>
      </c>
      <c r="AK32" s="18">
        <v>0.91</v>
      </c>
      <c r="AL32" s="18">
        <v>0.81</v>
      </c>
      <c r="AM32" s="18">
        <v>3.3</v>
      </c>
      <c r="AN32" s="18">
        <v>0</v>
      </c>
      <c r="AO32" s="18">
        <v>1.5</v>
      </c>
      <c r="AP32" s="18">
        <v>0.59</v>
      </c>
      <c r="AQ32" s="18">
        <v>4.66</v>
      </c>
      <c r="AR32" s="18">
        <v>0</v>
      </c>
      <c r="AS32" s="18">
        <v>24.77</v>
      </c>
      <c r="AT32" s="18">
        <v>51.26</v>
      </c>
      <c r="AU32" s="18">
        <v>1.1000000000000001</v>
      </c>
      <c r="AV32" s="18">
        <v>0</v>
      </c>
      <c r="AW32" s="18">
        <v>8.5</v>
      </c>
      <c r="AX32" s="18">
        <v>8.3000000000000007</v>
      </c>
      <c r="AY32" s="18">
        <v>0</v>
      </c>
      <c r="AZ32" s="18">
        <v>2.67</v>
      </c>
      <c r="BA32" s="18">
        <v>1.02</v>
      </c>
      <c r="BB32" s="18">
        <v>3.21</v>
      </c>
      <c r="BC32" s="18">
        <v>2.4900000000000002</v>
      </c>
      <c r="BD32" s="18">
        <v>2.2000000000000002</v>
      </c>
      <c r="BE32" s="18">
        <v>0.51</v>
      </c>
      <c r="BF32" s="18">
        <v>0.66</v>
      </c>
      <c r="BG32" s="18">
        <v>1.65</v>
      </c>
      <c r="BH32" s="18">
        <v>14.92</v>
      </c>
      <c r="BI32" s="18">
        <v>14.3</v>
      </c>
      <c r="BJ32" s="18">
        <v>0</v>
      </c>
      <c r="BK32" s="18">
        <v>0</v>
      </c>
      <c r="BL32" s="18">
        <v>16.920000000000002</v>
      </c>
      <c r="BM32" s="18">
        <v>18.510000000000002</v>
      </c>
      <c r="BN32" s="18">
        <v>28.84</v>
      </c>
      <c r="BO32" s="18">
        <v>43.25</v>
      </c>
      <c r="BP32" s="18">
        <v>13.1</v>
      </c>
      <c r="BQ32" s="18">
        <v>0.95</v>
      </c>
      <c r="BR32" s="18">
        <v>4.5199999999999996</v>
      </c>
      <c r="BS32" s="18">
        <v>20.61</v>
      </c>
      <c r="BT32" s="18">
        <v>7.56</v>
      </c>
      <c r="BU32" s="18">
        <v>0.86</v>
      </c>
      <c r="BV32" s="18">
        <v>0.6</v>
      </c>
      <c r="BW32" s="18">
        <v>20.3</v>
      </c>
      <c r="BX32" s="18">
        <v>10.99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4.8</v>
      </c>
      <c r="CG32" s="18">
        <v>0</v>
      </c>
      <c r="CH32" s="18">
        <v>56.27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647">
        <v>22.01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646">
        <v>30.15</v>
      </c>
      <c r="DF32" s="18">
        <v>132</v>
      </c>
      <c r="DG32" s="18">
        <v>15.27</v>
      </c>
      <c r="DH32" s="18">
        <v>68.45</v>
      </c>
      <c r="DI32" s="337">
        <v>0</v>
      </c>
      <c r="DJ32" s="648">
        <v>25.24</v>
      </c>
      <c r="DK32" s="337">
        <v>134.37</v>
      </c>
      <c r="DL32" s="337">
        <v>0</v>
      </c>
      <c r="DM32" s="337">
        <v>0</v>
      </c>
      <c r="DN32" s="337">
        <v>0</v>
      </c>
      <c r="DO32" s="337">
        <v>0</v>
      </c>
      <c r="DP32" s="337">
        <v>0</v>
      </c>
      <c r="DQ32" s="337">
        <v>0</v>
      </c>
      <c r="DR32" s="337">
        <v>0</v>
      </c>
      <c r="DS32" s="337">
        <v>0</v>
      </c>
      <c r="DT32" s="337">
        <v>0</v>
      </c>
      <c r="DU32" s="337">
        <v>0</v>
      </c>
      <c r="DV32" s="337">
        <v>0</v>
      </c>
      <c r="DW32" s="648">
        <v>4.32</v>
      </c>
      <c r="DX32" s="648">
        <v>4.3499999999999996</v>
      </c>
      <c r="DY32" s="648">
        <v>4.26</v>
      </c>
      <c r="DZ32" s="337">
        <v>0</v>
      </c>
      <c r="EA32" s="337">
        <v>0</v>
      </c>
      <c r="EB32" s="337">
        <v>0</v>
      </c>
      <c r="EC32" s="337">
        <v>0</v>
      </c>
      <c r="ED32" s="337">
        <v>0</v>
      </c>
      <c r="EE32" s="337">
        <v>0</v>
      </c>
      <c r="EF32" s="337">
        <v>0</v>
      </c>
      <c r="EG32" s="337">
        <v>0</v>
      </c>
      <c r="EH32" s="648">
        <v>47.66</v>
      </c>
      <c r="EI32" s="648">
        <v>4.1100000000000003</v>
      </c>
      <c r="EJ32" s="648">
        <v>5.77</v>
      </c>
      <c r="EK32" s="337">
        <v>0</v>
      </c>
      <c r="EL32" s="337">
        <v>0</v>
      </c>
      <c r="EM32" s="337">
        <v>0</v>
      </c>
      <c r="EN32" s="337">
        <v>0</v>
      </c>
      <c r="EO32" s="337">
        <v>0.2</v>
      </c>
      <c r="EP32" s="337">
        <v>0</v>
      </c>
      <c r="EQ32" s="337">
        <v>0</v>
      </c>
      <c r="ER32" s="337">
        <v>11.6</v>
      </c>
      <c r="ES32" s="337">
        <v>0</v>
      </c>
      <c r="ET32" s="337">
        <v>8.4600000000000009</v>
      </c>
      <c r="EU32" s="337">
        <v>0</v>
      </c>
      <c r="EV32" s="337">
        <v>0</v>
      </c>
      <c r="EW32" s="337">
        <v>0</v>
      </c>
      <c r="EX32" s="337">
        <v>0</v>
      </c>
      <c r="EY32" s="337">
        <v>0</v>
      </c>
      <c r="EZ32" s="337">
        <v>0</v>
      </c>
      <c r="FA32" s="337">
        <v>44.89</v>
      </c>
      <c r="FB32" s="337">
        <v>-123.5</v>
      </c>
      <c r="FC32" s="337">
        <v>1970.05</v>
      </c>
      <c r="FD32" s="337">
        <v>2048.66</v>
      </c>
      <c r="FE32" s="19">
        <v>16</v>
      </c>
    </row>
    <row r="33" spans="1:161" s="20" customFormat="1" ht="19.5" customHeight="1">
      <c r="A33" s="19">
        <v>17</v>
      </c>
      <c r="B33" s="18">
        <v>273.83</v>
      </c>
      <c r="C33" s="18">
        <v>59.51</v>
      </c>
      <c r="D33" s="18">
        <v>38.53</v>
      </c>
      <c r="E33" s="18">
        <v>0</v>
      </c>
      <c r="F33" s="18">
        <v>4.0199999999999996</v>
      </c>
      <c r="G33" s="18">
        <v>0</v>
      </c>
      <c r="H33" s="18">
        <v>1.0900000000000001</v>
      </c>
      <c r="I33" s="18">
        <v>5.95</v>
      </c>
      <c r="J33" s="18">
        <v>15.83</v>
      </c>
      <c r="K33" s="18">
        <v>0</v>
      </c>
      <c r="L33" s="18">
        <v>5.45</v>
      </c>
      <c r="M33" s="18">
        <v>3.16</v>
      </c>
      <c r="N33" s="18">
        <v>8.1</v>
      </c>
      <c r="O33" s="18">
        <v>30.1</v>
      </c>
      <c r="P33" s="18">
        <v>19.5</v>
      </c>
      <c r="Q33" s="18">
        <v>6.34</v>
      </c>
      <c r="R33" s="18">
        <v>62.19</v>
      </c>
      <c r="S33" s="18">
        <v>102.99</v>
      </c>
      <c r="T33" s="18">
        <v>66.790000000000006</v>
      </c>
      <c r="U33" s="18">
        <v>48.91</v>
      </c>
      <c r="V33" s="18">
        <v>4.05</v>
      </c>
      <c r="W33" s="18">
        <v>4.3</v>
      </c>
      <c r="X33" s="18">
        <v>13.72</v>
      </c>
      <c r="Y33" s="18">
        <v>11.82</v>
      </c>
      <c r="Z33" s="18">
        <v>96.64</v>
      </c>
      <c r="AA33" s="18">
        <v>57.61</v>
      </c>
      <c r="AB33" s="18">
        <v>3.07</v>
      </c>
      <c r="AC33" s="18">
        <v>15.92</v>
      </c>
      <c r="AD33" s="18">
        <v>9.17</v>
      </c>
      <c r="AE33" s="18">
        <v>84.91</v>
      </c>
      <c r="AF33" s="18">
        <v>3.66</v>
      </c>
      <c r="AG33" s="18">
        <v>1.94</v>
      </c>
      <c r="AH33" s="18">
        <v>2.04</v>
      </c>
      <c r="AI33" s="18">
        <v>0</v>
      </c>
      <c r="AJ33" s="18">
        <v>2.0099999999999998</v>
      </c>
      <c r="AK33" s="18">
        <v>1.08</v>
      </c>
      <c r="AL33" s="18">
        <v>0.8</v>
      </c>
      <c r="AM33" s="18">
        <v>13.34</v>
      </c>
      <c r="AN33" s="18">
        <v>0</v>
      </c>
      <c r="AO33" s="18">
        <v>9.16</v>
      </c>
      <c r="AP33" s="18">
        <v>0.56999999999999995</v>
      </c>
      <c r="AQ33" s="18">
        <v>4.67</v>
      </c>
      <c r="AR33" s="18">
        <v>0</v>
      </c>
      <c r="AS33" s="18">
        <v>24.83</v>
      </c>
      <c r="AT33" s="18">
        <v>55</v>
      </c>
      <c r="AU33" s="18">
        <v>1.05</v>
      </c>
      <c r="AV33" s="18">
        <v>0</v>
      </c>
      <c r="AW33" s="18">
        <v>0</v>
      </c>
      <c r="AX33" s="18">
        <v>8.3000000000000007</v>
      </c>
      <c r="AY33" s="18">
        <v>0</v>
      </c>
      <c r="AZ33" s="18">
        <v>2.62</v>
      </c>
      <c r="BA33" s="18">
        <v>1.03</v>
      </c>
      <c r="BB33" s="18">
        <v>3.21</v>
      </c>
      <c r="BC33" s="18">
        <v>2.5</v>
      </c>
      <c r="BD33" s="18">
        <v>2.2000000000000002</v>
      </c>
      <c r="BE33" s="18">
        <v>0.51</v>
      </c>
      <c r="BF33" s="18">
        <v>1.46</v>
      </c>
      <c r="BG33" s="18">
        <v>1.64</v>
      </c>
      <c r="BH33" s="18">
        <v>14.73</v>
      </c>
      <c r="BI33" s="18">
        <v>14.3</v>
      </c>
      <c r="BJ33" s="18">
        <v>0</v>
      </c>
      <c r="BK33" s="18">
        <v>0</v>
      </c>
      <c r="BL33" s="18">
        <v>3.69</v>
      </c>
      <c r="BM33" s="18">
        <v>2.12</v>
      </c>
      <c r="BN33" s="18">
        <v>2.95</v>
      </c>
      <c r="BO33" s="18">
        <v>1.91</v>
      </c>
      <c r="BP33" s="18">
        <v>5.74</v>
      </c>
      <c r="BQ33" s="18">
        <v>0.6</v>
      </c>
      <c r="BR33" s="18">
        <v>3.02</v>
      </c>
      <c r="BS33" s="18">
        <v>5.56</v>
      </c>
      <c r="BT33" s="18">
        <v>8.84</v>
      </c>
      <c r="BU33" s="18">
        <v>0</v>
      </c>
      <c r="BV33" s="18">
        <v>1.4</v>
      </c>
      <c r="BW33" s="18">
        <v>19.73</v>
      </c>
      <c r="BX33" s="18">
        <v>8.9700000000000006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56.35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40.01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647">
        <v>30.2</v>
      </c>
      <c r="DF33" s="18">
        <v>131.80000000000001</v>
      </c>
      <c r="DG33" s="18">
        <v>15.71</v>
      </c>
      <c r="DH33" s="18">
        <v>71.180000000000007</v>
      </c>
      <c r="DI33" s="337">
        <v>0</v>
      </c>
      <c r="DJ33" s="337">
        <v>38.729999999999997</v>
      </c>
      <c r="DK33" s="337">
        <v>132.97</v>
      </c>
      <c r="DL33" s="337">
        <v>0</v>
      </c>
      <c r="DM33" s="337">
        <v>0</v>
      </c>
      <c r="DN33" s="337">
        <v>0</v>
      </c>
      <c r="DO33" s="337">
        <v>0</v>
      </c>
      <c r="DP33" s="337">
        <v>0</v>
      </c>
      <c r="DQ33" s="337">
        <v>0</v>
      </c>
      <c r="DR33" s="337">
        <v>0</v>
      </c>
      <c r="DS33" s="337">
        <v>0</v>
      </c>
      <c r="DT33" s="337">
        <v>0</v>
      </c>
      <c r="DU33" s="337">
        <v>0</v>
      </c>
      <c r="DV33" s="337">
        <v>0</v>
      </c>
      <c r="DW33" s="648">
        <v>11.48</v>
      </c>
      <c r="DX33" s="648">
        <v>10.94</v>
      </c>
      <c r="DY33" s="648">
        <v>11.47</v>
      </c>
      <c r="DZ33" s="337">
        <v>0</v>
      </c>
      <c r="EA33" s="648">
        <v>3.57</v>
      </c>
      <c r="EB33" s="337">
        <v>0</v>
      </c>
      <c r="EC33" s="337">
        <v>0</v>
      </c>
      <c r="ED33" s="337">
        <v>0</v>
      </c>
      <c r="EE33" s="337">
        <v>0</v>
      </c>
      <c r="EF33" s="337">
        <v>0</v>
      </c>
      <c r="EG33" s="337">
        <v>0</v>
      </c>
      <c r="EH33" s="648">
        <v>118.24</v>
      </c>
      <c r="EI33" s="648">
        <v>4.07</v>
      </c>
      <c r="EJ33" s="648">
        <v>5.9</v>
      </c>
      <c r="EK33" s="337">
        <v>0</v>
      </c>
      <c r="EL33" s="337">
        <v>0</v>
      </c>
      <c r="EM33" s="337">
        <v>0</v>
      </c>
      <c r="EN33" s="337">
        <v>0</v>
      </c>
      <c r="EO33" s="337">
        <v>0.2</v>
      </c>
      <c r="EP33" s="337">
        <v>0</v>
      </c>
      <c r="EQ33" s="337">
        <v>0</v>
      </c>
      <c r="ER33" s="337">
        <v>11.6</v>
      </c>
      <c r="ES33" s="337">
        <v>8.83</v>
      </c>
      <c r="ET33" s="337">
        <v>12.81</v>
      </c>
      <c r="EU33" s="337">
        <v>0</v>
      </c>
      <c r="EV33" s="337">
        <v>0</v>
      </c>
      <c r="EW33" s="337">
        <v>0</v>
      </c>
      <c r="EX33" s="337">
        <v>0</v>
      </c>
      <c r="EY33" s="337">
        <v>0</v>
      </c>
      <c r="EZ33" s="648">
        <v>9.02</v>
      </c>
      <c r="FA33" s="337">
        <v>36.58</v>
      </c>
      <c r="FB33" s="337">
        <v>-131.4</v>
      </c>
      <c r="FC33" s="337">
        <v>2015.76</v>
      </c>
      <c r="FD33" s="337">
        <v>2110.58</v>
      </c>
      <c r="FE33" s="19">
        <v>17</v>
      </c>
    </row>
    <row r="34" spans="1:161" s="20" customFormat="1" ht="19.5" customHeight="1">
      <c r="A34" s="21">
        <v>18</v>
      </c>
      <c r="B34" s="18">
        <v>274.17</v>
      </c>
      <c r="C34" s="18">
        <v>78.42</v>
      </c>
      <c r="D34" s="18">
        <v>37.880000000000003</v>
      </c>
      <c r="E34" s="18">
        <v>0</v>
      </c>
      <c r="F34" s="18">
        <v>4</v>
      </c>
      <c r="G34" s="18">
        <v>0</v>
      </c>
      <c r="H34" s="18">
        <v>3.59</v>
      </c>
      <c r="I34" s="18">
        <v>9.6300000000000008</v>
      </c>
      <c r="J34" s="18">
        <v>15.83</v>
      </c>
      <c r="K34" s="18">
        <v>0</v>
      </c>
      <c r="L34" s="18">
        <v>9.8800000000000008</v>
      </c>
      <c r="M34" s="18">
        <v>3.17</v>
      </c>
      <c r="N34" s="18">
        <v>8.73</v>
      </c>
      <c r="O34" s="18">
        <v>31.45</v>
      </c>
      <c r="P34" s="18">
        <v>19.5</v>
      </c>
      <c r="Q34" s="18">
        <v>6.36</v>
      </c>
      <c r="R34" s="18">
        <v>62.05</v>
      </c>
      <c r="S34" s="18">
        <v>102.96</v>
      </c>
      <c r="T34" s="18">
        <v>65.67</v>
      </c>
      <c r="U34" s="18">
        <v>48.53</v>
      </c>
      <c r="V34" s="18">
        <v>4.0199999999999996</v>
      </c>
      <c r="W34" s="18">
        <v>4.22</v>
      </c>
      <c r="X34" s="18">
        <v>13.7</v>
      </c>
      <c r="Y34" s="18">
        <v>11.72</v>
      </c>
      <c r="Z34" s="18">
        <v>94.89</v>
      </c>
      <c r="AA34" s="18">
        <v>57.23</v>
      </c>
      <c r="AB34" s="18">
        <v>3.56</v>
      </c>
      <c r="AC34" s="18">
        <v>15.91</v>
      </c>
      <c r="AD34" s="18">
        <v>9.18</v>
      </c>
      <c r="AE34" s="18">
        <v>84.67</v>
      </c>
      <c r="AF34" s="18">
        <v>3.69</v>
      </c>
      <c r="AG34" s="18">
        <v>2</v>
      </c>
      <c r="AH34" s="18">
        <v>2.04</v>
      </c>
      <c r="AI34" s="18">
        <v>0</v>
      </c>
      <c r="AJ34" s="18">
        <v>2.0099999999999998</v>
      </c>
      <c r="AK34" s="18">
        <v>1.64</v>
      </c>
      <c r="AL34" s="18">
        <v>1.1499999999999999</v>
      </c>
      <c r="AM34" s="18">
        <v>16.38</v>
      </c>
      <c r="AN34" s="18">
        <v>0.32</v>
      </c>
      <c r="AO34" s="18">
        <v>10.48</v>
      </c>
      <c r="AP34" s="18">
        <v>0.59</v>
      </c>
      <c r="AQ34" s="18">
        <v>9.3699999999999992</v>
      </c>
      <c r="AR34" s="18">
        <v>0</v>
      </c>
      <c r="AS34" s="18">
        <v>24.82</v>
      </c>
      <c r="AT34" s="18">
        <v>56.09</v>
      </c>
      <c r="AU34" s="18">
        <v>1.01</v>
      </c>
      <c r="AV34" s="18">
        <v>9.16</v>
      </c>
      <c r="AW34" s="18">
        <v>8.14</v>
      </c>
      <c r="AX34" s="18">
        <v>8.3000000000000007</v>
      </c>
      <c r="AY34" s="18">
        <v>0</v>
      </c>
      <c r="AZ34" s="18">
        <v>3.11</v>
      </c>
      <c r="BA34" s="18">
        <v>1.03</v>
      </c>
      <c r="BB34" s="18">
        <v>3.22</v>
      </c>
      <c r="BC34" s="18">
        <v>2.4900000000000002</v>
      </c>
      <c r="BD34" s="18">
        <v>2.2000000000000002</v>
      </c>
      <c r="BE34" s="18">
        <v>1.91</v>
      </c>
      <c r="BF34" s="18">
        <v>1.39</v>
      </c>
      <c r="BG34" s="18">
        <v>1.65</v>
      </c>
      <c r="BH34" s="18">
        <v>15.08</v>
      </c>
      <c r="BI34" s="18">
        <v>14.6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5.3</v>
      </c>
      <c r="BW34" s="18">
        <v>21.12</v>
      </c>
      <c r="BX34" s="18">
        <v>16.809999999999999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56.75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40.01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30.51</v>
      </c>
      <c r="DF34" s="18">
        <v>132.69999999999999</v>
      </c>
      <c r="DG34" s="18">
        <v>15.99</v>
      </c>
      <c r="DH34" s="18">
        <v>71.239999999999995</v>
      </c>
      <c r="DI34" s="337">
        <v>0</v>
      </c>
      <c r="DJ34" s="337">
        <v>44.64</v>
      </c>
      <c r="DK34" s="337">
        <v>133.11000000000001</v>
      </c>
      <c r="DL34" s="337">
        <v>0</v>
      </c>
      <c r="DM34" s="337">
        <v>0</v>
      </c>
      <c r="DN34" s="337">
        <v>0</v>
      </c>
      <c r="DO34" s="337">
        <v>0</v>
      </c>
      <c r="DP34" s="337">
        <v>0</v>
      </c>
      <c r="DQ34" s="337">
        <v>0</v>
      </c>
      <c r="DR34" s="337">
        <v>0</v>
      </c>
      <c r="DS34" s="337">
        <v>0</v>
      </c>
      <c r="DT34" s="337">
        <v>0</v>
      </c>
      <c r="DU34" s="337">
        <v>0</v>
      </c>
      <c r="DV34" s="337">
        <v>0</v>
      </c>
      <c r="DW34" s="337">
        <v>11.51</v>
      </c>
      <c r="DX34" s="337">
        <v>11.66</v>
      </c>
      <c r="DY34" s="337">
        <v>11.61</v>
      </c>
      <c r="DZ34" s="337">
        <v>0</v>
      </c>
      <c r="EA34" s="337">
        <v>5.0999999999999996</v>
      </c>
      <c r="EB34" s="337">
        <v>22.76</v>
      </c>
      <c r="EC34" s="649">
        <v>14.94</v>
      </c>
      <c r="ED34" s="337">
        <v>13.3</v>
      </c>
      <c r="EE34" s="337">
        <v>0</v>
      </c>
      <c r="EF34" s="337">
        <v>0</v>
      </c>
      <c r="EG34" s="337">
        <v>0</v>
      </c>
      <c r="EH34" s="337">
        <v>119.99</v>
      </c>
      <c r="EI34" s="648">
        <v>7.61</v>
      </c>
      <c r="EJ34" s="648">
        <v>8.1300000000000008</v>
      </c>
      <c r="EK34" s="337">
        <v>0</v>
      </c>
      <c r="EL34" s="337">
        <v>0</v>
      </c>
      <c r="EM34" s="337">
        <v>0</v>
      </c>
      <c r="EN34" s="648">
        <v>4.16</v>
      </c>
      <c r="EO34" s="337">
        <v>0.2</v>
      </c>
      <c r="EP34" s="337">
        <v>0</v>
      </c>
      <c r="EQ34" s="337">
        <v>0</v>
      </c>
      <c r="ER34" s="337">
        <v>11.58</v>
      </c>
      <c r="ES34" s="337">
        <v>8.82</v>
      </c>
      <c r="ET34" s="337">
        <v>12.93</v>
      </c>
      <c r="EU34" s="337">
        <v>0</v>
      </c>
      <c r="EV34" s="337">
        <v>0</v>
      </c>
      <c r="EW34" s="337">
        <v>0</v>
      </c>
      <c r="EX34" s="337">
        <v>0</v>
      </c>
      <c r="EY34" s="337">
        <v>0</v>
      </c>
      <c r="EZ34" s="337">
        <v>38.340000000000003</v>
      </c>
      <c r="FA34" s="337">
        <v>103.43</v>
      </c>
      <c r="FB34" s="337">
        <v>-184</v>
      </c>
      <c r="FC34" s="337">
        <v>2155.61</v>
      </c>
      <c r="FD34" s="337">
        <v>2236.1799999999998</v>
      </c>
      <c r="FE34" s="21">
        <v>18</v>
      </c>
    </row>
    <row r="35" spans="1:161" s="20" customFormat="1" ht="19.5" customHeight="1">
      <c r="A35" s="19">
        <v>18.149999999999999</v>
      </c>
      <c r="B35" s="18">
        <v>272.51</v>
      </c>
      <c r="C35" s="18">
        <v>78.62</v>
      </c>
      <c r="D35" s="18">
        <v>37.549999999999997</v>
      </c>
      <c r="E35" s="18">
        <v>0</v>
      </c>
      <c r="F35" s="18">
        <v>4</v>
      </c>
      <c r="G35" s="18">
        <v>0</v>
      </c>
      <c r="H35" s="18">
        <v>3.59</v>
      </c>
      <c r="I35" s="18">
        <v>9.74</v>
      </c>
      <c r="J35" s="18">
        <v>15.9</v>
      </c>
      <c r="K35" s="18">
        <v>0</v>
      </c>
      <c r="L35" s="18">
        <v>9.8800000000000008</v>
      </c>
      <c r="M35" s="18">
        <v>3.18</v>
      </c>
      <c r="N35" s="18">
        <v>8.6999999999999993</v>
      </c>
      <c r="O35" s="18">
        <v>26.38</v>
      </c>
      <c r="P35" s="18">
        <v>19.510000000000002</v>
      </c>
      <c r="Q35" s="18">
        <v>6.35</v>
      </c>
      <c r="R35" s="18">
        <v>62</v>
      </c>
      <c r="S35" s="18">
        <v>102.95</v>
      </c>
      <c r="T35" s="18">
        <v>66.239999999999995</v>
      </c>
      <c r="U35" s="18">
        <v>48.46</v>
      </c>
      <c r="V35" s="18">
        <v>3.03</v>
      </c>
      <c r="W35" s="18">
        <v>4.17</v>
      </c>
      <c r="X35" s="18">
        <v>13.7</v>
      </c>
      <c r="Y35" s="18">
        <v>12.72</v>
      </c>
      <c r="Z35" s="18">
        <v>94.65</v>
      </c>
      <c r="AA35" s="18">
        <v>57</v>
      </c>
      <c r="AB35" s="18">
        <v>3.57</v>
      </c>
      <c r="AC35" s="18">
        <v>15.94</v>
      </c>
      <c r="AD35" s="18">
        <v>9.3000000000000007</v>
      </c>
      <c r="AE35" s="18">
        <v>84.72</v>
      </c>
      <c r="AF35" s="18">
        <v>3.69</v>
      </c>
      <c r="AG35" s="18">
        <v>2</v>
      </c>
      <c r="AH35" s="18">
        <v>2.0299999999999998</v>
      </c>
      <c r="AI35" s="18">
        <v>0</v>
      </c>
      <c r="AJ35" s="18">
        <v>2</v>
      </c>
      <c r="AK35" s="18">
        <v>1.57</v>
      </c>
      <c r="AL35" s="18">
        <v>1.1399999999999999</v>
      </c>
      <c r="AM35" s="18">
        <v>13.64</v>
      </c>
      <c r="AN35" s="18">
        <v>0.33</v>
      </c>
      <c r="AO35" s="18">
        <v>8.91</v>
      </c>
      <c r="AP35" s="18">
        <v>0.56999999999999995</v>
      </c>
      <c r="AQ35" s="18">
        <v>9.34</v>
      </c>
      <c r="AR35" s="18">
        <v>0</v>
      </c>
      <c r="AS35" s="18">
        <v>24.82</v>
      </c>
      <c r="AT35" s="18">
        <v>56.1</v>
      </c>
      <c r="AU35" s="18">
        <v>1.02</v>
      </c>
      <c r="AV35" s="18">
        <v>9.18</v>
      </c>
      <c r="AW35" s="18">
        <v>8.07</v>
      </c>
      <c r="AX35" s="18">
        <v>8.3000000000000007</v>
      </c>
      <c r="AY35" s="18">
        <v>0</v>
      </c>
      <c r="AZ35" s="18">
        <v>2.95</v>
      </c>
      <c r="BA35" s="18">
        <v>1.95</v>
      </c>
      <c r="BB35" s="18">
        <v>3.22</v>
      </c>
      <c r="BC35" s="18">
        <v>5.18</v>
      </c>
      <c r="BD35" s="18">
        <v>2.2000000000000002</v>
      </c>
      <c r="BE35" s="18">
        <v>1.91</v>
      </c>
      <c r="BF35" s="18">
        <v>1.39</v>
      </c>
      <c r="BG35" s="18">
        <v>1.64</v>
      </c>
      <c r="BH35" s="18">
        <v>14.76</v>
      </c>
      <c r="BI35" s="18">
        <v>14.5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9.4</v>
      </c>
      <c r="BW35" s="18">
        <v>22.17</v>
      </c>
      <c r="BX35" s="18">
        <v>16.61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56.8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40.01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30.34</v>
      </c>
      <c r="DF35" s="18">
        <v>132.1</v>
      </c>
      <c r="DG35" s="18">
        <v>16.03</v>
      </c>
      <c r="DH35" s="18">
        <v>71.53</v>
      </c>
      <c r="DI35" s="337">
        <v>0</v>
      </c>
      <c r="DJ35" s="337">
        <v>44.49</v>
      </c>
      <c r="DK35" s="337">
        <v>133.18</v>
      </c>
      <c r="DL35" s="337">
        <v>0</v>
      </c>
      <c r="DM35" s="337">
        <v>0</v>
      </c>
      <c r="DN35" s="337">
        <v>0</v>
      </c>
      <c r="DO35" s="337">
        <v>0</v>
      </c>
      <c r="DP35" s="337">
        <v>0</v>
      </c>
      <c r="DQ35" s="337">
        <v>0</v>
      </c>
      <c r="DR35" s="337">
        <v>0</v>
      </c>
      <c r="DS35" s="337">
        <v>0</v>
      </c>
      <c r="DT35" s="337">
        <v>0</v>
      </c>
      <c r="DU35" s="337">
        <v>0</v>
      </c>
      <c r="DV35" s="337">
        <v>0</v>
      </c>
      <c r="DW35" s="337">
        <v>11.14</v>
      </c>
      <c r="DX35" s="337">
        <v>10.95</v>
      </c>
      <c r="DY35" s="337">
        <v>11.17</v>
      </c>
      <c r="DZ35" s="337">
        <v>0</v>
      </c>
      <c r="EA35" s="337">
        <v>5.0199999999999996</v>
      </c>
      <c r="EB35" s="337">
        <v>22.88</v>
      </c>
      <c r="EC35" s="337">
        <v>14.93</v>
      </c>
      <c r="ED35" s="337">
        <v>13.4</v>
      </c>
      <c r="EE35" s="337">
        <v>0</v>
      </c>
      <c r="EF35" s="337">
        <v>0</v>
      </c>
      <c r="EG35" s="337">
        <v>0</v>
      </c>
      <c r="EH35" s="337">
        <v>117.79</v>
      </c>
      <c r="EI35" s="337">
        <v>10.220000000000001</v>
      </c>
      <c r="EJ35" s="337">
        <v>16.91</v>
      </c>
      <c r="EK35" s="337">
        <v>0</v>
      </c>
      <c r="EL35" s="337">
        <v>0</v>
      </c>
      <c r="EM35" s="337">
        <v>0</v>
      </c>
      <c r="EN35" s="649">
        <v>6.95</v>
      </c>
      <c r="EO35" s="337">
        <v>0.2</v>
      </c>
      <c r="EP35" s="337">
        <v>0</v>
      </c>
      <c r="EQ35" s="337">
        <v>0</v>
      </c>
      <c r="ER35" s="337">
        <v>11.62</v>
      </c>
      <c r="ES35" s="337">
        <v>8.82</v>
      </c>
      <c r="ET35" s="337">
        <v>12.97</v>
      </c>
      <c r="EU35" s="337">
        <v>0</v>
      </c>
      <c r="EV35" s="337">
        <v>0</v>
      </c>
      <c r="EW35" s="337">
        <v>0</v>
      </c>
      <c r="EX35" s="337">
        <v>0</v>
      </c>
      <c r="EY35" s="337">
        <v>0</v>
      </c>
      <c r="EZ35" s="337">
        <v>38.380000000000003</v>
      </c>
      <c r="FA35" s="337">
        <v>52.66</v>
      </c>
      <c r="FB35" s="337">
        <v>-181.6</v>
      </c>
      <c r="FC35" s="337">
        <v>2162.7800000000002</v>
      </c>
      <c r="FD35" s="337">
        <v>2291.7199999999998</v>
      </c>
      <c r="FE35" s="19">
        <v>18.149999999999999</v>
      </c>
    </row>
    <row r="36" spans="1:161" s="20" customFormat="1" ht="19.5" customHeight="1">
      <c r="A36" s="19">
        <v>18.3</v>
      </c>
      <c r="B36" s="18">
        <v>272.17</v>
      </c>
      <c r="C36" s="18">
        <v>78.16</v>
      </c>
      <c r="D36" s="18">
        <v>37.46</v>
      </c>
      <c r="E36" s="18">
        <v>0</v>
      </c>
      <c r="F36" s="18">
        <v>3.99</v>
      </c>
      <c r="G36" s="18">
        <v>0</v>
      </c>
      <c r="H36" s="18">
        <v>3.58</v>
      </c>
      <c r="I36" s="18">
        <v>9.77</v>
      </c>
      <c r="J36" s="18">
        <v>15.81</v>
      </c>
      <c r="K36" s="18">
        <v>0</v>
      </c>
      <c r="L36" s="18">
        <v>9.8800000000000008</v>
      </c>
      <c r="M36" s="18">
        <v>3.19</v>
      </c>
      <c r="N36" s="18">
        <v>8.86</v>
      </c>
      <c r="O36" s="18">
        <v>10.39</v>
      </c>
      <c r="P36" s="18">
        <v>19.420000000000002</v>
      </c>
      <c r="Q36" s="18">
        <v>5.68</v>
      </c>
      <c r="R36" s="18">
        <v>62.08</v>
      </c>
      <c r="S36" s="18">
        <v>102.92</v>
      </c>
      <c r="T36" s="18">
        <v>66.31</v>
      </c>
      <c r="U36" s="18">
        <v>48.39</v>
      </c>
      <c r="V36" s="18">
        <v>3.01</v>
      </c>
      <c r="W36" s="18">
        <v>4.49</v>
      </c>
      <c r="X36" s="18">
        <v>13.7</v>
      </c>
      <c r="Y36" s="18">
        <v>12.53</v>
      </c>
      <c r="Z36" s="18">
        <v>94.53</v>
      </c>
      <c r="AA36" s="18">
        <v>57.31</v>
      </c>
      <c r="AB36" s="18">
        <v>3.6</v>
      </c>
      <c r="AC36" s="18">
        <v>15.93</v>
      </c>
      <c r="AD36" s="18">
        <v>9.23</v>
      </c>
      <c r="AE36" s="18">
        <v>84.84</v>
      </c>
      <c r="AF36" s="18">
        <v>3.69</v>
      </c>
      <c r="AG36" s="18">
        <v>2</v>
      </c>
      <c r="AH36" s="18">
        <v>2.0299999999999998</v>
      </c>
      <c r="AI36" s="18">
        <v>0</v>
      </c>
      <c r="AJ36" s="18">
        <v>2</v>
      </c>
      <c r="AK36" s="18">
        <v>1.63</v>
      </c>
      <c r="AL36" s="18">
        <v>1.1499999999999999</v>
      </c>
      <c r="AM36" s="18">
        <v>16.55</v>
      </c>
      <c r="AN36" s="18">
        <v>0.32</v>
      </c>
      <c r="AO36" s="18">
        <v>11.05</v>
      </c>
      <c r="AP36" s="18">
        <v>0.56000000000000005</v>
      </c>
      <c r="AQ36" s="18">
        <v>9.35</v>
      </c>
      <c r="AR36" s="18">
        <v>0</v>
      </c>
      <c r="AS36" s="18">
        <v>24.82</v>
      </c>
      <c r="AT36" s="18">
        <v>56.15</v>
      </c>
      <c r="AU36" s="18">
        <v>1.01</v>
      </c>
      <c r="AV36" s="18">
        <v>9.2100000000000009</v>
      </c>
      <c r="AW36" s="18">
        <v>11.6</v>
      </c>
      <c r="AX36" s="18">
        <v>8.3000000000000007</v>
      </c>
      <c r="AY36" s="18">
        <v>0</v>
      </c>
      <c r="AZ36" s="18">
        <v>2.75</v>
      </c>
      <c r="BA36" s="18">
        <v>1.94</v>
      </c>
      <c r="BB36" s="18">
        <v>3.23</v>
      </c>
      <c r="BC36" s="18">
        <v>5.17</v>
      </c>
      <c r="BD36" s="18">
        <v>2.2000000000000002</v>
      </c>
      <c r="BE36" s="18">
        <v>1.91</v>
      </c>
      <c r="BF36" s="18">
        <v>1.38</v>
      </c>
      <c r="BG36" s="18">
        <v>1.64</v>
      </c>
      <c r="BH36" s="18">
        <v>15.31</v>
      </c>
      <c r="BI36" s="18">
        <v>14.7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6.2</v>
      </c>
      <c r="BW36" s="18">
        <v>15.81</v>
      </c>
      <c r="BX36" s="18">
        <v>17.16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56.76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40.01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30.12</v>
      </c>
      <c r="DF36" s="18">
        <v>132.5</v>
      </c>
      <c r="DG36" s="18">
        <v>16.14</v>
      </c>
      <c r="DH36" s="18">
        <v>71.069999999999993</v>
      </c>
      <c r="DI36" s="337">
        <v>0</v>
      </c>
      <c r="DJ36" s="337">
        <v>45.03</v>
      </c>
      <c r="DK36" s="337">
        <v>133.18</v>
      </c>
      <c r="DL36" s="337">
        <v>0</v>
      </c>
      <c r="DM36" s="337">
        <v>0</v>
      </c>
      <c r="DN36" s="337">
        <v>0</v>
      </c>
      <c r="DO36" s="337">
        <v>0</v>
      </c>
      <c r="DP36" s="337">
        <v>0</v>
      </c>
      <c r="DQ36" s="337">
        <v>0</v>
      </c>
      <c r="DR36" s="337">
        <v>0</v>
      </c>
      <c r="DS36" s="337">
        <v>0</v>
      </c>
      <c r="DT36" s="337">
        <v>0</v>
      </c>
      <c r="DU36" s="337">
        <v>0</v>
      </c>
      <c r="DV36" s="337">
        <v>0</v>
      </c>
      <c r="DW36" s="337">
        <v>12.96</v>
      </c>
      <c r="DX36" s="337">
        <v>13.41</v>
      </c>
      <c r="DY36" s="337">
        <v>13.33</v>
      </c>
      <c r="DZ36" s="337">
        <v>0</v>
      </c>
      <c r="EA36" s="337">
        <v>4.99</v>
      </c>
      <c r="EB36" s="337">
        <v>22.68</v>
      </c>
      <c r="EC36" s="337">
        <v>14.69</v>
      </c>
      <c r="ED36" s="337">
        <v>13.4</v>
      </c>
      <c r="EE36" s="337">
        <v>0</v>
      </c>
      <c r="EF36" s="337">
        <v>0</v>
      </c>
      <c r="EG36" s="337">
        <v>0</v>
      </c>
      <c r="EH36" s="337">
        <v>128.02000000000001</v>
      </c>
      <c r="EI36" s="337">
        <v>9.69</v>
      </c>
      <c r="EJ36" s="337">
        <v>20.05</v>
      </c>
      <c r="EK36" s="337">
        <v>0</v>
      </c>
      <c r="EL36" s="337">
        <v>0</v>
      </c>
      <c r="EM36" s="337">
        <v>0</v>
      </c>
      <c r="EN36" s="649">
        <v>6.77</v>
      </c>
      <c r="EO36" s="337">
        <v>0.2</v>
      </c>
      <c r="EP36" s="337">
        <v>0</v>
      </c>
      <c r="EQ36" s="337">
        <v>0</v>
      </c>
      <c r="ER36" s="337">
        <v>11.62</v>
      </c>
      <c r="ES36" s="337">
        <v>8.85</v>
      </c>
      <c r="ET36" s="337">
        <v>12.74</v>
      </c>
      <c r="EU36" s="337">
        <v>0</v>
      </c>
      <c r="EV36" s="337">
        <v>0</v>
      </c>
      <c r="EW36" s="337">
        <v>0</v>
      </c>
      <c r="EX36" s="337">
        <v>0</v>
      </c>
      <c r="EY36" s="337">
        <v>0</v>
      </c>
      <c r="EZ36" s="337">
        <v>37.53</v>
      </c>
      <c r="FA36" s="337">
        <v>25.12</v>
      </c>
      <c r="FB36" s="337">
        <v>-121.4</v>
      </c>
      <c r="FC36" s="337">
        <v>2163.79</v>
      </c>
      <c r="FD36" s="337">
        <v>2260.0700000000002</v>
      </c>
      <c r="FE36" s="19">
        <v>18.3</v>
      </c>
    </row>
    <row r="37" spans="1:161" s="20" customFormat="1" ht="19.5" customHeight="1">
      <c r="A37" s="19">
        <v>18.45</v>
      </c>
      <c r="B37" s="18">
        <v>268.52</v>
      </c>
      <c r="C37" s="18">
        <v>79.209999999999994</v>
      </c>
      <c r="D37" s="18">
        <v>37.61</v>
      </c>
      <c r="E37" s="18">
        <v>0</v>
      </c>
      <c r="F37" s="18">
        <v>4.01</v>
      </c>
      <c r="G37" s="18">
        <v>0</v>
      </c>
      <c r="H37" s="18">
        <v>3.59</v>
      </c>
      <c r="I37" s="18">
        <v>9.73</v>
      </c>
      <c r="J37" s="18">
        <v>15.9</v>
      </c>
      <c r="K37" s="18">
        <v>0</v>
      </c>
      <c r="L37" s="18">
        <v>9.8800000000000008</v>
      </c>
      <c r="M37" s="18">
        <v>3.2</v>
      </c>
      <c r="N37" s="18">
        <v>8.9</v>
      </c>
      <c r="O37" s="18">
        <v>0</v>
      </c>
      <c r="P37" s="18">
        <v>19.489999999999998</v>
      </c>
      <c r="Q37" s="18">
        <v>5.68</v>
      </c>
      <c r="R37" s="18">
        <v>62.11</v>
      </c>
      <c r="S37" s="18">
        <v>103.18</v>
      </c>
      <c r="T37" s="18">
        <v>66.16</v>
      </c>
      <c r="U37" s="18">
        <v>48.54</v>
      </c>
      <c r="V37" s="18">
        <v>3.05</v>
      </c>
      <c r="W37" s="18">
        <v>4.2699999999999996</v>
      </c>
      <c r="X37" s="18">
        <v>13.69</v>
      </c>
      <c r="Y37" s="18">
        <v>12.65</v>
      </c>
      <c r="Z37" s="18">
        <v>95.41</v>
      </c>
      <c r="AA37" s="18">
        <v>57.86</v>
      </c>
      <c r="AB37" s="18">
        <v>3.59</v>
      </c>
      <c r="AC37" s="18">
        <v>15.88</v>
      </c>
      <c r="AD37" s="18">
        <v>9.19</v>
      </c>
      <c r="AE37" s="18">
        <v>84.99</v>
      </c>
      <c r="AF37" s="18">
        <v>3.69</v>
      </c>
      <c r="AG37" s="18">
        <v>2.0299999999999998</v>
      </c>
      <c r="AH37" s="18">
        <v>2.0299999999999998</v>
      </c>
      <c r="AI37" s="18">
        <v>0</v>
      </c>
      <c r="AJ37" s="18">
        <v>2</v>
      </c>
      <c r="AK37" s="18">
        <v>1.63</v>
      </c>
      <c r="AL37" s="18">
        <v>1.1399999999999999</v>
      </c>
      <c r="AM37" s="18">
        <v>17.55</v>
      </c>
      <c r="AN37" s="18">
        <v>0.32</v>
      </c>
      <c r="AO37" s="18">
        <v>11.75</v>
      </c>
      <c r="AP37" s="18">
        <v>0.56000000000000005</v>
      </c>
      <c r="AQ37" s="18">
        <v>9.33</v>
      </c>
      <c r="AR37" s="18">
        <v>0</v>
      </c>
      <c r="AS37" s="18">
        <v>24.81</v>
      </c>
      <c r="AT37" s="18">
        <v>56.13</v>
      </c>
      <c r="AU37" s="18">
        <v>0.99</v>
      </c>
      <c r="AV37" s="18">
        <v>9.2799999999999994</v>
      </c>
      <c r="AW37" s="18">
        <v>11.49</v>
      </c>
      <c r="AX37" s="18">
        <v>8.3000000000000007</v>
      </c>
      <c r="AY37" s="18">
        <v>0</v>
      </c>
      <c r="AZ37" s="18">
        <v>2.56</v>
      </c>
      <c r="BA37" s="18">
        <v>1.94</v>
      </c>
      <c r="BB37" s="18">
        <v>3.23</v>
      </c>
      <c r="BC37" s="18">
        <v>5.15</v>
      </c>
      <c r="BD37" s="18">
        <v>2.2000000000000002</v>
      </c>
      <c r="BE37" s="18">
        <v>1.9</v>
      </c>
      <c r="BF37" s="18">
        <v>1.37</v>
      </c>
      <c r="BG37" s="18">
        <v>1.65</v>
      </c>
      <c r="BH37" s="18">
        <v>15.41</v>
      </c>
      <c r="BI37" s="18">
        <v>14.7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4.9000000000000004</v>
      </c>
      <c r="BW37" s="18">
        <v>15.24</v>
      </c>
      <c r="BX37" s="18">
        <v>17.399999999999999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56.75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40.01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30.58</v>
      </c>
      <c r="DF37" s="18">
        <v>132.5</v>
      </c>
      <c r="DG37" s="18">
        <v>16.149999999999999</v>
      </c>
      <c r="DH37" s="18">
        <v>70.53</v>
      </c>
      <c r="DI37" s="337">
        <v>0</v>
      </c>
      <c r="DJ37" s="337">
        <v>44.98</v>
      </c>
      <c r="DK37" s="337">
        <v>133.46</v>
      </c>
      <c r="DL37" s="337">
        <v>0</v>
      </c>
      <c r="DM37" s="337">
        <v>0</v>
      </c>
      <c r="DN37" s="337">
        <v>0</v>
      </c>
      <c r="DO37" s="337">
        <v>0</v>
      </c>
      <c r="DP37" s="337">
        <v>0</v>
      </c>
      <c r="DQ37" s="337">
        <v>0</v>
      </c>
      <c r="DR37" s="337">
        <v>0</v>
      </c>
      <c r="DS37" s="337">
        <v>0</v>
      </c>
      <c r="DT37" s="337">
        <v>0</v>
      </c>
      <c r="DU37" s="337">
        <v>0</v>
      </c>
      <c r="DV37" s="337">
        <v>0</v>
      </c>
      <c r="DW37" s="337">
        <v>14.06</v>
      </c>
      <c r="DX37" s="337">
        <v>13.89</v>
      </c>
      <c r="DY37" s="337">
        <v>14.31</v>
      </c>
      <c r="DZ37" s="337">
        <v>0</v>
      </c>
      <c r="EA37" s="337">
        <v>5</v>
      </c>
      <c r="EB37" s="337">
        <v>22.86</v>
      </c>
      <c r="EC37" s="337">
        <v>15.06</v>
      </c>
      <c r="ED37" s="337">
        <v>13.5</v>
      </c>
      <c r="EE37" s="337">
        <v>0</v>
      </c>
      <c r="EF37" s="337">
        <v>0</v>
      </c>
      <c r="EG37" s="337">
        <v>0</v>
      </c>
      <c r="EH37" s="337">
        <v>131.46</v>
      </c>
      <c r="EI37" s="337">
        <v>10.25</v>
      </c>
      <c r="EJ37" s="337">
        <v>20.71</v>
      </c>
      <c r="EK37" s="337">
        <v>0</v>
      </c>
      <c r="EL37" s="337">
        <v>0</v>
      </c>
      <c r="EM37" s="337">
        <v>0</v>
      </c>
      <c r="EN37" s="649">
        <v>6.87</v>
      </c>
      <c r="EO37" s="337">
        <v>0.2</v>
      </c>
      <c r="EP37" s="337">
        <v>0</v>
      </c>
      <c r="EQ37" s="337">
        <v>0</v>
      </c>
      <c r="ER37" s="337">
        <v>11.61</v>
      </c>
      <c r="ES37" s="337">
        <v>8.83</v>
      </c>
      <c r="ET37" s="337">
        <v>12.81</v>
      </c>
      <c r="EU37" s="337">
        <v>0</v>
      </c>
      <c r="EV37" s="337">
        <v>0</v>
      </c>
      <c r="EW37" s="337">
        <v>0</v>
      </c>
      <c r="EX37" s="337">
        <v>0</v>
      </c>
      <c r="EY37" s="337">
        <v>0</v>
      </c>
      <c r="EZ37" s="337">
        <v>38.33</v>
      </c>
      <c r="FA37" s="337">
        <v>59.3</v>
      </c>
      <c r="FB37" s="337">
        <v>-159.19999999999999</v>
      </c>
      <c r="FC37" s="337">
        <v>2161.6799999999998</v>
      </c>
      <c r="FD37" s="337">
        <v>2261.58</v>
      </c>
      <c r="FE37" s="19">
        <v>18.45</v>
      </c>
    </row>
    <row r="38" spans="1:161" s="20" customFormat="1" ht="19.5" customHeight="1">
      <c r="A38" s="19">
        <v>19</v>
      </c>
      <c r="B38" s="18">
        <v>272.51</v>
      </c>
      <c r="C38" s="18">
        <v>77.89</v>
      </c>
      <c r="D38" s="18">
        <v>28.36</v>
      </c>
      <c r="E38" s="18">
        <v>0</v>
      </c>
      <c r="F38" s="18">
        <v>4</v>
      </c>
      <c r="G38" s="18">
        <v>0</v>
      </c>
      <c r="H38" s="18">
        <v>3.57</v>
      </c>
      <c r="I38" s="18">
        <v>9.75</v>
      </c>
      <c r="J38" s="18">
        <v>15.77</v>
      </c>
      <c r="K38" s="18">
        <v>0</v>
      </c>
      <c r="L38" s="18">
        <v>9.8699999999999992</v>
      </c>
      <c r="M38" s="18">
        <v>3.18</v>
      </c>
      <c r="N38" s="18">
        <v>8.74</v>
      </c>
      <c r="O38" s="18">
        <v>0</v>
      </c>
      <c r="P38" s="18">
        <v>19.489999999999998</v>
      </c>
      <c r="Q38" s="18">
        <v>5.68</v>
      </c>
      <c r="R38" s="18">
        <v>62.17</v>
      </c>
      <c r="S38" s="18">
        <v>103.2</v>
      </c>
      <c r="T38" s="18">
        <v>66.13</v>
      </c>
      <c r="U38" s="18">
        <v>48.47</v>
      </c>
      <c r="V38" s="18">
        <v>3.03</v>
      </c>
      <c r="W38" s="18">
        <v>4.3099999999999996</v>
      </c>
      <c r="X38" s="18">
        <v>13.71</v>
      </c>
      <c r="Y38" s="18">
        <v>12.58</v>
      </c>
      <c r="Z38" s="18">
        <v>94.9</v>
      </c>
      <c r="AA38" s="18">
        <v>57.03</v>
      </c>
      <c r="AB38" s="18">
        <v>3.59</v>
      </c>
      <c r="AC38" s="18">
        <v>15.96</v>
      </c>
      <c r="AD38" s="18">
        <v>9.27</v>
      </c>
      <c r="AE38" s="18">
        <v>84.75</v>
      </c>
      <c r="AF38" s="18">
        <v>3.69</v>
      </c>
      <c r="AG38" s="18">
        <v>2.0299999999999998</v>
      </c>
      <c r="AH38" s="18">
        <v>1.45</v>
      </c>
      <c r="AI38" s="18">
        <v>0</v>
      </c>
      <c r="AJ38" s="18">
        <v>2.0099999999999998</v>
      </c>
      <c r="AK38" s="18">
        <v>1.63</v>
      </c>
      <c r="AL38" s="18">
        <v>1.1399999999999999</v>
      </c>
      <c r="AM38" s="18">
        <v>16.190000000000001</v>
      </c>
      <c r="AN38" s="18">
        <v>0.33</v>
      </c>
      <c r="AO38" s="18">
        <v>10.26</v>
      </c>
      <c r="AP38" s="18">
        <v>0.57999999999999996</v>
      </c>
      <c r="AQ38" s="18">
        <v>9.35</v>
      </c>
      <c r="AR38" s="18">
        <v>0</v>
      </c>
      <c r="AS38" s="18">
        <v>24.76</v>
      </c>
      <c r="AT38" s="18">
        <v>56.08</v>
      </c>
      <c r="AU38" s="18">
        <v>1.01</v>
      </c>
      <c r="AV38" s="18">
        <v>9.25</v>
      </c>
      <c r="AW38" s="18">
        <v>11.34</v>
      </c>
      <c r="AX38" s="18">
        <v>8.3000000000000007</v>
      </c>
      <c r="AY38" s="18">
        <v>0</v>
      </c>
      <c r="AZ38" s="18">
        <v>2.58</v>
      </c>
      <c r="BA38" s="18">
        <v>1.94</v>
      </c>
      <c r="BB38" s="18">
        <v>3.22</v>
      </c>
      <c r="BC38" s="18">
        <v>5.14</v>
      </c>
      <c r="BD38" s="18">
        <v>2.2000000000000002</v>
      </c>
      <c r="BE38" s="18">
        <v>1.9</v>
      </c>
      <c r="BF38" s="18">
        <v>1.36</v>
      </c>
      <c r="BG38" s="18">
        <v>1.64</v>
      </c>
      <c r="BH38" s="18">
        <v>15.28</v>
      </c>
      <c r="BI38" s="18">
        <v>14.4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0.76</v>
      </c>
      <c r="BV38" s="18">
        <v>7.2</v>
      </c>
      <c r="BW38" s="18">
        <v>20.68</v>
      </c>
      <c r="BX38" s="18">
        <v>17.059999999999999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56.95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40.01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30.16</v>
      </c>
      <c r="DF38" s="18">
        <v>132.5</v>
      </c>
      <c r="DG38" s="18">
        <v>15.96</v>
      </c>
      <c r="DH38" s="18">
        <v>70.98</v>
      </c>
      <c r="DI38" s="337">
        <v>0</v>
      </c>
      <c r="DJ38" s="337">
        <v>44.22</v>
      </c>
      <c r="DK38" s="337">
        <v>132.62</v>
      </c>
      <c r="DL38" s="337">
        <v>0</v>
      </c>
      <c r="DM38" s="337">
        <v>0</v>
      </c>
      <c r="DN38" s="337">
        <v>0</v>
      </c>
      <c r="DO38" s="337">
        <v>0</v>
      </c>
      <c r="DP38" s="337">
        <v>0</v>
      </c>
      <c r="DQ38" s="337">
        <v>0</v>
      </c>
      <c r="DR38" s="337">
        <v>0</v>
      </c>
      <c r="DS38" s="337">
        <v>0</v>
      </c>
      <c r="DT38" s="337">
        <v>0</v>
      </c>
      <c r="DU38" s="337">
        <v>0</v>
      </c>
      <c r="DV38" s="337">
        <v>0</v>
      </c>
      <c r="DW38" s="337">
        <v>12.04</v>
      </c>
      <c r="DX38" s="337">
        <v>11.87</v>
      </c>
      <c r="DY38" s="337">
        <v>12.08</v>
      </c>
      <c r="DZ38" s="337">
        <v>0</v>
      </c>
      <c r="EA38" s="337">
        <v>5.0199999999999996</v>
      </c>
      <c r="EB38" s="337">
        <v>22.74</v>
      </c>
      <c r="EC38" s="337">
        <v>14.81</v>
      </c>
      <c r="ED38" s="337">
        <v>18.2</v>
      </c>
      <c r="EE38" s="337">
        <v>0</v>
      </c>
      <c r="EF38" s="337">
        <v>0</v>
      </c>
      <c r="EG38" s="337">
        <v>0</v>
      </c>
      <c r="EH38" s="337">
        <v>125.5</v>
      </c>
      <c r="EI38" s="337">
        <v>9.6999999999999993</v>
      </c>
      <c r="EJ38" s="337">
        <v>20.32</v>
      </c>
      <c r="EK38" s="337">
        <v>0</v>
      </c>
      <c r="EL38" s="337">
        <v>0</v>
      </c>
      <c r="EM38" s="337">
        <v>0</v>
      </c>
      <c r="EN38" s="649">
        <v>6.71</v>
      </c>
      <c r="EO38" s="337">
        <v>0.3</v>
      </c>
      <c r="EP38" s="337">
        <v>0</v>
      </c>
      <c r="EQ38" s="337">
        <v>0</v>
      </c>
      <c r="ER38" s="337">
        <v>11.62</v>
      </c>
      <c r="ES38" s="337">
        <v>8.84</v>
      </c>
      <c r="ET38" s="337">
        <v>12.8</v>
      </c>
      <c r="EU38" s="337">
        <v>0</v>
      </c>
      <c r="EV38" s="337">
        <v>0</v>
      </c>
      <c r="EW38" s="337">
        <v>0</v>
      </c>
      <c r="EX38" s="337">
        <v>0</v>
      </c>
      <c r="EY38" s="337">
        <v>0</v>
      </c>
      <c r="EZ38" s="337">
        <v>38.33</v>
      </c>
      <c r="FA38" s="337">
        <v>66.52</v>
      </c>
      <c r="FB38" s="337">
        <v>-181.8</v>
      </c>
      <c r="FC38" s="337">
        <v>2146.9499999999998</v>
      </c>
      <c r="FD38" s="337">
        <v>2262.23</v>
      </c>
      <c r="FE38" s="19">
        <v>19</v>
      </c>
    </row>
    <row r="39" spans="1:161" s="20" customFormat="1" ht="19.5" customHeight="1">
      <c r="A39" s="19">
        <v>19.149999999999999</v>
      </c>
      <c r="B39" s="18">
        <v>271.18</v>
      </c>
      <c r="C39" s="18">
        <v>79.36</v>
      </c>
      <c r="D39" s="18">
        <v>26.18</v>
      </c>
      <c r="E39" s="18">
        <v>0</v>
      </c>
      <c r="F39" s="18">
        <v>4.01</v>
      </c>
      <c r="G39" s="18">
        <v>0</v>
      </c>
      <c r="H39" s="18">
        <v>3.55</v>
      </c>
      <c r="I39" s="18">
        <v>9.8000000000000007</v>
      </c>
      <c r="J39" s="18">
        <v>15.99</v>
      </c>
      <c r="K39" s="18">
        <v>0</v>
      </c>
      <c r="L39" s="18">
        <v>9.8800000000000008</v>
      </c>
      <c r="M39" s="18">
        <v>3.22</v>
      </c>
      <c r="N39" s="18">
        <v>8.7200000000000006</v>
      </c>
      <c r="O39" s="18">
        <v>0</v>
      </c>
      <c r="P39" s="18">
        <v>19.53</v>
      </c>
      <c r="Q39" s="18">
        <v>5.68</v>
      </c>
      <c r="R39" s="18">
        <v>62.13</v>
      </c>
      <c r="S39" s="18">
        <v>103.04</v>
      </c>
      <c r="T39" s="18">
        <v>66.349999999999994</v>
      </c>
      <c r="U39" s="18">
        <v>48.55</v>
      </c>
      <c r="V39" s="18">
        <v>3.03</v>
      </c>
      <c r="W39" s="18">
        <v>4.13</v>
      </c>
      <c r="X39" s="18">
        <v>13.72</v>
      </c>
      <c r="Y39" s="18">
        <v>12.54</v>
      </c>
      <c r="Z39" s="18">
        <v>95.87</v>
      </c>
      <c r="AA39" s="18">
        <v>57.17</v>
      </c>
      <c r="AB39" s="18">
        <v>3.59</v>
      </c>
      <c r="AC39" s="18">
        <v>16.010000000000002</v>
      </c>
      <c r="AD39" s="18">
        <v>9.1</v>
      </c>
      <c r="AE39" s="18">
        <v>84.86</v>
      </c>
      <c r="AF39" s="18">
        <v>3.67</v>
      </c>
      <c r="AG39" s="18">
        <v>2.0299999999999998</v>
      </c>
      <c r="AH39" s="18">
        <v>2</v>
      </c>
      <c r="AI39" s="18">
        <v>0</v>
      </c>
      <c r="AJ39" s="18">
        <v>2.0299999999999998</v>
      </c>
      <c r="AK39" s="18">
        <v>1.61</v>
      </c>
      <c r="AL39" s="18">
        <v>1.1399999999999999</v>
      </c>
      <c r="AM39" s="18">
        <v>6.95</v>
      </c>
      <c r="AN39" s="18">
        <v>0.33</v>
      </c>
      <c r="AO39" s="18">
        <v>3.82</v>
      </c>
      <c r="AP39" s="18">
        <v>0.59</v>
      </c>
      <c r="AQ39" s="18">
        <v>9.35</v>
      </c>
      <c r="AR39" s="18">
        <v>0</v>
      </c>
      <c r="AS39" s="18">
        <v>24.86</v>
      </c>
      <c r="AT39" s="18">
        <v>55.87</v>
      </c>
      <c r="AU39" s="18">
        <v>1.01</v>
      </c>
      <c r="AV39" s="18">
        <v>9.2100000000000009</v>
      </c>
      <c r="AW39" s="18">
        <v>11.52</v>
      </c>
      <c r="AX39" s="18">
        <v>8.3000000000000007</v>
      </c>
      <c r="AY39" s="18">
        <v>0</v>
      </c>
      <c r="AZ39" s="18">
        <v>2.58</v>
      </c>
      <c r="BA39" s="18">
        <v>1.93</v>
      </c>
      <c r="BB39" s="18">
        <v>2.96</v>
      </c>
      <c r="BC39" s="18">
        <v>5.13</v>
      </c>
      <c r="BD39" s="18">
        <v>2.2000000000000002</v>
      </c>
      <c r="BE39" s="18">
        <v>1.9</v>
      </c>
      <c r="BF39" s="18">
        <v>1.35</v>
      </c>
      <c r="BG39" s="18">
        <v>1.65</v>
      </c>
      <c r="BH39" s="18">
        <v>14.82</v>
      </c>
      <c r="BI39" s="18">
        <v>14.7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5.47</v>
      </c>
      <c r="BV39" s="18">
        <v>8.8000000000000007</v>
      </c>
      <c r="BW39" s="18">
        <v>23.44</v>
      </c>
      <c r="BX39" s="18">
        <v>16.940000000000001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56.85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40.01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30.66</v>
      </c>
      <c r="DF39" s="18">
        <v>132.19999999999999</v>
      </c>
      <c r="DG39" s="18">
        <v>16.2</v>
      </c>
      <c r="DH39" s="18">
        <v>71.28</v>
      </c>
      <c r="DI39" s="337">
        <v>0</v>
      </c>
      <c r="DJ39" s="337">
        <v>44.63</v>
      </c>
      <c r="DK39" s="337">
        <v>133.11000000000001</v>
      </c>
      <c r="DL39" s="337">
        <v>0</v>
      </c>
      <c r="DM39" s="337">
        <v>0</v>
      </c>
      <c r="DN39" s="337">
        <v>0</v>
      </c>
      <c r="DO39" s="337">
        <v>0</v>
      </c>
      <c r="DP39" s="337">
        <v>0</v>
      </c>
      <c r="DQ39" s="337">
        <v>0</v>
      </c>
      <c r="DR39" s="337">
        <v>0</v>
      </c>
      <c r="DS39" s="337">
        <v>0</v>
      </c>
      <c r="DT39" s="337">
        <v>0</v>
      </c>
      <c r="DU39" s="337">
        <v>0</v>
      </c>
      <c r="DV39" s="337">
        <v>0</v>
      </c>
      <c r="DW39" s="337">
        <v>6.87</v>
      </c>
      <c r="DX39" s="337">
        <v>6.85</v>
      </c>
      <c r="DY39" s="337">
        <v>6.66</v>
      </c>
      <c r="DZ39" s="337">
        <v>0</v>
      </c>
      <c r="EA39" s="337">
        <v>5.07</v>
      </c>
      <c r="EB39" s="337">
        <v>22.7</v>
      </c>
      <c r="EC39" s="337">
        <v>14.89</v>
      </c>
      <c r="ED39" s="337">
        <v>22.1</v>
      </c>
      <c r="EE39" s="337">
        <v>0</v>
      </c>
      <c r="EF39" s="337">
        <v>0</v>
      </c>
      <c r="EG39" s="337">
        <v>0</v>
      </c>
      <c r="EH39" s="337">
        <v>106.45</v>
      </c>
      <c r="EI39" s="337">
        <v>10.61</v>
      </c>
      <c r="EJ39" s="337">
        <v>20.45</v>
      </c>
      <c r="EK39" s="337">
        <v>0</v>
      </c>
      <c r="EL39" s="337">
        <v>0</v>
      </c>
      <c r="EM39" s="337">
        <v>0</v>
      </c>
      <c r="EN39" s="649">
        <v>6.99</v>
      </c>
      <c r="EO39" s="337">
        <v>0.3</v>
      </c>
      <c r="EP39" s="337">
        <v>0</v>
      </c>
      <c r="EQ39" s="337">
        <v>0</v>
      </c>
      <c r="ER39" s="337">
        <v>11.6</v>
      </c>
      <c r="ES39" s="337">
        <v>8.84</v>
      </c>
      <c r="ET39" s="337">
        <v>12.83</v>
      </c>
      <c r="EU39" s="337">
        <v>0</v>
      </c>
      <c r="EV39" s="337">
        <v>0</v>
      </c>
      <c r="EW39" s="337">
        <v>0</v>
      </c>
      <c r="EX39" s="337">
        <v>0</v>
      </c>
      <c r="EY39" s="337">
        <v>0</v>
      </c>
      <c r="EZ39" s="337">
        <v>38.36</v>
      </c>
      <c r="FA39" s="337">
        <v>26.74</v>
      </c>
      <c r="FB39" s="337">
        <v>-150.30000000000001</v>
      </c>
      <c r="FC39" s="337">
        <v>2111.86</v>
      </c>
      <c r="FD39" s="337">
        <v>2235.42</v>
      </c>
      <c r="FE39" s="19">
        <v>19.149999999999999</v>
      </c>
    </row>
    <row r="40" spans="1:161" s="20" customFormat="1" ht="19.5" customHeight="1">
      <c r="A40" s="19">
        <v>19.3</v>
      </c>
      <c r="B40" s="18">
        <v>271.83999999999997</v>
      </c>
      <c r="C40" s="18">
        <v>78.790000000000006</v>
      </c>
      <c r="D40" s="18">
        <v>26.36</v>
      </c>
      <c r="E40" s="18">
        <v>0</v>
      </c>
      <c r="F40" s="18">
        <v>4.01</v>
      </c>
      <c r="G40" s="18">
        <v>0</v>
      </c>
      <c r="H40" s="18">
        <v>3.56</v>
      </c>
      <c r="I40" s="18">
        <v>9.69</v>
      </c>
      <c r="J40" s="18">
        <v>15.94</v>
      </c>
      <c r="K40" s="18">
        <v>0</v>
      </c>
      <c r="L40" s="18">
        <v>9.8699999999999992</v>
      </c>
      <c r="M40" s="18">
        <v>3.23</v>
      </c>
      <c r="N40" s="18">
        <v>8.64</v>
      </c>
      <c r="O40" s="18">
        <v>0</v>
      </c>
      <c r="P40" s="18">
        <v>19.489999999999998</v>
      </c>
      <c r="Q40" s="18">
        <v>5.68</v>
      </c>
      <c r="R40" s="18">
        <v>62.1</v>
      </c>
      <c r="S40" s="18">
        <v>102.92</v>
      </c>
      <c r="T40" s="18">
        <v>66.2</v>
      </c>
      <c r="U40" s="18">
        <v>49</v>
      </c>
      <c r="V40" s="18">
        <v>3.05</v>
      </c>
      <c r="W40" s="18">
        <v>4.3899999999999997</v>
      </c>
      <c r="X40" s="18">
        <v>13.69</v>
      </c>
      <c r="Y40" s="18">
        <v>12.67</v>
      </c>
      <c r="Z40" s="18">
        <v>95.78</v>
      </c>
      <c r="AA40" s="18">
        <v>57.17</v>
      </c>
      <c r="AB40" s="18">
        <v>3.6</v>
      </c>
      <c r="AC40" s="18">
        <v>15.99</v>
      </c>
      <c r="AD40" s="18">
        <v>9.08</v>
      </c>
      <c r="AE40" s="18">
        <v>84.81</v>
      </c>
      <c r="AF40" s="18">
        <v>3.68</v>
      </c>
      <c r="AG40" s="18">
        <v>2</v>
      </c>
      <c r="AH40" s="18">
        <v>2.06</v>
      </c>
      <c r="AI40" s="18">
        <v>0</v>
      </c>
      <c r="AJ40" s="18">
        <v>2.04</v>
      </c>
      <c r="AK40" s="18">
        <v>1.64</v>
      </c>
      <c r="AL40" s="18">
        <v>1.1299999999999999</v>
      </c>
      <c r="AM40" s="18">
        <v>4.45</v>
      </c>
      <c r="AN40" s="18">
        <v>0.33</v>
      </c>
      <c r="AO40" s="18">
        <v>2.14</v>
      </c>
      <c r="AP40" s="18">
        <v>0.57999999999999996</v>
      </c>
      <c r="AQ40" s="18">
        <v>9.33</v>
      </c>
      <c r="AR40" s="18">
        <v>0</v>
      </c>
      <c r="AS40" s="18">
        <v>24.83</v>
      </c>
      <c r="AT40" s="18">
        <v>56.07</v>
      </c>
      <c r="AU40" s="18">
        <v>1.01</v>
      </c>
      <c r="AV40" s="18">
        <v>9.2100000000000009</v>
      </c>
      <c r="AW40" s="18">
        <v>11.12</v>
      </c>
      <c r="AX40" s="18">
        <v>8.4</v>
      </c>
      <c r="AY40" s="18">
        <v>0</v>
      </c>
      <c r="AZ40" s="18">
        <v>2.62</v>
      </c>
      <c r="BA40" s="18">
        <v>1.93</v>
      </c>
      <c r="BB40" s="18">
        <v>2.33</v>
      </c>
      <c r="BC40" s="18">
        <v>5.1100000000000003</v>
      </c>
      <c r="BD40" s="18">
        <v>2.2000000000000002</v>
      </c>
      <c r="BE40" s="18">
        <v>1.89</v>
      </c>
      <c r="BF40" s="18">
        <v>1.34</v>
      </c>
      <c r="BG40" s="18">
        <v>1.64</v>
      </c>
      <c r="BH40" s="18">
        <v>14.84</v>
      </c>
      <c r="BI40" s="18">
        <v>14.7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11.39</v>
      </c>
      <c r="BV40" s="18">
        <v>14.9</v>
      </c>
      <c r="BW40" s="18">
        <v>22.07</v>
      </c>
      <c r="BX40" s="18">
        <v>16.68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56.83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40.01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30.25</v>
      </c>
      <c r="DF40" s="18">
        <v>132.4</v>
      </c>
      <c r="DG40" s="18">
        <v>16.010000000000002</v>
      </c>
      <c r="DH40" s="18">
        <v>71.900000000000006</v>
      </c>
      <c r="DI40" s="337">
        <v>0</v>
      </c>
      <c r="DJ40" s="337">
        <v>44.83</v>
      </c>
      <c r="DK40" s="337">
        <v>132.69</v>
      </c>
      <c r="DL40" s="337">
        <v>0</v>
      </c>
      <c r="DM40" s="337">
        <v>0</v>
      </c>
      <c r="DN40" s="337">
        <v>0</v>
      </c>
      <c r="DO40" s="337">
        <v>0</v>
      </c>
      <c r="DP40" s="337">
        <v>0</v>
      </c>
      <c r="DQ40" s="337">
        <v>0</v>
      </c>
      <c r="DR40" s="337">
        <v>0</v>
      </c>
      <c r="DS40" s="337">
        <v>0</v>
      </c>
      <c r="DT40" s="337">
        <v>0</v>
      </c>
      <c r="DU40" s="337">
        <v>0</v>
      </c>
      <c r="DV40" s="337">
        <v>0</v>
      </c>
      <c r="DW40" s="337">
        <v>5.25</v>
      </c>
      <c r="DX40" s="337">
        <v>5.05</v>
      </c>
      <c r="DY40" s="337">
        <v>5.08</v>
      </c>
      <c r="DZ40" s="337">
        <v>0</v>
      </c>
      <c r="EA40" s="337">
        <v>5.01</v>
      </c>
      <c r="EB40" s="337">
        <v>22.76</v>
      </c>
      <c r="EC40" s="337">
        <v>14.83</v>
      </c>
      <c r="ED40" s="337">
        <v>22.3</v>
      </c>
      <c r="EE40" s="337">
        <v>0</v>
      </c>
      <c r="EF40" s="337">
        <v>0</v>
      </c>
      <c r="EG40" s="337">
        <v>0</v>
      </c>
      <c r="EH40" s="337">
        <v>100.6</v>
      </c>
      <c r="EI40" s="337">
        <v>9.93</v>
      </c>
      <c r="EJ40" s="337">
        <v>20.05</v>
      </c>
      <c r="EK40" s="337">
        <v>0</v>
      </c>
      <c r="EL40" s="337">
        <v>0</v>
      </c>
      <c r="EM40" s="337">
        <v>0</v>
      </c>
      <c r="EN40" s="649">
        <v>6.79</v>
      </c>
      <c r="EO40" s="337">
        <v>0.3</v>
      </c>
      <c r="EP40" s="337">
        <v>0</v>
      </c>
      <c r="EQ40" s="337">
        <v>0</v>
      </c>
      <c r="ER40" s="337">
        <v>11.61</v>
      </c>
      <c r="ES40" s="337">
        <v>8.85</v>
      </c>
      <c r="ET40" s="337">
        <v>12.98</v>
      </c>
      <c r="EU40" s="337">
        <v>0</v>
      </c>
      <c r="EV40" s="337">
        <v>0</v>
      </c>
      <c r="EW40" s="337">
        <v>0</v>
      </c>
      <c r="EX40" s="337">
        <v>0</v>
      </c>
      <c r="EY40" s="337">
        <v>0</v>
      </c>
      <c r="EZ40" s="337">
        <v>37.6</v>
      </c>
      <c r="FA40" s="337">
        <v>46.43</v>
      </c>
      <c r="FB40" s="337">
        <v>-173.6</v>
      </c>
      <c r="FC40" s="337">
        <v>2105.12</v>
      </c>
      <c r="FD40" s="337">
        <v>2232.29</v>
      </c>
      <c r="FE40" s="19">
        <v>19.3</v>
      </c>
    </row>
    <row r="41" spans="1:161" s="20" customFormat="1" ht="19.5" customHeight="1">
      <c r="A41" s="19">
        <v>19.45</v>
      </c>
      <c r="B41" s="18">
        <v>263.18</v>
      </c>
      <c r="C41" s="18">
        <v>78.98</v>
      </c>
      <c r="D41" s="18">
        <v>26.15</v>
      </c>
      <c r="E41" s="18">
        <v>0</v>
      </c>
      <c r="F41" s="18">
        <v>4</v>
      </c>
      <c r="G41" s="18">
        <v>0</v>
      </c>
      <c r="H41" s="18">
        <v>3.55</v>
      </c>
      <c r="I41" s="18">
        <v>9.73</v>
      </c>
      <c r="J41" s="18">
        <v>15.93</v>
      </c>
      <c r="K41" s="18">
        <v>0</v>
      </c>
      <c r="L41" s="18">
        <v>9.8699999999999992</v>
      </c>
      <c r="M41" s="18">
        <v>3.16</v>
      </c>
      <c r="N41" s="18">
        <v>8.84</v>
      </c>
      <c r="O41" s="18">
        <v>0</v>
      </c>
      <c r="P41" s="18">
        <v>19.54</v>
      </c>
      <c r="Q41" s="18">
        <v>5.67</v>
      </c>
      <c r="R41" s="18">
        <v>62.12</v>
      </c>
      <c r="S41" s="18">
        <v>103</v>
      </c>
      <c r="T41" s="18">
        <v>66.239999999999995</v>
      </c>
      <c r="U41" s="18">
        <v>48.83</v>
      </c>
      <c r="V41" s="18">
        <v>3.04</v>
      </c>
      <c r="W41" s="18">
        <v>4.3499999999999996</v>
      </c>
      <c r="X41" s="18">
        <v>13.64</v>
      </c>
      <c r="Y41" s="18">
        <v>12.57</v>
      </c>
      <c r="Z41" s="18">
        <v>95.62</v>
      </c>
      <c r="AA41" s="18">
        <v>57.09</v>
      </c>
      <c r="AB41" s="18">
        <v>3.59</v>
      </c>
      <c r="AC41" s="18">
        <v>15.94</v>
      </c>
      <c r="AD41" s="18">
        <v>9.2899999999999991</v>
      </c>
      <c r="AE41" s="18">
        <v>84.74</v>
      </c>
      <c r="AF41" s="18">
        <v>3.68</v>
      </c>
      <c r="AG41" s="18">
        <v>2</v>
      </c>
      <c r="AH41" s="18">
        <v>2.04</v>
      </c>
      <c r="AI41" s="18">
        <v>0</v>
      </c>
      <c r="AJ41" s="18">
        <v>2.04</v>
      </c>
      <c r="AK41" s="18">
        <v>1.62</v>
      </c>
      <c r="AL41" s="18">
        <v>1.1299999999999999</v>
      </c>
      <c r="AM41" s="18">
        <v>2.73</v>
      </c>
      <c r="AN41" s="18">
        <v>0.32</v>
      </c>
      <c r="AO41" s="18">
        <v>1.51</v>
      </c>
      <c r="AP41" s="18">
        <v>0.59</v>
      </c>
      <c r="AQ41" s="18">
        <v>9.32</v>
      </c>
      <c r="AR41" s="18">
        <v>0</v>
      </c>
      <c r="AS41" s="18">
        <v>24.85</v>
      </c>
      <c r="AT41" s="18">
        <v>55.86</v>
      </c>
      <c r="AU41" s="18">
        <v>1</v>
      </c>
      <c r="AV41" s="18">
        <v>9.23</v>
      </c>
      <c r="AW41" s="18">
        <v>8.09</v>
      </c>
      <c r="AX41" s="18">
        <v>8.3000000000000007</v>
      </c>
      <c r="AY41" s="18">
        <v>0</v>
      </c>
      <c r="AZ41" s="18">
        <v>2.63</v>
      </c>
      <c r="BA41" s="18">
        <v>1.93</v>
      </c>
      <c r="BB41" s="18">
        <v>2.36</v>
      </c>
      <c r="BC41" s="18">
        <v>5.0999999999999996</v>
      </c>
      <c r="BD41" s="18">
        <v>2.2000000000000002</v>
      </c>
      <c r="BE41" s="18">
        <v>1.89</v>
      </c>
      <c r="BF41" s="18">
        <v>1.33</v>
      </c>
      <c r="BG41" s="18">
        <v>1.63</v>
      </c>
      <c r="BH41" s="18">
        <v>15.23</v>
      </c>
      <c r="BI41" s="18">
        <v>14.6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13.83</v>
      </c>
      <c r="BV41" s="18">
        <v>12.5</v>
      </c>
      <c r="BW41" s="18">
        <v>15.78</v>
      </c>
      <c r="BX41" s="18">
        <v>17.07</v>
      </c>
      <c r="BY41" s="18">
        <v>0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56.71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41.01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30.18</v>
      </c>
      <c r="DF41" s="18">
        <v>132.5</v>
      </c>
      <c r="DG41" s="18">
        <v>16.13</v>
      </c>
      <c r="DH41" s="18">
        <v>71.06</v>
      </c>
      <c r="DI41" s="337">
        <v>0</v>
      </c>
      <c r="DJ41" s="337">
        <v>44.54</v>
      </c>
      <c r="DK41" s="337">
        <v>133.04</v>
      </c>
      <c r="DL41" s="337">
        <v>0</v>
      </c>
      <c r="DM41" s="337">
        <v>0</v>
      </c>
      <c r="DN41" s="337">
        <v>0</v>
      </c>
      <c r="DO41" s="337">
        <v>0</v>
      </c>
      <c r="DP41" s="337">
        <v>0</v>
      </c>
      <c r="DQ41" s="337">
        <v>0</v>
      </c>
      <c r="DR41" s="337">
        <v>0</v>
      </c>
      <c r="DS41" s="337">
        <v>0</v>
      </c>
      <c r="DT41" s="337">
        <v>0</v>
      </c>
      <c r="DU41" s="337">
        <v>0</v>
      </c>
      <c r="DV41" s="337">
        <v>0</v>
      </c>
      <c r="DW41" s="337">
        <v>4.68</v>
      </c>
      <c r="DX41" s="337">
        <v>4.55</v>
      </c>
      <c r="DY41" s="337">
        <v>4.43</v>
      </c>
      <c r="DZ41" s="337">
        <v>0</v>
      </c>
      <c r="EA41" s="337">
        <v>4.96</v>
      </c>
      <c r="EB41" s="337">
        <v>22.76</v>
      </c>
      <c r="EC41" s="337">
        <v>14.92</v>
      </c>
      <c r="ED41" s="337">
        <v>22.3</v>
      </c>
      <c r="EE41" s="337">
        <v>0</v>
      </c>
      <c r="EF41" s="337">
        <v>0</v>
      </c>
      <c r="EG41" s="337">
        <v>0</v>
      </c>
      <c r="EH41" s="337">
        <v>98.72</v>
      </c>
      <c r="EI41" s="337">
        <v>9.2899999999999991</v>
      </c>
      <c r="EJ41" s="337">
        <v>20.32</v>
      </c>
      <c r="EK41" s="337">
        <v>0</v>
      </c>
      <c r="EL41" s="337">
        <v>0</v>
      </c>
      <c r="EM41" s="337">
        <v>0</v>
      </c>
      <c r="EN41" s="649">
        <v>6.68</v>
      </c>
      <c r="EO41" s="337">
        <v>0.3</v>
      </c>
      <c r="EP41" s="337">
        <v>0</v>
      </c>
      <c r="EQ41" s="337">
        <v>0</v>
      </c>
      <c r="ER41" s="337">
        <v>11.62</v>
      </c>
      <c r="ES41" s="337">
        <v>8.83</v>
      </c>
      <c r="ET41" s="337">
        <v>12.99</v>
      </c>
      <c r="EU41" s="337">
        <v>0</v>
      </c>
      <c r="EV41" s="337">
        <v>0</v>
      </c>
      <c r="EW41" s="337">
        <v>0</v>
      </c>
      <c r="EX41" s="337">
        <v>0</v>
      </c>
      <c r="EY41" s="337">
        <v>0</v>
      </c>
      <c r="EZ41" s="337">
        <v>38.380000000000003</v>
      </c>
      <c r="FA41" s="337">
        <v>63.73</v>
      </c>
      <c r="FB41" s="337">
        <v>-193.9</v>
      </c>
      <c r="FC41" s="337">
        <v>2081.9499999999998</v>
      </c>
      <c r="FD41" s="337">
        <v>2212.12</v>
      </c>
      <c r="FE41" s="19">
        <v>19.45</v>
      </c>
    </row>
    <row r="42" spans="1:161" s="20" customFormat="1" ht="19.5" customHeight="1">
      <c r="A42" s="19">
        <v>20</v>
      </c>
      <c r="B42" s="18">
        <v>261.52</v>
      </c>
      <c r="C42" s="18">
        <v>78.3</v>
      </c>
      <c r="D42" s="18">
        <v>18.59</v>
      </c>
      <c r="E42" s="18">
        <v>0</v>
      </c>
      <c r="F42" s="18">
        <v>4</v>
      </c>
      <c r="G42" s="18">
        <v>0</v>
      </c>
      <c r="H42" s="18">
        <v>3.54</v>
      </c>
      <c r="I42" s="18">
        <v>9.74</v>
      </c>
      <c r="J42" s="18">
        <v>15.76</v>
      </c>
      <c r="K42" s="18">
        <v>0</v>
      </c>
      <c r="L42" s="18">
        <v>9.8800000000000008</v>
      </c>
      <c r="M42" s="18">
        <v>3.2</v>
      </c>
      <c r="N42" s="18">
        <v>8.6300000000000008</v>
      </c>
      <c r="O42" s="18">
        <v>0</v>
      </c>
      <c r="P42" s="18">
        <v>19.5</v>
      </c>
      <c r="Q42" s="18">
        <v>5.68</v>
      </c>
      <c r="R42" s="18">
        <v>62.01</v>
      </c>
      <c r="S42" s="18">
        <v>103.08</v>
      </c>
      <c r="T42" s="18">
        <v>66.34</v>
      </c>
      <c r="U42" s="18">
        <v>48.66</v>
      </c>
      <c r="V42" s="18">
        <v>3.03</v>
      </c>
      <c r="W42" s="18">
        <v>4.55</v>
      </c>
      <c r="X42" s="18">
        <v>13.6</v>
      </c>
      <c r="Y42" s="18">
        <v>12.65</v>
      </c>
      <c r="Z42" s="18">
        <v>95.56</v>
      </c>
      <c r="AA42" s="18">
        <v>56.92</v>
      </c>
      <c r="AB42" s="18">
        <v>3.57</v>
      </c>
      <c r="AC42" s="18">
        <v>15.85</v>
      </c>
      <c r="AD42" s="18">
        <v>9.1300000000000008</v>
      </c>
      <c r="AE42" s="18">
        <v>84.72</v>
      </c>
      <c r="AF42" s="18">
        <v>3.67</v>
      </c>
      <c r="AG42" s="18">
        <v>2</v>
      </c>
      <c r="AH42" s="18">
        <v>2.0499999999999998</v>
      </c>
      <c r="AI42" s="18">
        <v>0</v>
      </c>
      <c r="AJ42" s="18">
        <v>2.04</v>
      </c>
      <c r="AK42" s="18">
        <v>1.62</v>
      </c>
      <c r="AL42" s="18">
        <v>1.1299999999999999</v>
      </c>
      <c r="AM42" s="18">
        <v>4.32</v>
      </c>
      <c r="AN42" s="18">
        <v>0.32</v>
      </c>
      <c r="AO42" s="18">
        <v>1.52</v>
      </c>
      <c r="AP42" s="18">
        <v>0.59</v>
      </c>
      <c r="AQ42" s="18">
        <v>9.3000000000000007</v>
      </c>
      <c r="AR42" s="18">
        <v>0</v>
      </c>
      <c r="AS42" s="18">
        <v>24.89</v>
      </c>
      <c r="AT42" s="18">
        <v>56.13</v>
      </c>
      <c r="AU42" s="18">
        <v>1.03</v>
      </c>
      <c r="AV42" s="18">
        <v>9.24</v>
      </c>
      <c r="AW42" s="18">
        <v>8.07</v>
      </c>
      <c r="AX42" s="18">
        <v>8.3000000000000007</v>
      </c>
      <c r="AY42" s="18">
        <v>0</v>
      </c>
      <c r="AZ42" s="18">
        <v>2.62</v>
      </c>
      <c r="BA42" s="18">
        <v>1.93</v>
      </c>
      <c r="BB42" s="18">
        <v>1.58</v>
      </c>
      <c r="BC42" s="18">
        <v>5.08</v>
      </c>
      <c r="BD42" s="18">
        <v>2.2000000000000002</v>
      </c>
      <c r="BE42" s="18">
        <v>1.89</v>
      </c>
      <c r="BF42" s="18">
        <v>1.32</v>
      </c>
      <c r="BG42" s="18">
        <v>1.63</v>
      </c>
      <c r="BH42" s="18">
        <v>15.23</v>
      </c>
      <c r="BI42" s="18">
        <v>14.7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16.09</v>
      </c>
      <c r="BV42" s="18">
        <v>13.4</v>
      </c>
      <c r="BW42" s="18">
        <v>11.9</v>
      </c>
      <c r="BX42" s="18">
        <v>17.649999999999999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56.69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39.01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30.23</v>
      </c>
      <c r="DF42" s="18">
        <v>132.30000000000001</v>
      </c>
      <c r="DG42" s="18">
        <v>15.94</v>
      </c>
      <c r="DH42" s="18">
        <v>71.209999999999994</v>
      </c>
      <c r="DI42" s="337">
        <v>0</v>
      </c>
      <c r="DJ42" s="337">
        <v>44.51</v>
      </c>
      <c r="DK42" s="337">
        <v>133.25</v>
      </c>
      <c r="DL42" s="337">
        <v>0</v>
      </c>
      <c r="DM42" s="337">
        <v>0</v>
      </c>
      <c r="DN42" s="337">
        <v>0</v>
      </c>
      <c r="DO42" s="337">
        <v>0</v>
      </c>
      <c r="DP42" s="337">
        <v>0</v>
      </c>
      <c r="DQ42" s="337">
        <v>0</v>
      </c>
      <c r="DR42" s="337">
        <v>0</v>
      </c>
      <c r="DS42" s="337">
        <v>0</v>
      </c>
      <c r="DT42" s="337">
        <v>0</v>
      </c>
      <c r="DU42" s="337">
        <v>0</v>
      </c>
      <c r="DV42" s="337">
        <v>0</v>
      </c>
      <c r="DW42" s="337">
        <v>4.74</v>
      </c>
      <c r="DX42" s="337">
        <v>4.5999999999999996</v>
      </c>
      <c r="DY42" s="337">
        <v>4.78</v>
      </c>
      <c r="DZ42" s="337">
        <v>0</v>
      </c>
      <c r="EA42" s="337">
        <v>5.05</v>
      </c>
      <c r="EB42" s="337">
        <v>22.82</v>
      </c>
      <c r="EC42" s="337">
        <v>14.96</v>
      </c>
      <c r="ED42" s="337">
        <v>22.2</v>
      </c>
      <c r="EE42" s="337">
        <v>0</v>
      </c>
      <c r="EF42" s="337">
        <v>0</v>
      </c>
      <c r="EG42" s="337">
        <v>0</v>
      </c>
      <c r="EH42" s="337">
        <v>98.98</v>
      </c>
      <c r="EI42" s="337">
        <v>9.89</v>
      </c>
      <c r="EJ42" s="337">
        <v>20.32</v>
      </c>
      <c r="EK42" s="337">
        <v>0</v>
      </c>
      <c r="EL42" s="337">
        <v>0</v>
      </c>
      <c r="EM42" s="337">
        <v>0</v>
      </c>
      <c r="EN42" s="649">
        <v>6.65</v>
      </c>
      <c r="EO42" s="337">
        <v>0.3</v>
      </c>
      <c r="EP42" s="337">
        <v>0</v>
      </c>
      <c r="EQ42" s="337">
        <v>0</v>
      </c>
      <c r="ER42" s="337">
        <v>11.62</v>
      </c>
      <c r="ES42" s="337">
        <v>8.85</v>
      </c>
      <c r="ET42" s="337">
        <v>12.8</v>
      </c>
      <c r="EU42" s="337">
        <v>0</v>
      </c>
      <c r="EV42" s="337">
        <v>0</v>
      </c>
      <c r="EW42" s="337">
        <v>0</v>
      </c>
      <c r="EX42" s="337">
        <v>0</v>
      </c>
      <c r="EY42" s="337">
        <v>0</v>
      </c>
      <c r="EZ42" s="337">
        <v>38.35</v>
      </c>
      <c r="FA42" s="337">
        <v>41.84</v>
      </c>
      <c r="FB42" s="337">
        <v>-162.69999999999999</v>
      </c>
      <c r="FC42" s="337">
        <v>2071.5</v>
      </c>
      <c r="FD42" s="337">
        <v>2192.36</v>
      </c>
      <c r="FE42" s="19">
        <v>20</v>
      </c>
    </row>
    <row r="43" spans="1:161" s="20" customFormat="1" ht="19.5" customHeight="1">
      <c r="A43" s="19">
        <v>20.149999999999999</v>
      </c>
      <c r="B43" s="18">
        <v>263.18</v>
      </c>
      <c r="C43" s="18">
        <v>78.81</v>
      </c>
      <c r="D43" s="18">
        <v>18.78</v>
      </c>
      <c r="E43" s="18">
        <v>0</v>
      </c>
      <c r="F43" s="18">
        <v>4</v>
      </c>
      <c r="G43" s="18">
        <v>0</v>
      </c>
      <c r="H43" s="18">
        <v>3.52</v>
      </c>
      <c r="I43" s="18">
        <v>9.8000000000000007</v>
      </c>
      <c r="J43" s="18">
        <v>15.8</v>
      </c>
      <c r="K43" s="18">
        <v>0</v>
      </c>
      <c r="L43" s="18">
        <v>9.8800000000000008</v>
      </c>
      <c r="M43" s="18">
        <v>3.17</v>
      </c>
      <c r="N43" s="18">
        <v>8.6199999999999992</v>
      </c>
      <c r="O43" s="18">
        <v>0</v>
      </c>
      <c r="P43" s="18">
        <v>19.48</v>
      </c>
      <c r="Q43" s="18">
        <v>5.69</v>
      </c>
      <c r="R43" s="18">
        <v>62.16</v>
      </c>
      <c r="S43" s="18">
        <v>103.34</v>
      </c>
      <c r="T43" s="18">
        <v>66.23</v>
      </c>
      <c r="U43" s="18">
        <v>49.07</v>
      </c>
      <c r="V43" s="18">
        <v>3.04</v>
      </c>
      <c r="W43" s="18">
        <v>4.22</v>
      </c>
      <c r="X43" s="18">
        <v>13.63</v>
      </c>
      <c r="Y43" s="18">
        <v>12.62</v>
      </c>
      <c r="Z43" s="18">
        <v>95.52</v>
      </c>
      <c r="AA43" s="18">
        <v>57.06</v>
      </c>
      <c r="AB43" s="18">
        <v>3.57</v>
      </c>
      <c r="AC43" s="18">
        <v>15.55</v>
      </c>
      <c r="AD43" s="18">
        <v>9.1999999999999993</v>
      </c>
      <c r="AE43" s="18">
        <v>84.73</v>
      </c>
      <c r="AF43" s="18">
        <v>3.69</v>
      </c>
      <c r="AG43" s="18">
        <v>2</v>
      </c>
      <c r="AH43" s="18">
        <v>2.0499999999999998</v>
      </c>
      <c r="AI43" s="18">
        <v>0</v>
      </c>
      <c r="AJ43" s="18">
        <v>2.0299999999999998</v>
      </c>
      <c r="AK43" s="18">
        <v>1.63</v>
      </c>
      <c r="AL43" s="18">
        <v>1.1399999999999999</v>
      </c>
      <c r="AM43" s="18">
        <v>8.99</v>
      </c>
      <c r="AN43" s="18">
        <v>0.32</v>
      </c>
      <c r="AO43" s="18">
        <v>1.98</v>
      </c>
      <c r="AP43" s="18">
        <v>0.57999999999999996</v>
      </c>
      <c r="AQ43" s="18">
        <v>9.2899999999999991</v>
      </c>
      <c r="AR43" s="18">
        <v>0</v>
      </c>
      <c r="AS43" s="18">
        <v>24.87</v>
      </c>
      <c r="AT43" s="18">
        <v>55.99</v>
      </c>
      <c r="AU43" s="18">
        <v>1.02</v>
      </c>
      <c r="AV43" s="18">
        <v>9.23</v>
      </c>
      <c r="AW43" s="18">
        <v>8.02</v>
      </c>
      <c r="AX43" s="18">
        <v>8.3000000000000007</v>
      </c>
      <c r="AY43" s="18">
        <v>0</v>
      </c>
      <c r="AZ43" s="18">
        <v>2.62</v>
      </c>
      <c r="BA43" s="18">
        <v>1.93</v>
      </c>
      <c r="BB43" s="18">
        <v>2.13</v>
      </c>
      <c r="BC43" s="18">
        <v>5.08</v>
      </c>
      <c r="BD43" s="18">
        <v>2.2000000000000002</v>
      </c>
      <c r="BE43" s="18">
        <v>1.9</v>
      </c>
      <c r="BF43" s="18">
        <v>1.31</v>
      </c>
      <c r="BG43" s="18">
        <v>1.63</v>
      </c>
      <c r="BH43" s="18">
        <v>14.81</v>
      </c>
      <c r="BI43" s="18">
        <v>14.4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19.850000000000001</v>
      </c>
      <c r="BV43" s="18">
        <v>17.899999999999999</v>
      </c>
      <c r="BW43" s="18">
        <v>11.44</v>
      </c>
      <c r="BX43" s="18">
        <v>16.309999999999999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56.73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40.01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30.31</v>
      </c>
      <c r="DF43" s="18">
        <v>131.9</v>
      </c>
      <c r="DG43" s="18">
        <v>16.170000000000002</v>
      </c>
      <c r="DH43" s="18">
        <v>70.94</v>
      </c>
      <c r="DI43" s="337">
        <v>0</v>
      </c>
      <c r="DJ43" s="337">
        <v>44.49</v>
      </c>
      <c r="DK43" s="337">
        <v>132.47999999999999</v>
      </c>
      <c r="DL43" s="337">
        <v>0</v>
      </c>
      <c r="DM43" s="337">
        <v>0</v>
      </c>
      <c r="DN43" s="337">
        <v>0</v>
      </c>
      <c r="DO43" s="337">
        <v>0</v>
      </c>
      <c r="DP43" s="337">
        <v>0</v>
      </c>
      <c r="DQ43" s="337">
        <v>0</v>
      </c>
      <c r="DR43" s="337">
        <v>0</v>
      </c>
      <c r="DS43" s="337">
        <v>0</v>
      </c>
      <c r="DT43" s="337">
        <v>0</v>
      </c>
      <c r="DU43" s="337">
        <v>0</v>
      </c>
      <c r="DV43" s="337">
        <v>0</v>
      </c>
      <c r="DW43" s="337">
        <v>5.1100000000000003</v>
      </c>
      <c r="DX43" s="337">
        <v>4.8499999999999996</v>
      </c>
      <c r="DY43" s="337">
        <v>4.6900000000000004</v>
      </c>
      <c r="DZ43" s="337">
        <v>0</v>
      </c>
      <c r="EA43" s="337">
        <v>4.9000000000000004</v>
      </c>
      <c r="EB43" s="337">
        <v>22.42</v>
      </c>
      <c r="EC43" s="337">
        <v>15.09</v>
      </c>
      <c r="ED43" s="337">
        <v>22.2</v>
      </c>
      <c r="EE43" s="337">
        <v>0</v>
      </c>
      <c r="EF43" s="337">
        <v>0</v>
      </c>
      <c r="EG43" s="337">
        <v>0</v>
      </c>
      <c r="EH43" s="337">
        <v>94.48</v>
      </c>
      <c r="EI43" s="649">
        <v>10.44</v>
      </c>
      <c r="EJ43" s="337">
        <v>20.190000000000001</v>
      </c>
      <c r="EK43" s="337">
        <v>0</v>
      </c>
      <c r="EL43" s="337">
        <v>0</v>
      </c>
      <c r="EM43" s="337">
        <v>0</v>
      </c>
      <c r="EN43" s="648">
        <v>6.78</v>
      </c>
      <c r="EO43" s="337">
        <v>0.3</v>
      </c>
      <c r="EP43" s="337">
        <v>0</v>
      </c>
      <c r="EQ43" s="337">
        <v>0</v>
      </c>
      <c r="ER43" s="337">
        <v>11.64</v>
      </c>
      <c r="ES43" s="337">
        <v>8.83</v>
      </c>
      <c r="ET43" s="337">
        <v>12.9</v>
      </c>
      <c r="EU43" s="337">
        <v>0</v>
      </c>
      <c r="EV43" s="337">
        <v>0</v>
      </c>
      <c r="EW43" s="337">
        <v>0</v>
      </c>
      <c r="EX43" s="337">
        <v>0</v>
      </c>
      <c r="EY43" s="337">
        <v>0</v>
      </c>
      <c r="EZ43" s="337">
        <v>38.32</v>
      </c>
      <c r="FA43" s="337">
        <v>37.119999999999997</v>
      </c>
      <c r="FB43" s="337">
        <v>-115.3</v>
      </c>
      <c r="FC43" s="337">
        <v>2081.48</v>
      </c>
      <c r="FD43" s="337">
        <v>2159.66</v>
      </c>
      <c r="FE43" s="19">
        <v>20.149999999999999</v>
      </c>
    </row>
    <row r="44" spans="1:161" s="20" customFormat="1" ht="19.5" customHeight="1">
      <c r="A44" s="19">
        <v>20.3</v>
      </c>
      <c r="B44" s="18">
        <v>258.54000000000002</v>
      </c>
      <c r="C44" s="18">
        <v>78.19</v>
      </c>
      <c r="D44" s="18">
        <v>16.54</v>
      </c>
      <c r="E44" s="18">
        <v>0</v>
      </c>
      <c r="F44" s="18">
        <v>4</v>
      </c>
      <c r="G44" s="18">
        <v>0</v>
      </c>
      <c r="H44" s="18">
        <v>3.53</v>
      </c>
      <c r="I44" s="18">
        <v>9.69</v>
      </c>
      <c r="J44" s="18">
        <v>15.88</v>
      </c>
      <c r="K44" s="18">
        <v>0</v>
      </c>
      <c r="L44" s="18">
        <v>9.8699999999999992</v>
      </c>
      <c r="M44" s="18">
        <v>3.15</v>
      </c>
      <c r="N44" s="18">
        <v>8.69</v>
      </c>
      <c r="O44" s="18">
        <v>0</v>
      </c>
      <c r="P44" s="18">
        <v>19.5</v>
      </c>
      <c r="Q44" s="18">
        <v>5.68</v>
      </c>
      <c r="R44" s="18">
        <v>62.07</v>
      </c>
      <c r="S44" s="18">
        <v>103.04</v>
      </c>
      <c r="T44" s="18">
        <v>66.37</v>
      </c>
      <c r="U44" s="18">
        <v>45.33</v>
      </c>
      <c r="V44" s="18">
        <v>3.05</v>
      </c>
      <c r="W44" s="18">
        <v>4.3499999999999996</v>
      </c>
      <c r="X44" s="18">
        <v>13.65</v>
      </c>
      <c r="Y44" s="18">
        <v>12.66</v>
      </c>
      <c r="Z44" s="18">
        <v>95.63</v>
      </c>
      <c r="AA44" s="18">
        <v>56.9</v>
      </c>
      <c r="AB44" s="18">
        <v>3.56</v>
      </c>
      <c r="AC44" s="18">
        <v>15.33</v>
      </c>
      <c r="AD44" s="18">
        <v>5.01</v>
      </c>
      <c r="AE44" s="18">
        <v>84.78</v>
      </c>
      <c r="AF44" s="18">
        <v>3.67</v>
      </c>
      <c r="AG44" s="18">
        <v>2</v>
      </c>
      <c r="AH44" s="18">
        <v>2.04</v>
      </c>
      <c r="AI44" s="18">
        <v>0</v>
      </c>
      <c r="AJ44" s="18">
        <v>2.04</v>
      </c>
      <c r="AK44" s="18">
        <v>1.63</v>
      </c>
      <c r="AL44" s="18">
        <v>1.1399999999999999</v>
      </c>
      <c r="AM44" s="18">
        <v>7.76</v>
      </c>
      <c r="AN44" s="18">
        <v>0.32</v>
      </c>
      <c r="AO44" s="18">
        <v>1.18</v>
      </c>
      <c r="AP44" s="18">
        <v>0.59</v>
      </c>
      <c r="AQ44" s="18">
        <v>9.26</v>
      </c>
      <c r="AR44" s="18">
        <v>0</v>
      </c>
      <c r="AS44" s="18">
        <v>24.86</v>
      </c>
      <c r="AT44" s="18">
        <v>51.73</v>
      </c>
      <c r="AU44" s="18">
        <v>1.02</v>
      </c>
      <c r="AV44" s="18">
        <v>9.2200000000000006</v>
      </c>
      <c r="AW44" s="18">
        <v>8.09</v>
      </c>
      <c r="AX44" s="18">
        <v>8.3000000000000007</v>
      </c>
      <c r="AY44" s="18">
        <v>0</v>
      </c>
      <c r="AZ44" s="18">
        <v>2.61</v>
      </c>
      <c r="BA44" s="18">
        <v>1.93</v>
      </c>
      <c r="BB44" s="18">
        <v>1.91</v>
      </c>
      <c r="BC44" s="18">
        <v>5.0599999999999996</v>
      </c>
      <c r="BD44" s="18">
        <v>2.2000000000000002</v>
      </c>
      <c r="BE44" s="18">
        <v>1.89</v>
      </c>
      <c r="BF44" s="18">
        <v>1.3</v>
      </c>
      <c r="BG44" s="18">
        <v>1.64</v>
      </c>
      <c r="BH44" s="18">
        <v>14.62</v>
      </c>
      <c r="BI44" s="18">
        <v>14.7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20.73</v>
      </c>
      <c r="BV44" s="18">
        <v>16.399999999999999</v>
      </c>
      <c r="BW44" s="18">
        <v>15.57</v>
      </c>
      <c r="BX44" s="18">
        <v>17.350000000000001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56.81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40.01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30.15</v>
      </c>
      <c r="DF44" s="18">
        <v>132.6</v>
      </c>
      <c r="DG44" s="18">
        <v>16.350000000000001</v>
      </c>
      <c r="DH44" s="18">
        <v>71.569999999999993</v>
      </c>
      <c r="DI44" s="337">
        <v>0</v>
      </c>
      <c r="DJ44" s="337">
        <v>44.58</v>
      </c>
      <c r="DK44" s="337">
        <v>133.25</v>
      </c>
      <c r="DL44" s="337">
        <v>0</v>
      </c>
      <c r="DM44" s="337">
        <v>0</v>
      </c>
      <c r="DN44" s="337">
        <v>0</v>
      </c>
      <c r="DO44" s="337">
        <v>0</v>
      </c>
      <c r="DP44" s="337">
        <v>0</v>
      </c>
      <c r="DQ44" s="337">
        <v>0</v>
      </c>
      <c r="DR44" s="337">
        <v>0</v>
      </c>
      <c r="DS44" s="337">
        <v>0</v>
      </c>
      <c r="DT44" s="337">
        <v>0</v>
      </c>
      <c r="DU44" s="337">
        <v>0</v>
      </c>
      <c r="DV44" s="337">
        <v>0</v>
      </c>
      <c r="DW44" s="337">
        <v>4.43</v>
      </c>
      <c r="DX44" s="337">
        <v>4.3099999999999996</v>
      </c>
      <c r="DY44" s="337">
        <v>4.1500000000000004</v>
      </c>
      <c r="DZ44" s="337">
        <v>0</v>
      </c>
      <c r="EA44" s="337">
        <v>5.0199999999999996</v>
      </c>
      <c r="EB44" s="337">
        <v>22.36</v>
      </c>
      <c r="EC44" s="337">
        <v>14.85</v>
      </c>
      <c r="ED44" s="337">
        <v>22.3</v>
      </c>
      <c r="EE44" s="337">
        <v>0</v>
      </c>
      <c r="EF44" s="337">
        <v>0</v>
      </c>
      <c r="EG44" s="337">
        <v>0</v>
      </c>
      <c r="EH44" s="337">
        <v>85.72</v>
      </c>
      <c r="EI44" s="649">
        <v>9.16</v>
      </c>
      <c r="EJ44" s="337">
        <v>20.190000000000001</v>
      </c>
      <c r="EK44" s="337">
        <v>0</v>
      </c>
      <c r="EL44" s="337">
        <v>0</v>
      </c>
      <c r="EM44" s="337">
        <v>0</v>
      </c>
      <c r="EN44" s="648">
        <v>5.93</v>
      </c>
      <c r="EO44" s="337">
        <v>0.3</v>
      </c>
      <c r="EP44" s="337">
        <v>0</v>
      </c>
      <c r="EQ44" s="337">
        <v>0</v>
      </c>
      <c r="ER44" s="337">
        <v>11.59</v>
      </c>
      <c r="ES44" s="337">
        <v>8.83</v>
      </c>
      <c r="ET44" s="337">
        <v>12.9</v>
      </c>
      <c r="EU44" s="337">
        <v>0</v>
      </c>
      <c r="EV44" s="337">
        <v>0</v>
      </c>
      <c r="EW44" s="337">
        <v>0</v>
      </c>
      <c r="EX44" s="337">
        <v>0</v>
      </c>
      <c r="EY44" s="337">
        <v>0</v>
      </c>
      <c r="EZ44" s="337">
        <v>38.36</v>
      </c>
      <c r="FA44" s="337">
        <v>52.07</v>
      </c>
      <c r="FB44" s="337">
        <v>-123.3</v>
      </c>
      <c r="FC44" s="337">
        <v>2053.4699999999998</v>
      </c>
      <c r="FD44" s="337">
        <v>2124.6999999999998</v>
      </c>
      <c r="FE44" s="19">
        <v>20.3</v>
      </c>
    </row>
    <row r="45" spans="1:161" s="20" customFormat="1" ht="19.5" customHeight="1">
      <c r="A45" s="19">
        <v>20.45</v>
      </c>
      <c r="B45" s="18">
        <v>255.21</v>
      </c>
      <c r="C45" s="18">
        <v>78.849999999999994</v>
      </c>
      <c r="D45" s="18">
        <v>15.17</v>
      </c>
      <c r="E45" s="18">
        <v>0</v>
      </c>
      <c r="F45" s="18">
        <v>4</v>
      </c>
      <c r="G45" s="18">
        <v>0</v>
      </c>
      <c r="H45" s="18">
        <v>3.53</v>
      </c>
      <c r="I45" s="18">
        <v>9.73</v>
      </c>
      <c r="J45" s="18">
        <v>15.78</v>
      </c>
      <c r="K45" s="18">
        <v>0</v>
      </c>
      <c r="L45" s="18">
        <v>9.8699999999999992</v>
      </c>
      <c r="M45" s="18">
        <v>3.22</v>
      </c>
      <c r="N45" s="18">
        <v>8.7200000000000006</v>
      </c>
      <c r="O45" s="18">
        <v>0</v>
      </c>
      <c r="P45" s="18">
        <v>19.5</v>
      </c>
      <c r="Q45" s="18">
        <v>5.67</v>
      </c>
      <c r="R45" s="18">
        <v>62.1</v>
      </c>
      <c r="S45" s="18">
        <v>103.39</v>
      </c>
      <c r="T45" s="18">
        <v>65.97</v>
      </c>
      <c r="U45" s="18">
        <v>43.3</v>
      </c>
      <c r="V45" s="18">
        <v>3.02</v>
      </c>
      <c r="W45" s="18">
        <v>4.4000000000000004</v>
      </c>
      <c r="X45" s="18">
        <v>11.75</v>
      </c>
      <c r="Y45" s="18">
        <v>11.55</v>
      </c>
      <c r="Z45" s="18">
        <v>95.55</v>
      </c>
      <c r="AA45" s="18">
        <v>56.41</v>
      </c>
      <c r="AB45" s="18">
        <v>3.56</v>
      </c>
      <c r="AC45" s="18">
        <v>14.75</v>
      </c>
      <c r="AD45" s="18">
        <v>4.99</v>
      </c>
      <c r="AE45" s="18">
        <v>84.69</v>
      </c>
      <c r="AF45" s="18">
        <v>3.66</v>
      </c>
      <c r="AG45" s="18">
        <v>2</v>
      </c>
      <c r="AH45" s="18">
        <v>2.04</v>
      </c>
      <c r="AI45" s="18">
        <v>0</v>
      </c>
      <c r="AJ45" s="18">
        <v>2.0299999999999998</v>
      </c>
      <c r="AK45" s="18">
        <v>1.62</v>
      </c>
      <c r="AL45" s="18">
        <v>1.1299999999999999</v>
      </c>
      <c r="AM45" s="18">
        <v>7.1</v>
      </c>
      <c r="AN45" s="18">
        <v>0.32</v>
      </c>
      <c r="AO45" s="18">
        <v>1.2</v>
      </c>
      <c r="AP45" s="18">
        <v>0.56999999999999995</v>
      </c>
      <c r="AQ45" s="18">
        <v>9.2799999999999994</v>
      </c>
      <c r="AR45" s="18">
        <v>0</v>
      </c>
      <c r="AS45" s="18">
        <v>24.82</v>
      </c>
      <c r="AT45" s="18">
        <v>49</v>
      </c>
      <c r="AU45" s="18">
        <v>1.01</v>
      </c>
      <c r="AV45" s="18">
        <v>9.2200000000000006</v>
      </c>
      <c r="AW45" s="18">
        <v>7.92</v>
      </c>
      <c r="AX45" s="18">
        <v>8.3000000000000007</v>
      </c>
      <c r="AY45" s="18">
        <v>0</v>
      </c>
      <c r="AZ45" s="18">
        <v>2.63</v>
      </c>
      <c r="BA45" s="18">
        <v>1.93</v>
      </c>
      <c r="BB45" s="18">
        <v>1.01</v>
      </c>
      <c r="BC45" s="18">
        <v>5.07</v>
      </c>
      <c r="BD45" s="18">
        <v>2.2000000000000002</v>
      </c>
      <c r="BE45" s="18">
        <v>1.88</v>
      </c>
      <c r="BF45" s="18">
        <v>1.28</v>
      </c>
      <c r="BG45" s="18">
        <v>1.63</v>
      </c>
      <c r="BH45" s="18">
        <v>14.76</v>
      </c>
      <c r="BI45" s="18">
        <v>14.6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12.24</v>
      </c>
      <c r="BV45" s="18">
        <v>14</v>
      </c>
      <c r="BW45" s="18">
        <v>23.12</v>
      </c>
      <c r="BX45" s="18">
        <v>17.59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56.92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40.01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30.23</v>
      </c>
      <c r="DF45" s="18">
        <v>132.30000000000001</v>
      </c>
      <c r="DG45" s="18">
        <v>16.27</v>
      </c>
      <c r="DH45" s="18">
        <v>70.430000000000007</v>
      </c>
      <c r="DI45" s="337">
        <v>0</v>
      </c>
      <c r="DJ45" s="337">
        <v>44.61</v>
      </c>
      <c r="DK45" s="337">
        <v>133.11000000000001</v>
      </c>
      <c r="DL45" s="337">
        <v>0</v>
      </c>
      <c r="DM45" s="337">
        <v>0</v>
      </c>
      <c r="DN45" s="337">
        <v>0</v>
      </c>
      <c r="DO45" s="337">
        <v>0</v>
      </c>
      <c r="DP45" s="337">
        <v>0</v>
      </c>
      <c r="DQ45" s="337">
        <v>0</v>
      </c>
      <c r="DR45" s="337">
        <v>0</v>
      </c>
      <c r="DS45" s="337">
        <v>0</v>
      </c>
      <c r="DT45" s="337">
        <v>0</v>
      </c>
      <c r="DU45" s="337">
        <v>0</v>
      </c>
      <c r="DV45" s="337">
        <v>0</v>
      </c>
      <c r="DW45" s="337">
        <v>4.5</v>
      </c>
      <c r="DX45" s="337">
        <v>4.3099999999999996</v>
      </c>
      <c r="DY45" s="337">
        <v>4.21</v>
      </c>
      <c r="DZ45" s="337">
        <v>0</v>
      </c>
      <c r="EA45" s="337">
        <v>5.05</v>
      </c>
      <c r="EB45" s="337">
        <v>22.5</v>
      </c>
      <c r="EC45" s="337">
        <v>14.94</v>
      </c>
      <c r="ED45" s="337">
        <v>22.3</v>
      </c>
      <c r="EE45" s="337">
        <v>0</v>
      </c>
      <c r="EF45" s="337">
        <v>0</v>
      </c>
      <c r="EG45" s="337">
        <v>0</v>
      </c>
      <c r="EH45" s="337">
        <v>81.400000000000006</v>
      </c>
      <c r="EI45" s="649">
        <v>9.52</v>
      </c>
      <c r="EJ45" s="337">
        <v>16.45</v>
      </c>
      <c r="EK45" s="337">
        <v>0</v>
      </c>
      <c r="EL45" s="337">
        <v>0</v>
      </c>
      <c r="EM45" s="337">
        <v>0</v>
      </c>
      <c r="EN45" s="648">
        <v>0</v>
      </c>
      <c r="EO45" s="337">
        <v>0.3</v>
      </c>
      <c r="EP45" s="337">
        <v>0</v>
      </c>
      <c r="EQ45" s="337">
        <v>0</v>
      </c>
      <c r="ER45" s="337">
        <v>11.63</v>
      </c>
      <c r="ES45" s="337">
        <v>8.84</v>
      </c>
      <c r="ET45" s="337">
        <v>10.63</v>
      </c>
      <c r="EU45" s="337">
        <v>0</v>
      </c>
      <c r="EV45" s="337">
        <v>0</v>
      </c>
      <c r="EW45" s="337">
        <v>0</v>
      </c>
      <c r="EX45" s="337">
        <v>0</v>
      </c>
      <c r="EY45" s="337">
        <v>0</v>
      </c>
      <c r="EZ45" s="337">
        <v>38.299999999999997</v>
      </c>
      <c r="FA45" s="337">
        <v>92.63</v>
      </c>
      <c r="FB45" s="337">
        <v>-169.5</v>
      </c>
      <c r="FC45" s="337">
        <v>2018.6</v>
      </c>
      <c r="FD45" s="337">
        <v>2095.4699999999998</v>
      </c>
      <c r="FE45" s="19">
        <v>20.45</v>
      </c>
    </row>
    <row r="46" spans="1:161" s="20" customFormat="1" ht="19.5" customHeight="1">
      <c r="A46" s="21">
        <v>21</v>
      </c>
      <c r="B46" s="18">
        <v>249.55</v>
      </c>
      <c r="C46" s="18">
        <v>78.98</v>
      </c>
      <c r="D46" s="18">
        <v>9.15</v>
      </c>
      <c r="E46" s="18">
        <v>0</v>
      </c>
      <c r="F46" s="18">
        <v>4</v>
      </c>
      <c r="G46" s="18">
        <v>0</v>
      </c>
      <c r="H46" s="18">
        <v>3.54</v>
      </c>
      <c r="I46" s="18">
        <v>9.67</v>
      </c>
      <c r="J46" s="18">
        <v>15.93</v>
      </c>
      <c r="K46" s="18">
        <v>0</v>
      </c>
      <c r="L46" s="18">
        <v>9.8699999999999992</v>
      </c>
      <c r="M46" s="18">
        <v>3.19</v>
      </c>
      <c r="N46" s="18">
        <v>8.83</v>
      </c>
      <c r="O46" s="18">
        <v>0</v>
      </c>
      <c r="P46" s="18">
        <v>28.97</v>
      </c>
      <c r="Q46" s="18">
        <v>5.68</v>
      </c>
      <c r="R46" s="18">
        <v>62.18</v>
      </c>
      <c r="S46" s="18">
        <v>103.31</v>
      </c>
      <c r="T46" s="18">
        <v>64.89</v>
      </c>
      <c r="U46" s="18">
        <v>34.11</v>
      </c>
      <c r="V46" s="18">
        <v>3.02</v>
      </c>
      <c r="W46" s="18">
        <v>4.3899999999999997</v>
      </c>
      <c r="X46" s="18">
        <v>11.79</v>
      </c>
      <c r="Y46" s="18">
        <v>11.46</v>
      </c>
      <c r="Z46" s="18">
        <v>95.59</v>
      </c>
      <c r="AA46" s="18">
        <v>56.36</v>
      </c>
      <c r="AB46" s="18">
        <v>3.56</v>
      </c>
      <c r="AC46" s="18">
        <v>12.59</v>
      </c>
      <c r="AD46" s="18">
        <v>4.97</v>
      </c>
      <c r="AE46" s="18">
        <v>84.79</v>
      </c>
      <c r="AF46" s="18">
        <v>3.69</v>
      </c>
      <c r="AG46" s="18">
        <v>2</v>
      </c>
      <c r="AH46" s="18">
        <v>2.04</v>
      </c>
      <c r="AI46" s="18">
        <v>0</v>
      </c>
      <c r="AJ46" s="18">
        <v>2.0299999999999998</v>
      </c>
      <c r="AK46" s="18">
        <v>1.61</v>
      </c>
      <c r="AL46" s="18">
        <v>1.1299999999999999</v>
      </c>
      <c r="AM46" s="18">
        <v>3.6</v>
      </c>
      <c r="AN46" s="18">
        <v>0.32</v>
      </c>
      <c r="AO46" s="18">
        <v>1.19</v>
      </c>
      <c r="AP46" s="18">
        <v>0.59</v>
      </c>
      <c r="AQ46" s="18">
        <v>9.2799999999999994</v>
      </c>
      <c r="AR46" s="18">
        <v>0</v>
      </c>
      <c r="AS46" s="18">
        <v>24.87</v>
      </c>
      <c r="AT46" s="18">
        <v>39.06</v>
      </c>
      <c r="AU46" s="18">
        <v>0.99</v>
      </c>
      <c r="AV46" s="18">
        <v>9.2100000000000009</v>
      </c>
      <c r="AW46" s="18">
        <v>7.53</v>
      </c>
      <c r="AX46" s="18">
        <v>8.3000000000000007</v>
      </c>
      <c r="AY46" s="18">
        <v>0</v>
      </c>
      <c r="AZ46" s="18">
        <v>2.63</v>
      </c>
      <c r="BA46" s="18">
        <v>1.92</v>
      </c>
      <c r="BB46" s="18">
        <v>1.05</v>
      </c>
      <c r="BC46" s="18">
        <v>5.04</v>
      </c>
      <c r="BD46" s="18">
        <v>2.2000000000000002</v>
      </c>
      <c r="BE46" s="18">
        <v>1.88</v>
      </c>
      <c r="BF46" s="18">
        <v>1.26</v>
      </c>
      <c r="BG46" s="18">
        <v>1.63</v>
      </c>
      <c r="BH46" s="18">
        <v>14.99</v>
      </c>
      <c r="BI46" s="18">
        <v>14.5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16.09</v>
      </c>
      <c r="BV46" s="18">
        <v>8.9</v>
      </c>
      <c r="BW46" s="18">
        <v>23.4</v>
      </c>
      <c r="BX46" s="18">
        <v>15.76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56.88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39.01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30.44</v>
      </c>
      <c r="DF46" s="18">
        <v>132.30000000000001</v>
      </c>
      <c r="DG46" s="18">
        <v>16.440000000000001</v>
      </c>
      <c r="DH46" s="18">
        <v>71.53</v>
      </c>
      <c r="DI46" s="337">
        <v>0</v>
      </c>
      <c r="DJ46" s="337">
        <v>44.59</v>
      </c>
      <c r="DK46" s="337">
        <v>133.32</v>
      </c>
      <c r="DL46" s="337">
        <v>0</v>
      </c>
      <c r="DM46" s="337">
        <v>0</v>
      </c>
      <c r="DN46" s="337">
        <v>0</v>
      </c>
      <c r="DO46" s="337">
        <v>0</v>
      </c>
      <c r="DP46" s="337">
        <v>0</v>
      </c>
      <c r="DQ46" s="337">
        <v>0</v>
      </c>
      <c r="DR46" s="337">
        <v>0</v>
      </c>
      <c r="DS46" s="337">
        <v>0</v>
      </c>
      <c r="DT46" s="337">
        <v>0</v>
      </c>
      <c r="DU46" s="337">
        <v>0</v>
      </c>
      <c r="DV46" s="337">
        <v>0</v>
      </c>
      <c r="DW46" s="337">
        <v>4.41</v>
      </c>
      <c r="DX46" s="337">
        <v>4.37</v>
      </c>
      <c r="DY46" s="337">
        <v>4.1500000000000004</v>
      </c>
      <c r="DZ46" s="337">
        <v>0</v>
      </c>
      <c r="EA46" s="337">
        <v>4.9800000000000004</v>
      </c>
      <c r="EB46" s="337">
        <v>22.48</v>
      </c>
      <c r="EC46" s="337">
        <v>15.06</v>
      </c>
      <c r="ED46" s="337">
        <v>22.3</v>
      </c>
      <c r="EE46" s="337">
        <v>0</v>
      </c>
      <c r="EF46" s="337">
        <v>0</v>
      </c>
      <c r="EG46" s="337">
        <v>0</v>
      </c>
      <c r="EH46" s="337">
        <v>74.599999999999994</v>
      </c>
      <c r="EI46" s="649">
        <v>4.87</v>
      </c>
      <c r="EJ46" s="337">
        <v>6.59</v>
      </c>
      <c r="EK46" s="337">
        <v>0</v>
      </c>
      <c r="EL46" s="337">
        <v>0</v>
      </c>
      <c r="EM46" s="337">
        <v>0</v>
      </c>
      <c r="EN46" s="648">
        <v>0</v>
      </c>
      <c r="EO46" s="337">
        <v>0.3</v>
      </c>
      <c r="EP46" s="337">
        <v>0</v>
      </c>
      <c r="EQ46" s="337">
        <v>0</v>
      </c>
      <c r="ER46" s="337">
        <v>11.62</v>
      </c>
      <c r="ES46" s="337">
        <v>8.85</v>
      </c>
      <c r="ET46" s="337">
        <v>6.11</v>
      </c>
      <c r="EU46" s="337">
        <v>0</v>
      </c>
      <c r="EV46" s="337">
        <v>0</v>
      </c>
      <c r="EW46" s="337">
        <v>0</v>
      </c>
      <c r="EX46" s="337">
        <v>0</v>
      </c>
      <c r="EY46" s="337">
        <v>0</v>
      </c>
      <c r="EZ46" s="337">
        <v>38.36</v>
      </c>
      <c r="FA46" s="337">
        <v>96.6</v>
      </c>
      <c r="FB46" s="337">
        <v>-189.9</v>
      </c>
      <c r="FC46" s="337">
        <v>1962.62</v>
      </c>
      <c r="FD46" s="337">
        <v>2055.92</v>
      </c>
      <c r="FE46" s="21">
        <v>21</v>
      </c>
    </row>
    <row r="47" spans="1:161" s="20" customFormat="1" ht="19.5" customHeight="1">
      <c r="A47" s="447">
        <v>22</v>
      </c>
      <c r="B47" s="18">
        <v>263.2</v>
      </c>
      <c r="C47" s="18">
        <v>57.37</v>
      </c>
      <c r="D47" s="18">
        <v>9.6999999999999993</v>
      </c>
      <c r="E47" s="18">
        <v>0</v>
      </c>
      <c r="F47" s="18">
        <v>4</v>
      </c>
      <c r="G47" s="18">
        <v>0</v>
      </c>
      <c r="H47" s="18">
        <v>3.49</v>
      </c>
      <c r="I47" s="18">
        <v>9.77</v>
      </c>
      <c r="J47" s="18">
        <v>15.82</v>
      </c>
      <c r="K47" s="18">
        <v>0</v>
      </c>
      <c r="L47" s="18">
        <v>9.8699999999999992</v>
      </c>
      <c r="M47" s="18">
        <v>3.17</v>
      </c>
      <c r="N47" s="18">
        <v>8.73</v>
      </c>
      <c r="O47" s="18">
        <v>0</v>
      </c>
      <c r="P47" s="18">
        <v>10.57</v>
      </c>
      <c r="Q47" s="18">
        <v>2.25</v>
      </c>
      <c r="R47" s="18">
        <v>62.06</v>
      </c>
      <c r="S47" s="18">
        <v>103.76</v>
      </c>
      <c r="T47" s="18">
        <v>65.97</v>
      </c>
      <c r="U47" s="18">
        <v>17.63</v>
      </c>
      <c r="V47" s="18">
        <v>3.03</v>
      </c>
      <c r="W47" s="18">
        <v>4.43</v>
      </c>
      <c r="X47" s="18">
        <v>7.96</v>
      </c>
      <c r="Y47" s="18">
        <v>6.18</v>
      </c>
      <c r="Z47" s="18">
        <v>92.73</v>
      </c>
      <c r="AA47" s="18">
        <v>56.75</v>
      </c>
      <c r="AB47" s="18">
        <v>3.56</v>
      </c>
      <c r="AC47" s="18">
        <v>11.41</v>
      </c>
      <c r="AD47" s="18">
        <v>3.52</v>
      </c>
      <c r="AE47" s="18">
        <v>84.78</v>
      </c>
      <c r="AF47" s="18">
        <v>3.67</v>
      </c>
      <c r="AG47" s="18">
        <v>2</v>
      </c>
      <c r="AH47" s="18">
        <v>2.04</v>
      </c>
      <c r="AI47" s="18">
        <v>0</v>
      </c>
      <c r="AJ47" s="18">
        <v>2.0299999999999998</v>
      </c>
      <c r="AK47" s="18">
        <v>1.6</v>
      </c>
      <c r="AL47" s="18">
        <v>1.1299999999999999</v>
      </c>
      <c r="AM47" s="18">
        <v>4.17</v>
      </c>
      <c r="AN47" s="18">
        <v>0</v>
      </c>
      <c r="AO47" s="18">
        <v>1.1599999999999999</v>
      </c>
      <c r="AP47" s="18">
        <v>0.57999999999999996</v>
      </c>
      <c r="AQ47" s="18">
        <v>9.14</v>
      </c>
      <c r="AR47" s="18">
        <v>0</v>
      </c>
      <c r="AS47" s="18">
        <v>24.83</v>
      </c>
      <c r="AT47" s="18">
        <v>37.979999999999997</v>
      </c>
      <c r="AU47" s="18">
        <v>0.94</v>
      </c>
      <c r="AV47" s="18">
        <v>9.25</v>
      </c>
      <c r="AW47" s="18">
        <v>0</v>
      </c>
      <c r="AX47" s="18">
        <v>8.3000000000000007</v>
      </c>
      <c r="AY47" s="18">
        <v>0</v>
      </c>
      <c r="AZ47" s="18">
        <v>2.62</v>
      </c>
      <c r="BA47" s="18">
        <v>1.92</v>
      </c>
      <c r="BB47" s="18">
        <v>1.2</v>
      </c>
      <c r="BC47" s="18">
        <v>5</v>
      </c>
      <c r="BD47" s="18">
        <v>2.2000000000000002</v>
      </c>
      <c r="BE47" s="18">
        <v>1.88</v>
      </c>
      <c r="BF47" s="18">
        <v>0</v>
      </c>
      <c r="BG47" s="18">
        <v>1.64</v>
      </c>
      <c r="BH47" s="18">
        <v>14.78</v>
      </c>
      <c r="BI47" s="18">
        <v>14.7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40.4</v>
      </c>
      <c r="BV47" s="18">
        <v>19.100000000000001</v>
      </c>
      <c r="BW47" s="18">
        <v>13.58</v>
      </c>
      <c r="BX47" s="18">
        <v>13.75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56.87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40.01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30.45</v>
      </c>
      <c r="DF47" s="18">
        <v>132</v>
      </c>
      <c r="DG47" s="18">
        <v>16.489999999999998</v>
      </c>
      <c r="DH47" s="18">
        <v>71.22</v>
      </c>
      <c r="DI47" s="337">
        <v>0</v>
      </c>
      <c r="DJ47" s="337">
        <v>44.71</v>
      </c>
      <c r="DK47" s="337">
        <v>133.32</v>
      </c>
      <c r="DL47" s="337">
        <v>0</v>
      </c>
      <c r="DM47" s="337">
        <v>0</v>
      </c>
      <c r="DN47" s="337">
        <v>0</v>
      </c>
      <c r="DO47" s="337">
        <v>0</v>
      </c>
      <c r="DP47" s="337">
        <v>0</v>
      </c>
      <c r="DQ47" s="337">
        <v>0</v>
      </c>
      <c r="DR47" s="337">
        <v>0</v>
      </c>
      <c r="DS47" s="337">
        <v>0</v>
      </c>
      <c r="DT47" s="337">
        <v>0</v>
      </c>
      <c r="DU47" s="337">
        <v>0</v>
      </c>
      <c r="DV47" s="337">
        <v>0</v>
      </c>
      <c r="DW47" s="337">
        <v>4.47</v>
      </c>
      <c r="DX47" s="337">
        <v>4.25</v>
      </c>
      <c r="DY47" s="337">
        <v>4.25</v>
      </c>
      <c r="DZ47" s="337">
        <v>0</v>
      </c>
      <c r="EA47" s="337">
        <v>5</v>
      </c>
      <c r="EB47" s="337">
        <v>0</v>
      </c>
      <c r="EC47" s="649">
        <v>0</v>
      </c>
      <c r="ED47" s="337">
        <v>21.5</v>
      </c>
      <c r="EE47" s="648">
        <v>0.97</v>
      </c>
      <c r="EF47" s="337">
        <v>0</v>
      </c>
      <c r="EG47" s="337">
        <v>0</v>
      </c>
      <c r="EH47" s="337">
        <v>55.8</v>
      </c>
      <c r="EI47" s="648">
        <v>0</v>
      </c>
      <c r="EJ47" s="337">
        <v>0</v>
      </c>
      <c r="EK47" s="337">
        <v>0</v>
      </c>
      <c r="EL47" s="337">
        <v>0</v>
      </c>
      <c r="EM47" s="337">
        <v>0</v>
      </c>
      <c r="EN47" s="337">
        <v>0</v>
      </c>
      <c r="EO47" s="337">
        <v>0.3</v>
      </c>
      <c r="EP47" s="337">
        <v>0</v>
      </c>
      <c r="EQ47" s="337">
        <v>0</v>
      </c>
      <c r="ER47" s="337">
        <v>11.62</v>
      </c>
      <c r="ES47" s="337">
        <v>8.4499999999999993</v>
      </c>
      <c r="ET47" s="337">
        <v>6.3</v>
      </c>
      <c r="EU47" s="337">
        <v>0</v>
      </c>
      <c r="EV47" s="337">
        <v>0</v>
      </c>
      <c r="EW47" s="337">
        <v>0</v>
      </c>
      <c r="EX47" s="337">
        <v>0</v>
      </c>
      <c r="EY47" s="337">
        <v>0</v>
      </c>
      <c r="EZ47" s="337">
        <v>38.4</v>
      </c>
      <c r="FA47" s="337">
        <v>80.33</v>
      </c>
      <c r="FB47" s="337">
        <v>-92.4</v>
      </c>
      <c r="FC47" s="337">
        <v>1849.68</v>
      </c>
      <c r="FD47" s="337">
        <v>1861.75</v>
      </c>
      <c r="FE47" s="21">
        <v>22</v>
      </c>
    </row>
    <row r="48" spans="1:161" s="20" customFormat="1" ht="19.5" customHeight="1">
      <c r="A48" s="21">
        <v>23</v>
      </c>
      <c r="B48" s="18">
        <v>270.19</v>
      </c>
      <c r="C48" s="18">
        <v>0</v>
      </c>
      <c r="D48" s="18">
        <v>18.350000000000001</v>
      </c>
      <c r="E48" s="18">
        <v>0</v>
      </c>
      <c r="F48" s="18">
        <v>4</v>
      </c>
      <c r="G48" s="18">
        <v>0</v>
      </c>
      <c r="H48" s="18">
        <v>0</v>
      </c>
      <c r="I48" s="18">
        <v>9.67</v>
      </c>
      <c r="J48" s="18">
        <v>15.93</v>
      </c>
      <c r="K48" s="18">
        <v>0</v>
      </c>
      <c r="L48" s="18">
        <v>9.8699999999999992</v>
      </c>
      <c r="M48" s="18">
        <v>3.16</v>
      </c>
      <c r="N48" s="18">
        <v>1.31</v>
      </c>
      <c r="O48" s="18">
        <v>0</v>
      </c>
      <c r="P48" s="18">
        <v>21</v>
      </c>
      <c r="Q48" s="18">
        <v>2.25</v>
      </c>
      <c r="R48" s="18">
        <v>62.16</v>
      </c>
      <c r="S48" s="18">
        <v>103.59</v>
      </c>
      <c r="T48" s="18">
        <v>65.989999999999995</v>
      </c>
      <c r="U48" s="18">
        <v>23.51</v>
      </c>
      <c r="V48" s="18">
        <v>3.04</v>
      </c>
      <c r="W48" s="18">
        <v>4.42</v>
      </c>
      <c r="X48" s="18">
        <v>7.95</v>
      </c>
      <c r="Y48" s="18">
        <v>6.27</v>
      </c>
      <c r="Z48" s="18">
        <v>94.05</v>
      </c>
      <c r="AA48" s="18">
        <v>57.21</v>
      </c>
      <c r="AB48" s="18">
        <v>3.57</v>
      </c>
      <c r="AC48" s="18">
        <v>15.74</v>
      </c>
      <c r="AD48" s="18">
        <v>3.54</v>
      </c>
      <c r="AE48" s="18">
        <v>84.84</v>
      </c>
      <c r="AF48" s="18">
        <v>3.68</v>
      </c>
      <c r="AG48" s="18">
        <v>2</v>
      </c>
      <c r="AH48" s="18">
        <v>2.0299999999999998</v>
      </c>
      <c r="AI48" s="18">
        <v>0</v>
      </c>
      <c r="AJ48" s="18">
        <v>2.04</v>
      </c>
      <c r="AK48" s="18">
        <v>0</v>
      </c>
      <c r="AL48" s="18">
        <v>0</v>
      </c>
      <c r="AM48" s="18">
        <v>10</v>
      </c>
      <c r="AN48" s="18">
        <v>0</v>
      </c>
      <c r="AO48" s="18">
        <v>3.63</v>
      </c>
      <c r="AP48" s="18">
        <v>0.57999999999999996</v>
      </c>
      <c r="AQ48" s="18">
        <v>9.0500000000000007</v>
      </c>
      <c r="AR48" s="18">
        <v>0</v>
      </c>
      <c r="AS48" s="18">
        <v>24.81</v>
      </c>
      <c r="AT48" s="18">
        <v>55.81</v>
      </c>
      <c r="AU48" s="18">
        <v>0.91</v>
      </c>
      <c r="AV48" s="18">
        <v>7.24</v>
      </c>
      <c r="AW48" s="18">
        <v>0</v>
      </c>
      <c r="AX48" s="18">
        <v>8.3000000000000007</v>
      </c>
      <c r="AY48" s="18">
        <v>0</v>
      </c>
      <c r="AZ48" s="18">
        <v>2.63</v>
      </c>
      <c r="BA48" s="18">
        <v>1.06</v>
      </c>
      <c r="BB48" s="18">
        <v>1.06</v>
      </c>
      <c r="BC48" s="18">
        <v>4.93</v>
      </c>
      <c r="BD48" s="18">
        <v>2.2000000000000002</v>
      </c>
      <c r="BE48" s="18">
        <v>0</v>
      </c>
      <c r="BF48" s="18">
        <v>0</v>
      </c>
      <c r="BG48" s="18">
        <v>1.63</v>
      </c>
      <c r="BH48" s="18">
        <v>15.63</v>
      </c>
      <c r="BI48" s="18">
        <v>14.9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28.89</v>
      </c>
      <c r="BV48" s="18">
        <v>16.5</v>
      </c>
      <c r="BW48" s="18">
        <v>10.3</v>
      </c>
      <c r="BX48" s="18">
        <v>11.25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56.99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39.01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30.4</v>
      </c>
      <c r="DF48" s="18">
        <v>131.80000000000001</v>
      </c>
      <c r="DG48" s="18">
        <v>16.38</v>
      </c>
      <c r="DH48" s="18">
        <v>71.13</v>
      </c>
      <c r="DI48" s="337">
        <v>0</v>
      </c>
      <c r="DJ48" s="337">
        <v>44.07</v>
      </c>
      <c r="DK48" s="337">
        <v>133.25</v>
      </c>
      <c r="DL48" s="337">
        <v>0</v>
      </c>
      <c r="DM48" s="337">
        <v>0</v>
      </c>
      <c r="DN48" s="337">
        <v>0</v>
      </c>
      <c r="DO48" s="337">
        <v>0</v>
      </c>
      <c r="DP48" s="337">
        <v>0</v>
      </c>
      <c r="DQ48" s="337">
        <v>0</v>
      </c>
      <c r="DR48" s="337">
        <v>0</v>
      </c>
      <c r="DS48" s="337">
        <v>0</v>
      </c>
      <c r="DT48" s="337">
        <v>0</v>
      </c>
      <c r="DU48" s="337">
        <v>0</v>
      </c>
      <c r="DV48" s="337">
        <v>0</v>
      </c>
      <c r="DW48" s="337">
        <v>5.94</v>
      </c>
      <c r="DX48" s="337">
        <v>6.66</v>
      </c>
      <c r="DY48" s="337">
        <v>6.56</v>
      </c>
      <c r="DZ48" s="337">
        <v>0</v>
      </c>
      <c r="EA48" s="649">
        <v>0</v>
      </c>
      <c r="EB48" s="337">
        <v>0</v>
      </c>
      <c r="EC48" s="337">
        <v>0</v>
      </c>
      <c r="ED48" s="337">
        <v>0</v>
      </c>
      <c r="EE48" s="648">
        <v>13.81</v>
      </c>
      <c r="EF48" s="337">
        <v>0</v>
      </c>
      <c r="EG48" s="337">
        <v>0</v>
      </c>
      <c r="EH48" s="337">
        <v>66.95</v>
      </c>
      <c r="EI48" s="337">
        <v>0</v>
      </c>
      <c r="EJ48" s="337">
        <v>0</v>
      </c>
      <c r="EK48" s="337">
        <v>0</v>
      </c>
      <c r="EL48" s="337">
        <v>0</v>
      </c>
      <c r="EM48" s="337">
        <v>0</v>
      </c>
      <c r="EN48" s="337">
        <v>0</v>
      </c>
      <c r="EO48" s="337">
        <v>0.3</v>
      </c>
      <c r="EP48" s="337">
        <v>0</v>
      </c>
      <c r="EQ48" s="337">
        <v>0</v>
      </c>
      <c r="ER48" s="337">
        <v>11.63</v>
      </c>
      <c r="ES48" s="337">
        <v>7.86</v>
      </c>
      <c r="ET48" s="337">
        <v>6.31</v>
      </c>
      <c r="EU48" s="337">
        <v>0</v>
      </c>
      <c r="EV48" s="337">
        <v>0</v>
      </c>
      <c r="EW48" s="337">
        <v>0</v>
      </c>
      <c r="EX48" s="337">
        <v>0</v>
      </c>
      <c r="EY48" s="337">
        <v>0</v>
      </c>
      <c r="EZ48" s="337">
        <v>38.340000000000003</v>
      </c>
      <c r="FA48" s="337">
        <v>177.22</v>
      </c>
      <c r="FB48" s="337">
        <v>-117.4</v>
      </c>
      <c r="FC48" s="337">
        <v>1820.06</v>
      </c>
      <c r="FD48" s="337">
        <v>1760.24</v>
      </c>
      <c r="FE48" s="447">
        <v>23</v>
      </c>
    </row>
    <row r="49" spans="1:169" s="20" customFormat="1" ht="19.5" customHeight="1">
      <c r="A49" s="19">
        <v>24</v>
      </c>
      <c r="B49" s="18">
        <v>260.2</v>
      </c>
      <c r="C49" s="18">
        <v>0</v>
      </c>
      <c r="D49" s="18">
        <v>10.72</v>
      </c>
      <c r="E49" s="18">
        <v>0</v>
      </c>
      <c r="F49" s="18">
        <v>4</v>
      </c>
      <c r="G49" s="18">
        <v>0</v>
      </c>
      <c r="H49" s="18">
        <v>0</v>
      </c>
      <c r="I49" s="18">
        <v>9.73</v>
      </c>
      <c r="J49" s="18">
        <v>15.93</v>
      </c>
      <c r="K49" s="18">
        <v>0</v>
      </c>
      <c r="L49" s="18">
        <v>9.8699999999999992</v>
      </c>
      <c r="M49" s="18">
        <v>3.18</v>
      </c>
      <c r="N49" s="18">
        <v>0.99</v>
      </c>
      <c r="O49" s="18">
        <v>4.6500000000000004</v>
      </c>
      <c r="P49" s="18">
        <v>18.760000000000002</v>
      </c>
      <c r="Q49" s="18">
        <v>6.63</v>
      </c>
      <c r="R49" s="18">
        <v>62.16</v>
      </c>
      <c r="S49" s="18">
        <v>103.66</v>
      </c>
      <c r="T49" s="18">
        <v>66.13</v>
      </c>
      <c r="U49" s="18">
        <v>9.17</v>
      </c>
      <c r="V49" s="18">
        <v>4</v>
      </c>
      <c r="W49" s="18">
        <v>4.3899999999999997</v>
      </c>
      <c r="X49" s="18">
        <v>13.72</v>
      </c>
      <c r="Y49" s="18">
        <v>11.78</v>
      </c>
      <c r="Z49" s="18">
        <v>68.75</v>
      </c>
      <c r="AA49" s="18">
        <v>44.71</v>
      </c>
      <c r="AB49" s="18">
        <v>3.57</v>
      </c>
      <c r="AC49" s="18">
        <v>11.1</v>
      </c>
      <c r="AD49" s="18">
        <v>7.71</v>
      </c>
      <c r="AE49" s="18">
        <v>84.74</v>
      </c>
      <c r="AF49" s="18">
        <v>3.66</v>
      </c>
      <c r="AG49" s="18">
        <v>2</v>
      </c>
      <c r="AH49" s="18">
        <v>2.0299999999999998</v>
      </c>
      <c r="AI49" s="18">
        <v>0</v>
      </c>
      <c r="AJ49" s="18">
        <v>2.04</v>
      </c>
      <c r="AK49" s="18">
        <v>1.69</v>
      </c>
      <c r="AL49" s="18">
        <v>0</v>
      </c>
      <c r="AM49" s="18">
        <v>3.04</v>
      </c>
      <c r="AN49" s="18">
        <v>0</v>
      </c>
      <c r="AO49" s="18">
        <v>1.39</v>
      </c>
      <c r="AP49" s="18">
        <v>0.56000000000000005</v>
      </c>
      <c r="AQ49" s="18">
        <v>8.75</v>
      </c>
      <c r="AR49" s="18">
        <v>0</v>
      </c>
      <c r="AS49" s="18">
        <v>24.8</v>
      </c>
      <c r="AT49" s="18">
        <v>39.630000000000003</v>
      </c>
      <c r="AU49" s="18">
        <v>0.9</v>
      </c>
      <c r="AV49" s="18">
        <v>0</v>
      </c>
      <c r="AW49" s="18">
        <v>0</v>
      </c>
      <c r="AX49" s="18">
        <v>8.3000000000000007</v>
      </c>
      <c r="AY49" s="18">
        <v>0</v>
      </c>
      <c r="AZ49" s="18">
        <v>2.56</v>
      </c>
      <c r="BA49" s="18">
        <v>0</v>
      </c>
      <c r="BB49" s="18">
        <v>1.38</v>
      </c>
      <c r="BC49" s="18">
        <v>2.61</v>
      </c>
      <c r="BD49" s="18">
        <v>2.2000000000000002</v>
      </c>
      <c r="BE49" s="18">
        <v>0</v>
      </c>
      <c r="BF49" s="18">
        <v>0</v>
      </c>
      <c r="BG49" s="18">
        <v>1.62</v>
      </c>
      <c r="BH49" s="18">
        <v>15.24</v>
      </c>
      <c r="BI49" s="18">
        <v>14.9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35.26</v>
      </c>
      <c r="BV49" s="18">
        <v>9.1999999999999993</v>
      </c>
      <c r="BW49" s="18">
        <v>15.88</v>
      </c>
      <c r="BX49" s="18">
        <v>7.61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49.6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36.01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30.52</v>
      </c>
      <c r="DF49" s="18">
        <v>132.30000000000001</v>
      </c>
      <c r="DG49" s="18">
        <v>14.35</v>
      </c>
      <c r="DH49" s="18">
        <v>70.73</v>
      </c>
      <c r="DI49" s="337">
        <v>0</v>
      </c>
      <c r="DJ49" s="337">
        <v>41.59</v>
      </c>
      <c r="DK49" s="337">
        <v>133.38999999999999</v>
      </c>
      <c r="DL49" s="337">
        <v>0</v>
      </c>
      <c r="DM49" s="337">
        <v>0</v>
      </c>
      <c r="DN49" s="337">
        <v>0</v>
      </c>
      <c r="DO49" s="337">
        <v>0</v>
      </c>
      <c r="DP49" s="337">
        <v>0</v>
      </c>
      <c r="DQ49" s="337">
        <v>0</v>
      </c>
      <c r="DR49" s="337">
        <v>0</v>
      </c>
      <c r="DS49" s="337">
        <v>0</v>
      </c>
      <c r="DT49" s="337">
        <v>0</v>
      </c>
      <c r="DU49" s="337">
        <v>0</v>
      </c>
      <c r="DV49" s="337">
        <v>0</v>
      </c>
      <c r="DW49" s="337">
        <v>0</v>
      </c>
      <c r="DX49" s="648">
        <v>4.59</v>
      </c>
      <c r="DY49" s="648">
        <v>4.47</v>
      </c>
      <c r="DZ49" s="337">
        <v>0</v>
      </c>
      <c r="EA49" s="337">
        <v>0</v>
      </c>
      <c r="EB49" s="337">
        <v>0</v>
      </c>
      <c r="EC49" s="337">
        <v>0</v>
      </c>
      <c r="ED49" s="337">
        <v>0</v>
      </c>
      <c r="EE49" s="648">
        <v>0</v>
      </c>
      <c r="EF49" s="337">
        <v>0</v>
      </c>
      <c r="EG49" s="337">
        <v>0</v>
      </c>
      <c r="EH49" s="648">
        <v>2.92</v>
      </c>
      <c r="EI49" s="337">
        <v>0</v>
      </c>
      <c r="EJ49" s="337">
        <v>0</v>
      </c>
      <c r="EK49" s="337">
        <v>0</v>
      </c>
      <c r="EL49" s="337">
        <v>0</v>
      </c>
      <c r="EM49" s="337">
        <v>0</v>
      </c>
      <c r="EN49" s="337">
        <v>0</v>
      </c>
      <c r="EO49" s="337">
        <v>0.3</v>
      </c>
      <c r="EP49" s="337">
        <v>0</v>
      </c>
      <c r="EQ49" s="337">
        <v>0</v>
      </c>
      <c r="ER49" s="337">
        <v>11.66</v>
      </c>
      <c r="ES49" s="337">
        <v>8.83</v>
      </c>
      <c r="ET49" s="337">
        <v>6.3</v>
      </c>
      <c r="EU49" s="337">
        <v>0</v>
      </c>
      <c r="EV49" s="337">
        <v>0</v>
      </c>
      <c r="EW49" s="337">
        <v>0</v>
      </c>
      <c r="EX49" s="337">
        <v>0</v>
      </c>
      <c r="EY49" s="337">
        <v>0</v>
      </c>
      <c r="EZ49" s="649">
        <v>0</v>
      </c>
      <c r="FA49" s="337">
        <v>206.97</v>
      </c>
      <c r="FB49" s="337">
        <v>-197.1</v>
      </c>
      <c r="FC49" s="337">
        <v>1595.06</v>
      </c>
      <c r="FD49" s="337">
        <v>1585.19</v>
      </c>
      <c r="FE49" s="19">
        <v>24</v>
      </c>
    </row>
    <row r="50" spans="1:169" s="20" customFormat="1">
      <c r="A50" s="318" t="s">
        <v>86</v>
      </c>
      <c r="B50" s="9"/>
      <c r="C50" s="9"/>
      <c r="D50" s="319" t="s">
        <v>87</v>
      </c>
      <c r="E50" s="319"/>
      <c r="F50" s="319"/>
      <c r="G50" s="320"/>
      <c r="H50" s="321" t="s">
        <v>88</v>
      </c>
      <c r="I50" s="321"/>
      <c r="J50" s="322"/>
      <c r="K50" s="321"/>
      <c r="L50" s="323" t="s">
        <v>89</v>
      </c>
      <c r="M50" s="323"/>
      <c r="N50" s="323"/>
      <c r="O50" s="323"/>
      <c r="P50" s="323"/>
      <c r="Q50" s="323"/>
      <c r="R50" s="323"/>
      <c r="S50" s="323"/>
      <c r="T50" s="323"/>
      <c r="U50" s="323"/>
      <c r="V50" s="323"/>
      <c r="W50" s="324"/>
      <c r="X50" s="323"/>
      <c r="Y50" s="323"/>
      <c r="Z50" s="323"/>
      <c r="AA50" s="323"/>
      <c r="AB50" s="323"/>
      <c r="AC50" s="323"/>
      <c r="AD50" s="323"/>
      <c r="AE50" s="323"/>
      <c r="AF50" s="323"/>
      <c r="AG50" s="323"/>
      <c r="AH50" s="323"/>
      <c r="AI50" s="323"/>
      <c r="AJ50" s="323"/>
      <c r="AK50" s="323"/>
      <c r="AL50" s="323"/>
      <c r="AM50" s="323"/>
      <c r="AN50" s="323"/>
      <c r="AO50" s="323"/>
      <c r="AP50" s="323"/>
      <c r="AQ50" s="323"/>
      <c r="AR50" s="323"/>
      <c r="AS50" s="323"/>
      <c r="AT50" s="323"/>
      <c r="AU50" s="323"/>
      <c r="AV50" s="323"/>
      <c r="AW50" s="323"/>
      <c r="AX50" s="323"/>
      <c r="AY50" s="323"/>
      <c r="AZ50" s="323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318"/>
    </row>
    <row r="51" spans="1:169" s="20" customFormat="1">
      <c r="A51" s="318" t="s">
        <v>90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318"/>
    </row>
    <row r="52" spans="1:169" s="20" customFormat="1">
      <c r="A52"/>
      <c r="B52" s="9"/>
      <c r="C52" s="9"/>
      <c r="D52" s="9"/>
      <c r="E52" s="625"/>
      <c r="F52" s="625"/>
      <c r="G52" s="62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625"/>
      <c r="DT52" s="625"/>
      <c r="DU52" s="625"/>
      <c r="DV52" s="625"/>
      <c r="DW52" s="625"/>
      <c r="DX52" s="245"/>
      <c r="DY52" s="245"/>
      <c r="DZ52" s="245"/>
      <c r="EA52" s="245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</row>
    <row r="53" spans="1:169" s="20" customFormat="1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</row>
    <row r="54" spans="1:169" s="20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</row>
    <row r="55" spans="1:169" s="20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</row>
    <row r="56" spans="1:169" s="20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</row>
    <row r="57" spans="1:169" s="20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</row>
    <row r="58" spans="1:169" s="20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</row>
    <row r="59" spans="1:169">
      <c r="FE59" s="22"/>
      <c r="FF59" s="22"/>
      <c r="FG59" s="22"/>
      <c r="FH59" s="22"/>
      <c r="FI59" s="22"/>
      <c r="FJ59" s="22"/>
      <c r="FK59" s="22"/>
      <c r="FL59" s="22"/>
      <c r="FM59" s="22"/>
    </row>
    <row r="60" spans="1:169">
      <c r="FE60" s="22"/>
      <c r="FF60" s="22"/>
      <c r="FG60" s="22"/>
      <c r="FH60" s="22"/>
      <c r="FI60" s="22"/>
      <c r="FJ60" s="22"/>
      <c r="FK60" s="22"/>
      <c r="FL60" s="22"/>
      <c r="FM60" s="22"/>
    </row>
    <row r="61" spans="1:169">
      <c r="FE61" s="22"/>
      <c r="FF61" s="22"/>
      <c r="FG61" s="22"/>
      <c r="FH61" s="22"/>
      <c r="FI61" s="22"/>
      <c r="FJ61" s="22"/>
      <c r="FK61" s="22"/>
      <c r="FL61" s="22"/>
      <c r="FM61" s="22"/>
    </row>
    <row r="62" spans="1:169">
      <c r="FE62" s="22"/>
      <c r="FF62" s="22"/>
      <c r="FG62" s="22"/>
      <c r="FH62" s="22"/>
      <c r="FI62" s="22"/>
      <c r="FJ62" s="22"/>
      <c r="FK62" s="22"/>
      <c r="FL62" s="22"/>
      <c r="FM62" s="22"/>
    </row>
    <row r="63" spans="1:169">
      <c r="FE63" s="22"/>
      <c r="FF63" s="22"/>
      <c r="FG63" s="22"/>
      <c r="FH63" s="22"/>
      <c r="FI63" s="22"/>
      <c r="FJ63" s="22"/>
      <c r="FK63" s="22"/>
      <c r="FL63" s="22"/>
      <c r="FM63" s="22"/>
    </row>
    <row r="64" spans="1:169">
      <c r="FE64" s="22"/>
      <c r="FF64" s="22"/>
      <c r="FG64" s="22"/>
      <c r="FH64" s="22"/>
      <c r="FI64" s="22"/>
      <c r="FJ64" s="22"/>
      <c r="FK64" s="22"/>
      <c r="FL64" s="22"/>
      <c r="FM64" s="22"/>
    </row>
    <row r="65" spans="161:169">
      <c r="FE65" s="22"/>
      <c r="FF65" s="22"/>
      <c r="FG65" s="22"/>
      <c r="FH65" s="22"/>
      <c r="FI65" s="22"/>
      <c r="FJ65" s="22"/>
      <c r="FK65" s="22"/>
      <c r="FL65" s="22"/>
      <c r="FM65" s="22"/>
    </row>
    <row r="66" spans="161:169">
      <c r="FE66" s="22"/>
      <c r="FF66" s="22"/>
      <c r="FG66" s="22"/>
      <c r="FH66" s="22"/>
      <c r="FI66" s="22"/>
      <c r="FJ66" s="22"/>
      <c r="FK66" s="22"/>
      <c r="FL66" s="22"/>
      <c r="FM66" s="22"/>
    </row>
    <row r="67" spans="161:169">
      <c r="FE67" s="22"/>
      <c r="FF67" s="22"/>
      <c r="FG67" s="22"/>
      <c r="FH67" s="22"/>
      <c r="FI67" s="22"/>
      <c r="FJ67" s="22"/>
      <c r="FK67" s="22"/>
      <c r="FL67" s="22"/>
      <c r="FM67" s="22"/>
    </row>
    <row r="68" spans="161:169">
      <c r="FE68" s="22"/>
      <c r="FF68" s="22"/>
      <c r="FG68" s="22"/>
      <c r="FH68" s="22"/>
      <c r="FI68" s="22"/>
      <c r="FJ68" s="22"/>
      <c r="FK68" s="22"/>
      <c r="FL68" s="22"/>
      <c r="FM68" s="22"/>
    </row>
    <row r="69" spans="161:169">
      <c r="FE69" s="22"/>
      <c r="FF69" s="22"/>
      <c r="FG69" s="22"/>
      <c r="FH69" s="22"/>
      <c r="FI69" s="22"/>
      <c r="FJ69" s="22"/>
      <c r="FK69" s="22"/>
      <c r="FL69" s="22"/>
      <c r="FM69" s="22"/>
    </row>
    <row r="70" spans="161:169">
      <c r="FE70" s="22"/>
      <c r="FF70" s="22"/>
      <c r="FG70" s="22"/>
      <c r="FH70" s="22"/>
      <c r="FI70" s="22"/>
      <c r="FJ70" s="22"/>
      <c r="FK70" s="22"/>
      <c r="FL70" s="22"/>
      <c r="FM70" s="22"/>
    </row>
    <row r="71" spans="161:169">
      <c r="FE71" s="22"/>
      <c r="FF71" s="22"/>
      <c r="FG71" s="22"/>
      <c r="FH71" s="22"/>
      <c r="FI71" s="22"/>
      <c r="FJ71" s="22"/>
      <c r="FK71" s="22"/>
      <c r="FL71" s="22"/>
      <c r="FM71" s="22"/>
    </row>
    <row r="72" spans="161:169">
      <c r="FE72" s="22"/>
      <c r="FF72" s="22"/>
      <c r="FG72" s="22"/>
      <c r="FH72" s="22"/>
      <c r="FI72" s="22"/>
      <c r="FJ72" s="22"/>
      <c r="FK72" s="22"/>
      <c r="FL72" s="22"/>
      <c r="FM72" s="22"/>
    </row>
    <row r="73" spans="161:169">
      <c r="FE73" s="22"/>
      <c r="FF73" s="22"/>
      <c r="FG73" s="22"/>
      <c r="FH73" s="22"/>
      <c r="FI73" s="22"/>
      <c r="FJ73" s="22"/>
      <c r="FK73" s="22"/>
      <c r="FL73" s="22"/>
      <c r="FM73" s="22"/>
    </row>
    <row r="74" spans="161:169">
      <c r="FE74" s="22"/>
      <c r="FF74" s="22"/>
      <c r="FG74" s="22"/>
      <c r="FH74" s="22"/>
      <c r="FI74" s="22"/>
      <c r="FJ74" s="22"/>
      <c r="FK74" s="22"/>
      <c r="FL74" s="22"/>
      <c r="FM74" s="22"/>
    </row>
    <row r="75" spans="161:169">
      <c r="FE75" s="22"/>
      <c r="FF75" s="22"/>
      <c r="FG75" s="22"/>
      <c r="FH75" s="22"/>
      <c r="FI75" s="22"/>
      <c r="FJ75" s="22"/>
      <c r="FK75" s="22"/>
      <c r="FL75" s="22"/>
      <c r="FM75" s="22"/>
    </row>
    <row r="76" spans="161:169">
      <c r="FE76" s="22"/>
      <c r="FF76" s="22"/>
      <c r="FG76" s="22"/>
      <c r="FH76" s="22"/>
      <c r="FI76" s="22"/>
      <c r="FJ76" s="22"/>
      <c r="FK76" s="22"/>
      <c r="FL76" s="22"/>
      <c r="FM76" s="22"/>
    </row>
    <row r="77" spans="161:169">
      <c r="FE77" s="22"/>
      <c r="FF77" s="22"/>
      <c r="FG77" s="22"/>
      <c r="FH77" s="22"/>
      <c r="FI77" s="22"/>
      <c r="FJ77" s="22"/>
      <c r="FK77" s="22"/>
      <c r="FL77" s="22"/>
      <c r="FM77" s="22"/>
    </row>
    <row r="78" spans="161:169">
      <c r="FE78" s="22"/>
      <c r="FF78" s="22"/>
      <c r="FG78" s="22"/>
      <c r="FH78" s="22"/>
      <c r="FI78" s="22"/>
      <c r="FJ78" s="22"/>
      <c r="FK78" s="22"/>
      <c r="FL78" s="22"/>
      <c r="FM78" s="22"/>
    </row>
    <row r="79" spans="161:169">
      <c r="FE79" s="22"/>
      <c r="FF79" s="22"/>
      <c r="FG79" s="22"/>
      <c r="FH79" s="22"/>
      <c r="FI79" s="22"/>
      <c r="FJ79" s="22"/>
      <c r="FK79" s="22"/>
      <c r="FL79" s="22"/>
      <c r="FM79" s="22"/>
    </row>
    <row r="80" spans="161:169">
      <c r="FE80" s="22"/>
      <c r="FF80" s="22"/>
      <c r="FG80" s="22"/>
      <c r="FH80" s="22"/>
      <c r="FI80" s="22"/>
      <c r="FJ80" s="22"/>
      <c r="FK80" s="22"/>
      <c r="FL80" s="22"/>
      <c r="FM80" s="22"/>
    </row>
    <row r="81" spans="161:169">
      <c r="FE81" s="22"/>
      <c r="FF81" s="22"/>
      <c r="FG81" s="22"/>
      <c r="FH81" s="22"/>
      <c r="FI81" s="22"/>
      <c r="FJ81" s="22"/>
      <c r="FK81" s="22"/>
      <c r="FL81" s="22"/>
      <c r="FM81" s="22"/>
    </row>
    <row r="82" spans="161:169">
      <c r="FE82" s="22"/>
      <c r="FF82" s="22"/>
      <c r="FG82" s="22"/>
      <c r="FH82" s="22"/>
      <c r="FI82" s="22"/>
      <c r="FJ82" s="22"/>
      <c r="FK82" s="22"/>
      <c r="FL82" s="22"/>
      <c r="FM82" s="22"/>
    </row>
    <row r="83" spans="161:169">
      <c r="FE83" s="22"/>
      <c r="FF83" s="22"/>
      <c r="FG83" s="22"/>
      <c r="FH83" s="22"/>
      <c r="FI83" s="22"/>
      <c r="FJ83" s="22"/>
      <c r="FK83" s="22"/>
      <c r="FL83" s="22"/>
      <c r="FM83" s="22"/>
    </row>
    <row r="84" spans="161:169">
      <c r="FE84" s="22"/>
      <c r="FF84" s="22"/>
      <c r="FG84" s="22"/>
      <c r="FH84" s="22"/>
      <c r="FI84" s="22"/>
      <c r="FJ84" s="22"/>
      <c r="FK84" s="22"/>
      <c r="FL84" s="22"/>
      <c r="FM84" s="22"/>
    </row>
    <row r="85" spans="161:169">
      <c r="FE85" s="22"/>
      <c r="FF85" s="22"/>
      <c r="FG85" s="22"/>
      <c r="FH85" s="22"/>
      <c r="FI85" s="22"/>
      <c r="FJ85" s="22"/>
      <c r="FK85" s="22"/>
      <c r="FL85" s="22"/>
      <c r="FM85" s="22"/>
    </row>
    <row r="86" spans="161:169">
      <c r="FE86" s="22"/>
      <c r="FF86" s="22"/>
      <c r="FG86" s="22"/>
      <c r="FH86" s="22"/>
      <c r="FI86" s="22"/>
      <c r="FJ86" s="22"/>
      <c r="FK86" s="22"/>
      <c r="FL86" s="22"/>
      <c r="FM86" s="22"/>
    </row>
    <row r="87" spans="161:169">
      <c r="FE87" s="22"/>
      <c r="FF87" s="22"/>
      <c r="FG87" s="22"/>
      <c r="FH87" s="22"/>
      <c r="FI87" s="22"/>
      <c r="FJ87" s="22"/>
      <c r="FK87" s="22"/>
      <c r="FL87" s="22"/>
      <c r="FM87" s="22"/>
    </row>
    <row r="88" spans="161:169">
      <c r="FE88" s="22"/>
      <c r="FF88" s="22"/>
      <c r="FG88" s="22"/>
      <c r="FH88" s="22"/>
      <c r="FI88" s="22"/>
      <c r="FJ88" s="22"/>
      <c r="FK88" s="22"/>
      <c r="FL88" s="22"/>
      <c r="FM88" s="22"/>
    </row>
    <row r="89" spans="161:169">
      <c r="FE89" s="22"/>
      <c r="FF89" s="22"/>
      <c r="FG89" s="22"/>
      <c r="FH89" s="22"/>
      <c r="FI89" s="22"/>
      <c r="FJ89" s="22"/>
      <c r="FK89" s="22"/>
      <c r="FL89" s="22"/>
      <c r="FM89" s="22"/>
    </row>
    <row r="90" spans="161:169">
      <c r="FE90" s="22"/>
      <c r="FF90" s="22"/>
      <c r="FG90" s="22"/>
      <c r="FH90" s="22"/>
      <c r="FI90" s="22"/>
      <c r="FJ90" s="22"/>
      <c r="FK90" s="22"/>
      <c r="FL90" s="22"/>
      <c r="FM90" s="22"/>
    </row>
    <row r="91" spans="161:169">
      <c r="FE91" s="22"/>
      <c r="FF91" s="22"/>
      <c r="FG91" s="22"/>
      <c r="FH91" s="22"/>
      <c r="FI91" s="22"/>
      <c r="FJ91" s="22"/>
      <c r="FK91" s="22"/>
      <c r="FL91" s="22"/>
      <c r="FM91" s="22"/>
    </row>
    <row r="92" spans="161:169">
      <c r="FE92" s="22"/>
      <c r="FF92" s="22"/>
      <c r="FG92" s="22"/>
      <c r="FH92" s="22"/>
      <c r="FI92" s="22"/>
      <c r="FJ92" s="22"/>
      <c r="FK92" s="22"/>
      <c r="FL92" s="22"/>
      <c r="FM92" s="22"/>
    </row>
    <row r="93" spans="161:169">
      <c r="FE93" s="22"/>
      <c r="FF93" s="22"/>
      <c r="FG93" s="22"/>
      <c r="FH93" s="22"/>
      <c r="FI93" s="22"/>
      <c r="FJ93" s="22"/>
      <c r="FK93" s="22"/>
      <c r="FL93" s="22"/>
      <c r="FM93" s="22"/>
    </row>
    <row r="94" spans="161:169">
      <c r="FE94" s="22"/>
      <c r="FF94" s="22"/>
      <c r="FG94" s="22"/>
      <c r="FH94" s="22"/>
      <c r="FI94" s="22"/>
      <c r="FJ94" s="22"/>
      <c r="FK94" s="22"/>
      <c r="FL94" s="22"/>
      <c r="FM94" s="22"/>
    </row>
    <row r="95" spans="161:169">
      <c r="FE95" s="22"/>
      <c r="FF95" s="22"/>
      <c r="FG95" s="22"/>
      <c r="FH95" s="22"/>
      <c r="FI95" s="22"/>
      <c r="FJ95" s="22"/>
      <c r="FK95" s="22"/>
      <c r="FL95" s="22"/>
      <c r="FM95" s="22"/>
    </row>
    <row r="96" spans="161:169">
      <c r="FE96" s="22"/>
      <c r="FF96" s="22"/>
      <c r="FG96" s="22"/>
      <c r="FH96" s="22"/>
      <c r="FI96" s="22"/>
      <c r="FJ96" s="22"/>
      <c r="FK96" s="22"/>
      <c r="FL96" s="22"/>
      <c r="FM96" s="22"/>
    </row>
  </sheetData>
  <mergeCells count="5">
    <mergeCell ref="N2:BB2"/>
    <mergeCell ref="E3:G3"/>
    <mergeCell ref="DS3:DW3"/>
    <mergeCell ref="E52:G52"/>
    <mergeCell ref="DS52:DW52"/>
  </mergeCells>
  <phoneticPr fontId="11" type="noConversion"/>
  <printOptions horizontalCentered="1"/>
  <pageMargins left="0" right="0" top="0" bottom="0" header="0" footer="0"/>
  <pageSetup paperSize="5" scale="39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indexed="61"/>
  </sheetPr>
  <dimension ref="A1:M273"/>
  <sheetViews>
    <sheetView zoomScale="75" workbookViewId="0"/>
  </sheetViews>
  <sheetFormatPr baseColWidth="10" defaultColWidth="11.42578125" defaultRowHeight="12.75"/>
  <cols>
    <col min="1" max="1" width="11.85546875" customWidth="1"/>
    <col min="2" max="2" width="22.85546875" style="210" customWidth="1"/>
    <col min="3" max="6" width="12.140625" customWidth="1"/>
    <col min="7" max="7" width="17" bestFit="1" customWidth="1"/>
    <col min="8" max="8" width="57.140625" style="210" customWidth="1"/>
    <col min="9" max="9" width="12.140625" customWidth="1"/>
    <col min="10" max="10" width="13" customWidth="1"/>
    <col min="11" max="11" width="12.5703125" customWidth="1"/>
    <col min="12" max="13" width="13" customWidth="1"/>
  </cols>
  <sheetData>
    <row r="1" spans="1:13" s="206" customFormat="1" ht="45.75" customHeight="1">
      <c r="A1" s="361"/>
      <c r="B1" s="208"/>
      <c r="H1" s="208"/>
    </row>
    <row r="2" spans="1:13" ht="66" customHeight="1">
      <c r="A2" s="633" t="s">
        <v>28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</row>
    <row r="3" spans="1:13">
      <c r="A3" s="634"/>
      <c r="B3" s="634"/>
      <c r="C3" s="634"/>
      <c r="D3" s="634"/>
      <c r="E3" s="634"/>
      <c r="F3" s="634"/>
      <c r="G3" s="634"/>
      <c r="H3" s="634"/>
      <c r="I3" s="634"/>
      <c r="J3" s="634"/>
      <c r="K3" s="634"/>
      <c r="L3" s="634"/>
      <c r="M3" s="634"/>
    </row>
    <row r="4" spans="1:13">
      <c r="A4" s="634"/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</row>
    <row r="5" spans="1:13" ht="13.5" customHeight="1">
      <c r="A5" s="385"/>
      <c r="B5" s="385"/>
      <c r="C5" s="626" t="s">
        <v>31</v>
      </c>
      <c r="D5" s="627"/>
      <c r="E5" s="628" t="s">
        <v>32</v>
      </c>
      <c r="F5" s="629"/>
      <c r="G5" s="386"/>
      <c r="H5" s="385"/>
      <c r="I5" s="630" t="s">
        <v>35</v>
      </c>
      <c r="J5" s="631"/>
      <c r="K5" s="631"/>
      <c r="L5" s="631"/>
      <c r="M5" s="632"/>
    </row>
    <row r="6" spans="1:13" ht="31.5">
      <c r="A6" s="387" t="s">
        <v>29</v>
      </c>
      <c r="B6" s="387" t="s">
        <v>30</v>
      </c>
      <c r="C6" s="388" t="s">
        <v>36</v>
      </c>
      <c r="D6" s="389" t="s">
        <v>24</v>
      </c>
      <c r="E6" s="388" t="s">
        <v>296</v>
      </c>
      <c r="F6" s="389" t="s">
        <v>295</v>
      </c>
      <c r="G6" s="390" t="s">
        <v>33</v>
      </c>
      <c r="H6" s="387" t="s">
        <v>34</v>
      </c>
      <c r="I6" s="391" t="s">
        <v>37</v>
      </c>
      <c r="J6" s="391" t="s">
        <v>38</v>
      </c>
      <c r="K6" s="391" t="s">
        <v>39</v>
      </c>
      <c r="L6" s="391" t="s">
        <v>40</v>
      </c>
      <c r="M6" s="392" t="s">
        <v>41</v>
      </c>
    </row>
    <row r="7" spans="1:13">
      <c r="A7" s="369" t="s">
        <v>382</v>
      </c>
      <c r="B7" s="370" t="s">
        <v>383</v>
      </c>
      <c r="C7" s="371">
        <v>45432</v>
      </c>
      <c r="D7" s="372">
        <v>0.49583333333333335</v>
      </c>
      <c r="E7" s="373"/>
      <c r="F7" s="373"/>
      <c r="G7" s="373"/>
      <c r="H7" s="370" t="s">
        <v>384</v>
      </c>
      <c r="I7" s="373">
        <v>0</v>
      </c>
      <c r="J7" s="373">
        <v>886</v>
      </c>
      <c r="K7" s="373">
        <v>0</v>
      </c>
      <c r="L7" s="373">
        <v>11.9</v>
      </c>
      <c r="M7" s="374">
        <v>21264.198</v>
      </c>
    </row>
    <row r="8" spans="1:13" ht="76.5">
      <c r="A8" s="367" t="s">
        <v>385</v>
      </c>
      <c r="B8" s="209" t="s">
        <v>383</v>
      </c>
      <c r="C8" s="215">
        <v>46315</v>
      </c>
      <c r="D8" s="216">
        <v>0.625</v>
      </c>
      <c r="E8" s="215">
        <v>46317</v>
      </c>
      <c r="F8" s="216">
        <v>0.20902777777777778</v>
      </c>
      <c r="G8" s="126"/>
      <c r="H8" s="209" t="s">
        <v>386</v>
      </c>
      <c r="I8" s="126">
        <v>0</v>
      </c>
      <c r="J8" s="126">
        <v>1</v>
      </c>
      <c r="K8" s="126">
        <v>14</v>
      </c>
      <c r="L8" s="126">
        <v>1</v>
      </c>
      <c r="M8" s="368">
        <v>38.015999999999998</v>
      </c>
    </row>
    <row r="9" spans="1:13" ht="25.5">
      <c r="A9" s="367" t="s">
        <v>339</v>
      </c>
      <c r="B9" s="209" t="s">
        <v>387</v>
      </c>
      <c r="C9" s="215">
        <v>46317</v>
      </c>
      <c r="D9" s="216">
        <v>0.58333333333333337</v>
      </c>
      <c r="E9" s="215">
        <v>46317</v>
      </c>
      <c r="F9" s="216">
        <v>0.625</v>
      </c>
      <c r="G9" s="126"/>
      <c r="H9" s="209" t="s">
        <v>388</v>
      </c>
      <c r="I9" s="126">
        <v>0</v>
      </c>
      <c r="J9" s="126">
        <v>0</v>
      </c>
      <c r="K9" s="126">
        <v>1</v>
      </c>
      <c r="L9" s="126">
        <v>0</v>
      </c>
      <c r="M9" s="368">
        <v>1</v>
      </c>
    </row>
    <row r="10" spans="1:13" ht="25.5">
      <c r="A10" s="650" t="s">
        <v>343</v>
      </c>
      <c r="B10" s="651" t="s">
        <v>387</v>
      </c>
      <c r="C10" s="652">
        <v>46317</v>
      </c>
      <c r="D10" s="653">
        <v>0.37569444444444444</v>
      </c>
      <c r="E10" s="656">
        <v>46317</v>
      </c>
      <c r="F10" s="653">
        <v>0.41666666666666669</v>
      </c>
      <c r="G10" s="654"/>
      <c r="H10" s="651" t="s">
        <v>389</v>
      </c>
      <c r="I10" s="654">
        <v>0</v>
      </c>
      <c r="J10" s="654">
        <v>0</v>
      </c>
      <c r="K10" s="654">
        <v>0</v>
      </c>
      <c r="L10" s="654">
        <v>59</v>
      </c>
      <c r="M10" s="655">
        <v>0.98299999999999998</v>
      </c>
    </row>
    <row r="11" spans="1:13" ht="25.5">
      <c r="A11" s="650" t="s">
        <v>345</v>
      </c>
      <c r="B11" s="651" t="s">
        <v>387</v>
      </c>
      <c r="C11" s="652">
        <v>46317</v>
      </c>
      <c r="D11" s="653">
        <v>0.41666666666666669</v>
      </c>
      <c r="E11" s="656">
        <v>46317</v>
      </c>
      <c r="F11" s="653">
        <v>0.45833333333333331</v>
      </c>
      <c r="G11" s="654"/>
      <c r="H11" s="651" t="s">
        <v>390</v>
      </c>
      <c r="I11" s="654">
        <v>0</v>
      </c>
      <c r="J11" s="654">
        <v>0</v>
      </c>
      <c r="K11" s="654">
        <v>1</v>
      </c>
      <c r="L11" s="654">
        <v>0</v>
      </c>
      <c r="M11" s="655">
        <v>1</v>
      </c>
    </row>
    <row r="12" spans="1:13">
      <c r="A12" s="650" t="s">
        <v>391</v>
      </c>
      <c r="B12" s="651" t="s">
        <v>383</v>
      </c>
      <c r="C12" s="652">
        <v>44349</v>
      </c>
      <c r="D12" s="653">
        <v>0.41041666666666665</v>
      </c>
      <c r="E12" s="654"/>
      <c r="F12" s="654"/>
      <c r="G12" s="654"/>
      <c r="H12" s="651" t="s">
        <v>392</v>
      </c>
      <c r="I12" s="654">
        <v>0</v>
      </c>
      <c r="J12" s="654">
        <v>1969</v>
      </c>
      <c r="K12" s="654">
        <v>2</v>
      </c>
      <c r="L12" s="654">
        <v>14.9</v>
      </c>
      <c r="M12" s="655">
        <v>47258.248</v>
      </c>
    </row>
    <row r="13" spans="1:13">
      <c r="A13" s="650" t="s">
        <v>393</v>
      </c>
      <c r="B13" s="651" t="s">
        <v>383</v>
      </c>
      <c r="C13" s="652">
        <v>46022</v>
      </c>
      <c r="D13" s="653">
        <v>0.91666666666666663</v>
      </c>
      <c r="E13" s="654"/>
      <c r="F13" s="654"/>
      <c r="G13" s="654"/>
      <c r="H13" s="651" t="s">
        <v>394</v>
      </c>
      <c r="I13" s="654">
        <v>0</v>
      </c>
      <c r="J13" s="654">
        <v>295</v>
      </c>
      <c r="K13" s="654">
        <v>14</v>
      </c>
      <c r="L13" s="654">
        <v>5.9</v>
      </c>
      <c r="M13" s="655">
        <v>7094.098</v>
      </c>
    </row>
    <row r="14" spans="1:13">
      <c r="A14" s="650" t="s">
        <v>395</v>
      </c>
      <c r="B14" s="651" t="s">
        <v>383</v>
      </c>
      <c r="C14" s="652">
        <v>46022</v>
      </c>
      <c r="D14" s="653">
        <v>0.91666666666666663</v>
      </c>
      <c r="E14" s="654"/>
      <c r="F14" s="654"/>
      <c r="G14" s="654"/>
      <c r="H14" s="651" t="s">
        <v>394</v>
      </c>
      <c r="I14" s="654">
        <v>0</v>
      </c>
      <c r="J14" s="654">
        <v>295</v>
      </c>
      <c r="K14" s="654">
        <v>14</v>
      </c>
      <c r="L14" s="654">
        <v>5.9</v>
      </c>
      <c r="M14" s="655">
        <v>7094.098</v>
      </c>
    </row>
    <row r="15" spans="1:13">
      <c r="A15" s="650" t="s">
        <v>396</v>
      </c>
      <c r="B15" s="651" t="s">
        <v>383</v>
      </c>
      <c r="C15" s="652">
        <v>46022</v>
      </c>
      <c r="D15" s="653">
        <v>0.91666666666666663</v>
      </c>
      <c r="E15" s="654"/>
      <c r="F15" s="654"/>
      <c r="G15" s="654"/>
      <c r="H15" s="651" t="s">
        <v>394</v>
      </c>
      <c r="I15" s="654">
        <v>0</v>
      </c>
      <c r="J15" s="654">
        <v>295</v>
      </c>
      <c r="K15" s="654">
        <v>14</v>
      </c>
      <c r="L15" s="654">
        <v>5.9</v>
      </c>
      <c r="M15" s="655">
        <v>7094.098</v>
      </c>
    </row>
    <row r="16" spans="1:13">
      <c r="A16" s="650" t="s">
        <v>397</v>
      </c>
      <c r="B16" s="651" t="s">
        <v>383</v>
      </c>
      <c r="C16" s="652">
        <v>46022</v>
      </c>
      <c r="D16" s="653">
        <v>0.91666666666666663</v>
      </c>
      <c r="E16" s="654"/>
      <c r="F16" s="654"/>
      <c r="G16" s="654"/>
      <c r="H16" s="651" t="s">
        <v>394</v>
      </c>
      <c r="I16" s="654">
        <v>0</v>
      </c>
      <c r="J16" s="654">
        <v>295</v>
      </c>
      <c r="K16" s="654">
        <v>14</v>
      </c>
      <c r="L16" s="654">
        <v>5.9</v>
      </c>
      <c r="M16" s="655">
        <v>7094.098</v>
      </c>
    </row>
    <row r="17" spans="1:13">
      <c r="A17" s="650" t="s">
        <v>398</v>
      </c>
      <c r="B17" s="651" t="s">
        <v>383</v>
      </c>
      <c r="C17" s="652">
        <v>46143</v>
      </c>
      <c r="D17" s="653">
        <v>0</v>
      </c>
      <c r="E17" s="654"/>
      <c r="F17" s="654"/>
      <c r="G17" s="654"/>
      <c r="H17" s="651" t="s">
        <v>394</v>
      </c>
      <c r="I17" s="654">
        <v>0</v>
      </c>
      <c r="J17" s="654">
        <v>175</v>
      </c>
      <c r="K17" s="654">
        <v>12</v>
      </c>
      <c r="L17" s="654">
        <v>5.9</v>
      </c>
      <c r="M17" s="655">
        <v>4212.098</v>
      </c>
    </row>
    <row r="18" spans="1:13">
      <c r="A18" s="650" t="s">
        <v>399</v>
      </c>
      <c r="B18" s="651" t="s">
        <v>383</v>
      </c>
      <c r="C18" s="652">
        <v>46143</v>
      </c>
      <c r="D18" s="653">
        <v>0</v>
      </c>
      <c r="E18" s="654"/>
      <c r="F18" s="654"/>
      <c r="G18" s="654"/>
      <c r="H18" s="651" t="s">
        <v>394</v>
      </c>
      <c r="I18" s="654">
        <v>0</v>
      </c>
      <c r="J18" s="654">
        <v>175</v>
      </c>
      <c r="K18" s="654">
        <v>12</v>
      </c>
      <c r="L18" s="654">
        <v>5.9</v>
      </c>
      <c r="M18" s="655">
        <v>4212.098</v>
      </c>
    </row>
    <row r="19" spans="1:13">
      <c r="A19" s="650" t="s">
        <v>400</v>
      </c>
      <c r="B19" s="651" t="s">
        <v>383</v>
      </c>
      <c r="C19" s="652">
        <v>46143</v>
      </c>
      <c r="D19" s="653">
        <v>0</v>
      </c>
      <c r="E19" s="654"/>
      <c r="F19" s="654"/>
      <c r="G19" s="654"/>
      <c r="H19" s="651" t="s">
        <v>394</v>
      </c>
      <c r="I19" s="654">
        <v>0</v>
      </c>
      <c r="J19" s="654">
        <v>175</v>
      </c>
      <c r="K19" s="654">
        <v>12</v>
      </c>
      <c r="L19" s="654">
        <v>5.9</v>
      </c>
      <c r="M19" s="655">
        <v>4212.098</v>
      </c>
    </row>
    <row r="20" spans="1:13">
      <c r="A20" s="650" t="s">
        <v>401</v>
      </c>
      <c r="B20" s="651" t="s">
        <v>383</v>
      </c>
      <c r="C20" s="652">
        <v>46143</v>
      </c>
      <c r="D20" s="653">
        <v>0</v>
      </c>
      <c r="E20" s="654"/>
      <c r="F20" s="654"/>
      <c r="G20" s="654"/>
      <c r="H20" s="651" t="s">
        <v>394</v>
      </c>
      <c r="I20" s="654">
        <v>0</v>
      </c>
      <c r="J20" s="654">
        <v>175</v>
      </c>
      <c r="K20" s="654">
        <v>12</v>
      </c>
      <c r="L20" s="654">
        <v>5.9</v>
      </c>
      <c r="M20" s="655">
        <v>4212.098</v>
      </c>
    </row>
    <row r="21" spans="1:13" ht="25.5">
      <c r="A21" s="650" t="s">
        <v>402</v>
      </c>
      <c r="B21" s="651" t="s">
        <v>383</v>
      </c>
      <c r="C21" s="652">
        <v>45200</v>
      </c>
      <c r="D21" s="653">
        <v>0</v>
      </c>
      <c r="E21" s="654"/>
      <c r="F21" s="654"/>
      <c r="G21" s="654"/>
      <c r="H21" s="651" t="s">
        <v>403</v>
      </c>
      <c r="I21" s="654">
        <v>0</v>
      </c>
      <c r="J21" s="654">
        <v>1118</v>
      </c>
      <c r="K21" s="654">
        <v>12</v>
      </c>
      <c r="L21" s="654">
        <v>5.9</v>
      </c>
      <c r="M21" s="655">
        <v>26844.098000000002</v>
      </c>
    </row>
    <row r="22" spans="1:13">
      <c r="A22" s="650" t="s">
        <v>404</v>
      </c>
      <c r="B22" s="651" t="s">
        <v>383</v>
      </c>
      <c r="C22" s="652">
        <v>43595</v>
      </c>
      <c r="D22" s="653">
        <v>6.9444444444444447E-4</v>
      </c>
      <c r="E22" s="654"/>
      <c r="F22" s="654"/>
      <c r="G22" s="654"/>
      <c r="H22" s="651" t="s">
        <v>405</v>
      </c>
      <c r="I22" s="654">
        <v>0</v>
      </c>
      <c r="J22" s="654">
        <v>2723</v>
      </c>
      <c r="K22" s="654">
        <v>12</v>
      </c>
      <c r="L22" s="654">
        <v>4.9000000000000004</v>
      </c>
      <c r="M22" s="655">
        <v>65364.080999999998</v>
      </c>
    </row>
    <row r="23" spans="1:13">
      <c r="A23" s="650" t="s">
        <v>406</v>
      </c>
      <c r="B23" s="651" t="s">
        <v>383</v>
      </c>
      <c r="C23" s="652">
        <v>43595</v>
      </c>
      <c r="D23" s="653">
        <v>6.9444444444444447E-4</v>
      </c>
      <c r="E23" s="654"/>
      <c r="F23" s="654"/>
      <c r="G23" s="654"/>
      <c r="H23" s="651" t="s">
        <v>405</v>
      </c>
      <c r="I23" s="654">
        <v>0</v>
      </c>
      <c r="J23" s="654">
        <v>2723</v>
      </c>
      <c r="K23" s="654">
        <v>12</v>
      </c>
      <c r="L23" s="654">
        <v>4.9000000000000004</v>
      </c>
      <c r="M23" s="655">
        <v>65364.080999999998</v>
      </c>
    </row>
    <row r="24" spans="1:13">
      <c r="A24" s="650" t="s">
        <v>407</v>
      </c>
      <c r="B24" s="651" t="s">
        <v>383</v>
      </c>
      <c r="C24" s="652">
        <v>43583</v>
      </c>
      <c r="D24" s="653">
        <v>0.16458333333333333</v>
      </c>
      <c r="E24" s="654"/>
      <c r="F24" s="654"/>
      <c r="G24" s="654"/>
      <c r="H24" s="651" t="s">
        <v>408</v>
      </c>
      <c r="I24" s="654">
        <v>0</v>
      </c>
      <c r="J24" s="654">
        <v>2735</v>
      </c>
      <c r="K24" s="654">
        <v>8</v>
      </c>
      <c r="L24" s="654">
        <v>8.9</v>
      </c>
      <c r="M24" s="655">
        <v>65648.148000000001</v>
      </c>
    </row>
    <row r="25" spans="1:13">
      <c r="A25" s="650" t="s">
        <v>409</v>
      </c>
      <c r="B25" s="651" t="s">
        <v>383</v>
      </c>
      <c r="C25" s="652">
        <v>39050</v>
      </c>
      <c r="D25" s="653">
        <v>0.33263888888888887</v>
      </c>
      <c r="E25" s="654"/>
      <c r="F25" s="654"/>
      <c r="G25" s="654"/>
      <c r="H25" s="651" t="s">
        <v>410</v>
      </c>
      <c r="I25" s="654">
        <v>0</v>
      </c>
      <c r="J25" s="654">
        <v>7268</v>
      </c>
      <c r="K25" s="654">
        <v>4</v>
      </c>
      <c r="L25" s="654">
        <v>6.9</v>
      </c>
      <c r="M25" s="655">
        <v>174436.11499999999</v>
      </c>
    </row>
    <row r="26" spans="1:13">
      <c r="A26" s="650" t="s">
        <v>411</v>
      </c>
      <c r="B26" s="651" t="s">
        <v>383</v>
      </c>
      <c r="C26" s="652">
        <v>46022</v>
      </c>
      <c r="D26" s="653">
        <v>0.91666666666666663</v>
      </c>
      <c r="E26" s="654"/>
      <c r="F26" s="654"/>
      <c r="G26" s="654"/>
      <c r="H26" s="651" t="s">
        <v>394</v>
      </c>
      <c r="I26" s="654">
        <v>0</v>
      </c>
      <c r="J26" s="654">
        <v>295</v>
      </c>
      <c r="K26" s="654">
        <v>14</v>
      </c>
      <c r="L26" s="654">
        <v>5.9</v>
      </c>
      <c r="M26" s="655">
        <v>7094.098</v>
      </c>
    </row>
    <row r="27" spans="1:13">
      <c r="A27" s="650" t="s">
        <v>412</v>
      </c>
      <c r="B27" s="651" t="s">
        <v>383</v>
      </c>
      <c r="C27" s="652">
        <v>41760</v>
      </c>
      <c r="D27" s="653">
        <v>0</v>
      </c>
      <c r="E27" s="654"/>
      <c r="F27" s="654"/>
      <c r="G27" s="654"/>
      <c r="H27" s="651" t="s">
        <v>413</v>
      </c>
      <c r="I27" s="654">
        <v>0</v>
      </c>
      <c r="J27" s="654">
        <v>4558</v>
      </c>
      <c r="K27" s="654">
        <v>12</v>
      </c>
      <c r="L27" s="654">
        <v>5.9</v>
      </c>
      <c r="M27" s="655">
        <v>109404.098</v>
      </c>
    </row>
    <row r="28" spans="1:13">
      <c r="A28" s="650" t="s">
        <v>414</v>
      </c>
      <c r="B28" s="651" t="s">
        <v>383</v>
      </c>
      <c r="C28" s="652">
        <v>41760</v>
      </c>
      <c r="D28" s="653">
        <v>0</v>
      </c>
      <c r="E28" s="654"/>
      <c r="F28" s="654"/>
      <c r="G28" s="654"/>
      <c r="H28" s="651" t="s">
        <v>413</v>
      </c>
      <c r="I28" s="654">
        <v>0</v>
      </c>
      <c r="J28" s="654">
        <v>4558</v>
      </c>
      <c r="K28" s="654">
        <v>12</v>
      </c>
      <c r="L28" s="654">
        <v>5.9</v>
      </c>
      <c r="M28" s="655">
        <v>109404.098</v>
      </c>
    </row>
    <row r="29" spans="1:13">
      <c r="A29" s="650" t="s">
        <v>415</v>
      </c>
      <c r="B29" s="651" t="s">
        <v>383</v>
      </c>
      <c r="C29" s="652">
        <v>41760</v>
      </c>
      <c r="D29" s="653">
        <v>0</v>
      </c>
      <c r="E29" s="654"/>
      <c r="F29" s="654"/>
      <c r="G29" s="654"/>
      <c r="H29" s="651" t="s">
        <v>413</v>
      </c>
      <c r="I29" s="654">
        <v>0</v>
      </c>
      <c r="J29" s="654">
        <v>4558</v>
      </c>
      <c r="K29" s="654">
        <v>12</v>
      </c>
      <c r="L29" s="654">
        <v>5.9</v>
      </c>
      <c r="M29" s="655">
        <v>109404.098</v>
      </c>
    </row>
    <row r="30" spans="1:13">
      <c r="A30" s="650" t="s">
        <v>416</v>
      </c>
      <c r="B30" s="651" t="s">
        <v>383</v>
      </c>
      <c r="C30" s="652">
        <v>41760</v>
      </c>
      <c r="D30" s="653">
        <v>0</v>
      </c>
      <c r="E30" s="654"/>
      <c r="F30" s="654"/>
      <c r="G30" s="654"/>
      <c r="H30" s="651" t="s">
        <v>413</v>
      </c>
      <c r="I30" s="654">
        <v>0</v>
      </c>
      <c r="J30" s="654">
        <v>4558</v>
      </c>
      <c r="K30" s="654">
        <v>12</v>
      </c>
      <c r="L30" s="654">
        <v>5.9</v>
      </c>
      <c r="M30" s="655">
        <v>109404.098</v>
      </c>
    </row>
    <row r="31" spans="1:13">
      <c r="A31" s="650" t="s">
        <v>417</v>
      </c>
      <c r="B31" s="651" t="s">
        <v>383</v>
      </c>
      <c r="C31" s="652">
        <v>41760</v>
      </c>
      <c r="D31" s="653">
        <v>0</v>
      </c>
      <c r="E31" s="654"/>
      <c r="F31" s="654"/>
      <c r="G31" s="654"/>
      <c r="H31" s="651" t="s">
        <v>413</v>
      </c>
      <c r="I31" s="654">
        <v>0</v>
      </c>
      <c r="J31" s="654">
        <v>4558</v>
      </c>
      <c r="K31" s="654">
        <v>12</v>
      </c>
      <c r="L31" s="654">
        <v>5.9</v>
      </c>
      <c r="M31" s="655">
        <v>109404.098</v>
      </c>
    </row>
    <row r="32" spans="1:13">
      <c r="A32" s="650" t="s">
        <v>418</v>
      </c>
      <c r="B32" s="651" t="s">
        <v>383</v>
      </c>
      <c r="C32" s="652">
        <v>41760</v>
      </c>
      <c r="D32" s="653">
        <v>0</v>
      </c>
      <c r="E32" s="654"/>
      <c r="F32" s="654"/>
      <c r="G32" s="654"/>
      <c r="H32" s="651" t="s">
        <v>413</v>
      </c>
      <c r="I32" s="654">
        <v>0</v>
      </c>
      <c r="J32" s="654">
        <v>4558</v>
      </c>
      <c r="K32" s="654">
        <v>12</v>
      </c>
      <c r="L32" s="654">
        <v>5.9</v>
      </c>
      <c r="M32" s="655">
        <v>109404.098</v>
      </c>
    </row>
    <row r="33" spans="1:13" ht="38.25">
      <c r="A33" s="650" t="s">
        <v>419</v>
      </c>
      <c r="B33" s="651" t="s">
        <v>383</v>
      </c>
      <c r="C33" s="652">
        <v>43125</v>
      </c>
      <c r="D33" s="653">
        <v>0.92013888888888884</v>
      </c>
      <c r="E33" s="654"/>
      <c r="F33" s="654"/>
      <c r="G33" s="654"/>
      <c r="H33" s="651" t="s">
        <v>420</v>
      </c>
      <c r="I33" s="654">
        <v>0</v>
      </c>
      <c r="J33" s="654">
        <v>3192</v>
      </c>
      <c r="K33" s="654">
        <v>14</v>
      </c>
      <c r="L33" s="654">
        <v>0.9</v>
      </c>
      <c r="M33" s="655">
        <v>76622.014999999999</v>
      </c>
    </row>
    <row r="34" spans="1:13" ht="38.25">
      <c r="A34" s="650" t="s">
        <v>421</v>
      </c>
      <c r="B34" s="651" t="s">
        <v>383</v>
      </c>
      <c r="C34" s="652">
        <v>43125</v>
      </c>
      <c r="D34" s="653">
        <v>0.92013888888888884</v>
      </c>
      <c r="E34" s="654"/>
      <c r="F34" s="654"/>
      <c r="G34" s="654"/>
      <c r="H34" s="651" t="s">
        <v>420</v>
      </c>
      <c r="I34" s="654">
        <v>0</v>
      </c>
      <c r="J34" s="654">
        <v>3192</v>
      </c>
      <c r="K34" s="654">
        <v>14</v>
      </c>
      <c r="L34" s="654">
        <v>0.9</v>
      </c>
      <c r="M34" s="655">
        <v>76622.014999999999</v>
      </c>
    </row>
    <row r="35" spans="1:13" ht="25.5">
      <c r="A35" s="650" t="s">
        <v>422</v>
      </c>
      <c r="B35" s="651" t="s">
        <v>383</v>
      </c>
      <c r="C35" s="652">
        <v>43125</v>
      </c>
      <c r="D35" s="653">
        <v>0.88749999999999996</v>
      </c>
      <c r="E35" s="654"/>
      <c r="F35" s="654"/>
      <c r="G35" s="654"/>
      <c r="H35" s="651" t="s">
        <v>423</v>
      </c>
      <c r="I35" s="654">
        <v>0</v>
      </c>
      <c r="J35" s="654">
        <v>3192</v>
      </c>
      <c r="K35" s="654">
        <v>14</v>
      </c>
      <c r="L35" s="654">
        <v>47.9</v>
      </c>
      <c r="M35" s="655">
        <v>76622.797999999995</v>
      </c>
    </row>
    <row r="36" spans="1:13" ht="38.25">
      <c r="A36" s="650" t="s">
        <v>424</v>
      </c>
      <c r="B36" s="651" t="s">
        <v>383</v>
      </c>
      <c r="C36" s="652">
        <v>43125</v>
      </c>
      <c r="D36" s="653">
        <v>0.92152777777777772</v>
      </c>
      <c r="E36" s="654"/>
      <c r="F36" s="654"/>
      <c r="G36" s="654"/>
      <c r="H36" s="651" t="s">
        <v>420</v>
      </c>
      <c r="I36" s="654">
        <v>0</v>
      </c>
      <c r="J36" s="654">
        <v>3192</v>
      </c>
      <c r="K36" s="654">
        <v>13</v>
      </c>
      <c r="L36" s="654">
        <v>58.9</v>
      </c>
      <c r="M36" s="655">
        <v>76621.981</v>
      </c>
    </row>
    <row r="37" spans="1:13" ht="25.5">
      <c r="A37" s="650" t="s">
        <v>425</v>
      </c>
      <c r="B37" s="651" t="s">
        <v>383</v>
      </c>
      <c r="C37" s="652">
        <v>43125</v>
      </c>
      <c r="D37" s="653">
        <v>0.89375000000000004</v>
      </c>
      <c r="E37" s="654"/>
      <c r="F37" s="654"/>
      <c r="G37" s="654"/>
      <c r="H37" s="651" t="s">
        <v>423</v>
      </c>
      <c r="I37" s="654">
        <v>0</v>
      </c>
      <c r="J37" s="654">
        <v>3192</v>
      </c>
      <c r="K37" s="654">
        <v>14</v>
      </c>
      <c r="L37" s="654">
        <v>38.9</v>
      </c>
      <c r="M37" s="655">
        <v>76622.648000000001</v>
      </c>
    </row>
    <row r="38" spans="1:13" ht="25.5">
      <c r="A38" s="650" t="s">
        <v>426</v>
      </c>
      <c r="B38" s="651" t="s">
        <v>383</v>
      </c>
      <c r="C38" s="652">
        <v>44255</v>
      </c>
      <c r="D38" s="653">
        <v>0.35625000000000001</v>
      </c>
      <c r="E38" s="654"/>
      <c r="F38" s="654"/>
      <c r="G38" s="654"/>
      <c r="H38" s="651" t="s">
        <v>427</v>
      </c>
      <c r="I38" s="654">
        <v>0</v>
      </c>
      <c r="J38" s="654">
        <v>2063</v>
      </c>
      <c r="K38" s="654">
        <v>3</v>
      </c>
      <c r="L38" s="654">
        <v>32.9</v>
      </c>
      <c r="M38" s="655">
        <v>49515.548000000003</v>
      </c>
    </row>
    <row r="39" spans="1:13" ht="25.5">
      <c r="A39" s="650" t="s">
        <v>428</v>
      </c>
      <c r="B39" s="651" t="s">
        <v>383</v>
      </c>
      <c r="C39" s="652">
        <v>41556</v>
      </c>
      <c r="D39" s="653">
        <v>0.45833333333333331</v>
      </c>
      <c r="E39" s="654"/>
      <c r="F39" s="654"/>
      <c r="G39" s="654"/>
      <c r="H39" s="651" t="s">
        <v>429</v>
      </c>
      <c r="I39" s="654">
        <v>0</v>
      </c>
      <c r="J39" s="654">
        <v>4762</v>
      </c>
      <c r="K39" s="654">
        <v>1</v>
      </c>
      <c r="L39" s="654">
        <v>5.9</v>
      </c>
      <c r="M39" s="655">
        <v>114289.098</v>
      </c>
    </row>
    <row r="40" spans="1:13">
      <c r="A40" s="650" t="s">
        <v>430</v>
      </c>
      <c r="B40" s="651" t="s">
        <v>383</v>
      </c>
      <c r="C40" s="652">
        <v>39356</v>
      </c>
      <c r="D40" s="653">
        <v>0.47847222222222224</v>
      </c>
      <c r="E40" s="654"/>
      <c r="F40" s="654"/>
      <c r="G40" s="654"/>
      <c r="H40" s="651" t="s">
        <v>431</v>
      </c>
      <c r="I40" s="654">
        <v>0</v>
      </c>
      <c r="J40" s="654">
        <v>6962</v>
      </c>
      <c r="K40" s="654">
        <v>0</v>
      </c>
      <c r="L40" s="654">
        <v>36.9</v>
      </c>
      <c r="M40" s="655">
        <v>167088.61499999999</v>
      </c>
    </row>
    <row r="41" spans="1:13">
      <c r="A41" s="650" t="s">
        <v>432</v>
      </c>
      <c r="B41" s="651" t="s">
        <v>383</v>
      </c>
      <c r="C41" s="652">
        <v>46266</v>
      </c>
      <c r="D41" s="653">
        <v>0</v>
      </c>
      <c r="E41" s="654"/>
      <c r="F41" s="654"/>
      <c r="G41" s="654"/>
      <c r="H41" s="651" t="s">
        <v>394</v>
      </c>
      <c r="I41" s="654">
        <v>0</v>
      </c>
      <c r="J41" s="654">
        <v>52</v>
      </c>
      <c r="K41" s="654">
        <v>12</v>
      </c>
      <c r="L41" s="654">
        <v>5.9</v>
      </c>
      <c r="M41" s="655">
        <v>1260.098</v>
      </c>
    </row>
    <row r="42" spans="1:13">
      <c r="A42" s="650" t="s">
        <v>433</v>
      </c>
      <c r="B42" s="651" t="s">
        <v>383</v>
      </c>
      <c r="C42" s="652">
        <v>46201</v>
      </c>
      <c r="D42" s="653">
        <v>0</v>
      </c>
      <c r="E42" s="654"/>
      <c r="F42" s="654"/>
      <c r="G42" s="654"/>
      <c r="H42" s="651" t="s">
        <v>394</v>
      </c>
      <c r="I42" s="654">
        <v>0</v>
      </c>
      <c r="J42" s="654">
        <v>117</v>
      </c>
      <c r="K42" s="654">
        <v>12</v>
      </c>
      <c r="L42" s="654">
        <v>5.9</v>
      </c>
      <c r="M42" s="655">
        <v>2820.098</v>
      </c>
    </row>
    <row r="43" spans="1:13" ht="25.5">
      <c r="A43" s="650" t="s">
        <v>434</v>
      </c>
      <c r="B43" s="651" t="s">
        <v>383</v>
      </c>
      <c r="C43" s="652">
        <v>40451</v>
      </c>
      <c r="D43" s="653">
        <v>0.86458333333333337</v>
      </c>
      <c r="E43" s="654"/>
      <c r="F43" s="654"/>
      <c r="G43" s="654"/>
      <c r="H43" s="651" t="s">
        <v>435</v>
      </c>
      <c r="I43" s="654">
        <v>0</v>
      </c>
      <c r="J43" s="654">
        <v>5866</v>
      </c>
      <c r="K43" s="654">
        <v>15</v>
      </c>
      <c r="L43" s="654">
        <v>20.9</v>
      </c>
      <c r="M43" s="655">
        <v>140799.348</v>
      </c>
    </row>
    <row r="44" spans="1:13">
      <c r="A44" s="650" t="s">
        <v>436</v>
      </c>
      <c r="B44" s="651" t="s">
        <v>383</v>
      </c>
      <c r="C44" s="652">
        <v>44379</v>
      </c>
      <c r="D44" s="653">
        <v>0.95902777777777781</v>
      </c>
      <c r="E44" s="654"/>
      <c r="F44" s="654"/>
      <c r="G44" s="654"/>
      <c r="H44" s="651" t="s">
        <v>437</v>
      </c>
      <c r="I44" s="654">
        <v>0</v>
      </c>
      <c r="J44" s="654">
        <v>1938</v>
      </c>
      <c r="K44" s="654">
        <v>13</v>
      </c>
      <c r="L44" s="654">
        <v>4.9000000000000004</v>
      </c>
      <c r="M44" s="655">
        <v>46525.080999999998</v>
      </c>
    </row>
    <row r="45" spans="1:13">
      <c r="A45" s="650" t="s">
        <v>438</v>
      </c>
      <c r="B45" s="651" t="s">
        <v>439</v>
      </c>
      <c r="C45" s="652">
        <v>46318</v>
      </c>
      <c r="D45" s="653">
        <v>0.29166666666666669</v>
      </c>
      <c r="E45" s="654"/>
      <c r="F45" s="654"/>
      <c r="G45" s="654">
        <v>2.367</v>
      </c>
      <c r="H45" s="651" t="s">
        <v>440</v>
      </c>
      <c r="I45" s="654">
        <v>0</v>
      </c>
      <c r="J45" s="654">
        <v>0</v>
      </c>
      <c r="K45" s="654">
        <v>5</v>
      </c>
      <c r="L45" s="654">
        <v>5.9</v>
      </c>
      <c r="M45" s="655">
        <v>5.0979999999999999</v>
      </c>
    </row>
    <row r="46" spans="1:13">
      <c r="A46" s="650" t="s">
        <v>438</v>
      </c>
      <c r="B46" s="651" t="s">
        <v>439</v>
      </c>
      <c r="C46" s="652">
        <v>46317</v>
      </c>
      <c r="D46" s="653">
        <v>0.625</v>
      </c>
      <c r="E46" s="656">
        <v>46318</v>
      </c>
      <c r="F46" s="653">
        <v>4.0972222222222222E-2</v>
      </c>
      <c r="G46" s="654">
        <v>1.7749999999999999</v>
      </c>
      <c r="H46" s="651" t="s">
        <v>440</v>
      </c>
      <c r="I46" s="654">
        <v>0</v>
      </c>
      <c r="J46" s="654">
        <v>0</v>
      </c>
      <c r="K46" s="654">
        <v>9</v>
      </c>
      <c r="L46" s="654">
        <v>59</v>
      </c>
      <c r="M46" s="655">
        <v>9.9830000000000005</v>
      </c>
    </row>
    <row r="47" spans="1:13">
      <c r="A47" s="650" t="s">
        <v>438</v>
      </c>
      <c r="B47" s="651" t="s">
        <v>439</v>
      </c>
      <c r="C47" s="652">
        <v>46317</v>
      </c>
      <c r="D47" s="653">
        <v>0.58333333333333337</v>
      </c>
      <c r="E47" s="656">
        <v>46317</v>
      </c>
      <c r="F47" s="653">
        <v>0.62430555555555556</v>
      </c>
      <c r="G47" s="654">
        <v>1.7929999999999999</v>
      </c>
      <c r="H47" s="651" t="s">
        <v>440</v>
      </c>
      <c r="I47" s="654">
        <v>0</v>
      </c>
      <c r="J47" s="654">
        <v>0</v>
      </c>
      <c r="K47" s="654">
        <v>0</v>
      </c>
      <c r="L47" s="654">
        <v>59</v>
      </c>
      <c r="M47" s="655">
        <v>0.98299999999999998</v>
      </c>
    </row>
    <row r="48" spans="1:13">
      <c r="A48" s="650" t="s">
        <v>438</v>
      </c>
      <c r="B48" s="651" t="s">
        <v>439</v>
      </c>
      <c r="C48" s="652">
        <v>46317</v>
      </c>
      <c r="D48" s="653">
        <v>0.54166666666666663</v>
      </c>
      <c r="E48" s="656">
        <v>46317</v>
      </c>
      <c r="F48" s="653">
        <v>0.58263888888888893</v>
      </c>
      <c r="G48" s="654">
        <v>1.972</v>
      </c>
      <c r="H48" s="651" t="s">
        <v>440</v>
      </c>
      <c r="I48" s="654">
        <v>0</v>
      </c>
      <c r="J48" s="654">
        <v>0</v>
      </c>
      <c r="K48" s="654">
        <v>0</v>
      </c>
      <c r="L48" s="654">
        <v>59</v>
      </c>
      <c r="M48" s="655">
        <v>0.98299999999999998</v>
      </c>
    </row>
    <row r="49" spans="1:13">
      <c r="A49" s="650" t="s">
        <v>438</v>
      </c>
      <c r="B49" s="651" t="s">
        <v>439</v>
      </c>
      <c r="C49" s="652">
        <v>46317</v>
      </c>
      <c r="D49" s="653">
        <v>0.5</v>
      </c>
      <c r="E49" s="656">
        <v>46317</v>
      </c>
      <c r="F49" s="653">
        <v>0.54097222222222219</v>
      </c>
      <c r="G49" s="654">
        <v>2.036</v>
      </c>
      <c r="H49" s="651" t="s">
        <v>440</v>
      </c>
      <c r="I49" s="654">
        <v>0</v>
      </c>
      <c r="J49" s="654">
        <v>0</v>
      </c>
      <c r="K49" s="654">
        <v>0</v>
      </c>
      <c r="L49" s="654">
        <v>59</v>
      </c>
      <c r="M49" s="655">
        <v>0.98299999999999998</v>
      </c>
    </row>
    <row r="50" spans="1:13">
      <c r="A50" s="650" t="s">
        <v>438</v>
      </c>
      <c r="B50" s="651" t="s">
        <v>439</v>
      </c>
      <c r="C50" s="652">
        <v>46317</v>
      </c>
      <c r="D50" s="653">
        <v>0.29166666666666669</v>
      </c>
      <c r="E50" s="656">
        <v>46317</v>
      </c>
      <c r="F50" s="653">
        <v>0.49930555555555556</v>
      </c>
      <c r="G50" s="654">
        <v>2.367</v>
      </c>
      <c r="H50" s="651" t="s">
        <v>440</v>
      </c>
      <c r="I50" s="654">
        <v>0</v>
      </c>
      <c r="J50" s="654">
        <v>0</v>
      </c>
      <c r="K50" s="654">
        <v>4</v>
      </c>
      <c r="L50" s="654">
        <v>59</v>
      </c>
      <c r="M50" s="655">
        <v>4.9829999999999997</v>
      </c>
    </row>
    <row r="51" spans="1:13">
      <c r="A51" s="650" t="s">
        <v>438</v>
      </c>
      <c r="B51" s="651" t="s">
        <v>439</v>
      </c>
      <c r="C51" s="652">
        <v>46317</v>
      </c>
      <c r="D51" s="653">
        <v>0.25</v>
      </c>
      <c r="E51" s="656">
        <v>46317</v>
      </c>
      <c r="F51" s="653">
        <v>0.29097222222222224</v>
      </c>
      <c r="G51" s="654">
        <v>2.0939999999999999</v>
      </c>
      <c r="H51" s="651" t="s">
        <v>440</v>
      </c>
      <c r="I51" s="654">
        <v>0</v>
      </c>
      <c r="J51" s="654">
        <v>0</v>
      </c>
      <c r="K51" s="654">
        <v>0</v>
      </c>
      <c r="L51" s="654">
        <v>59</v>
      </c>
      <c r="M51" s="655">
        <v>0.98299999999999998</v>
      </c>
    </row>
    <row r="52" spans="1:13">
      <c r="A52" s="650" t="s">
        <v>438</v>
      </c>
      <c r="B52" s="651" t="s">
        <v>439</v>
      </c>
      <c r="C52" s="652">
        <v>46317</v>
      </c>
      <c r="D52" s="653">
        <v>0.20833333333333334</v>
      </c>
      <c r="E52" s="656">
        <v>46317</v>
      </c>
      <c r="F52" s="653">
        <v>0.24930555555555556</v>
      </c>
      <c r="G52" s="654">
        <v>1.7749999999999999</v>
      </c>
      <c r="H52" s="651" t="s">
        <v>440</v>
      </c>
      <c r="I52" s="654">
        <v>0</v>
      </c>
      <c r="J52" s="654">
        <v>0</v>
      </c>
      <c r="K52" s="654">
        <v>0</v>
      </c>
      <c r="L52" s="654">
        <v>59</v>
      </c>
      <c r="M52" s="655">
        <v>0.98299999999999998</v>
      </c>
    </row>
    <row r="53" spans="1:13">
      <c r="A53" s="650" t="s">
        <v>438</v>
      </c>
      <c r="B53" s="651" t="s">
        <v>439</v>
      </c>
      <c r="C53" s="652">
        <v>46317</v>
      </c>
      <c r="D53" s="653">
        <v>0.16666666666666666</v>
      </c>
      <c r="E53" s="656">
        <v>46317</v>
      </c>
      <c r="F53" s="653">
        <v>0.2076388888888889</v>
      </c>
      <c r="G53" s="654">
        <v>2.137</v>
      </c>
      <c r="H53" s="651" t="s">
        <v>440</v>
      </c>
      <c r="I53" s="654">
        <v>0</v>
      </c>
      <c r="J53" s="654">
        <v>0</v>
      </c>
      <c r="K53" s="654">
        <v>0</v>
      </c>
      <c r="L53" s="654">
        <v>59</v>
      </c>
      <c r="M53" s="655">
        <v>0.98299999999999998</v>
      </c>
    </row>
    <row r="54" spans="1:13">
      <c r="A54" s="650" t="s">
        <v>438</v>
      </c>
      <c r="B54" s="651" t="s">
        <v>439</v>
      </c>
      <c r="C54" s="652">
        <v>46317</v>
      </c>
      <c r="D54" s="653">
        <v>0.125</v>
      </c>
      <c r="E54" s="656">
        <v>46317</v>
      </c>
      <c r="F54" s="653">
        <v>0.16597222222222222</v>
      </c>
      <c r="G54" s="654">
        <v>2.1520000000000001</v>
      </c>
      <c r="H54" s="651" t="s">
        <v>440</v>
      </c>
      <c r="I54" s="654">
        <v>0</v>
      </c>
      <c r="J54" s="654">
        <v>0</v>
      </c>
      <c r="K54" s="654">
        <v>0</v>
      </c>
      <c r="L54" s="654">
        <v>59</v>
      </c>
      <c r="M54" s="655">
        <v>0.98299999999999998</v>
      </c>
    </row>
    <row r="55" spans="1:13">
      <c r="A55" s="650" t="s">
        <v>438</v>
      </c>
      <c r="B55" s="651" t="s">
        <v>439</v>
      </c>
      <c r="C55" s="652">
        <v>46317</v>
      </c>
      <c r="D55" s="653">
        <v>8.3333333333333329E-2</v>
      </c>
      <c r="E55" s="656">
        <v>46317</v>
      </c>
      <c r="F55" s="653">
        <v>0.12430555555555556</v>
      </c>
      <c r="G55" s="654">
        <v>1.972</v>
      </c>
      <c r="H55" s="651" t="s">
        <v>440</v>
      </c>
      <c r="I55" s="654">
        <v>0</v>
      </c>
      <c r="J55" s="654">
        <v>0</v>
      </c>
      <c r="K55" s="654">
        <v>0</v>
      </c>
      <c r="L55" s="654">
        <v>59</v>
      </c>
      <c r="M55" s="655">
        <v>0.98299999999999998</v>
      </c>
    </row>
    <row r="56" spans="1:13">
      <c r="A56" s="650" t="s">
        <v>438</v>
      </c>
      <c r="B56" s="651" t="s">
        <v>439</v>
      </c>
      <c r="C56" s="652">
        <v>46316</v>
      </c>
      <c r="D56" s="653">
        <v>0.5</v>
      </c>
      <c r="E56" s="656">
        <v>46317</v>
      </c>
      <c r="F56" s="653">
        <v>8.2638888888888887E-2</v>
      </c>
      <c r="G56" s="654">
        <v>1.7749999999999999</v>
      </c>
      <c r="H56" s="651" t="s">
        <v>440</v>
      </c>
      <c r="I56" s="654">
        <v>0</v>
      </c>
      <c r="J56" s="654">
        <v>0</v>
      </c>
      <c r="K56" s="654">
        <v>13</v>
      </c>
      <c r="L56" s="654">
        <v>59</v>
      </c>
      <c r="M56" s="655">
        <v>13.983000000000001</v>
      </c>
    </row>
    <row r="57" spans="1:13">
      <c r="A57" s="650" t="s">
        <v>441</v>
      </c>
      <c r="B57" s="651" t="s">
        <v>439</v>
      </c>
      <c r="C57" s="652">
        <v>46318</v>
      </c>
      <c r="D57" s="653">
        <v>0.29166666666666669</v>
      </c>
      <c r="E57" s="654"/>
      <c r="F57" s="654"/>
      <c r="G57" s="654">
        <v>2.367</v>
      </c>
      <c r="H57" s="651" t="s">
        <v>440</v>
      </c>
      <c r="I57" s="654">
        <v>0</v>
      </c>
      <c r="J57" s="654">
        <v>0</v>
      </c>
      <c r="K57" s="654">
        <v>5</v>
      </c>
      <c r="L57" s="654">
        <v>5.9</v>
      </c>
      <c r="M57" s="655">
        <v>5.0979999999999999</v>
      </c>
    </row>
    <row r="58" spans="1:13">
      <c r="A58" s="650" t="s">
        <v>441</v>
      </c>
      <c r="B58" s="651" t="s">
        <v>439</v>
      </c>
      <c r="C58" s="652">
        <v>46317</v>
      </c>
      <c r="D58" s="653">
        <v>0.625</v>
      </c>
      <c r="E58" s="656">
        <v>46318</v>
      </c>
      <c r="F58" s="653">
        <v>4.0972222222222222E-2</v>
      </c>
      <c r="G58" s="654">
        <v>1.7749999999999999</v>
      </c>
      <c r="H58" s="651" t="s">
        <v>440</v>
      </c>
      <c r="I58" s="654">
        <v>0</v>
      </c>
      <c r="J58" s="654">
        <v>0</v>
      </c>
      <c r="K58" s="654">
        <v>9</v>
      </c>
      <c r="L58" s="654">
        <v>59</v>
      </c>
      <c r="M58" s="655">
        <v>9.9830000000000005</v>
      </c>
    </row>
    <row r="59" spans="1:13">
      <c r="A59" s="650" t="s">
        <v>441</v>
      </c>
      <c r="B59" s="651" t="s">
        <v>439</v>
      </c>
      <c r="C59" s="652">
        <v>46317</v>
      </c>
      <c r="D59" s="653">
        <v>0.58333333333333337</v>
      </c>
      <c r="E59" s="656">
        <v>46317</v>
      </c>
      <c r="F59" s="653">
        <v>0.62430555555555556</v>
      </c>
      <c r="G59" s="654">
        <v>1.7929999999999999</v>
      </c>
      <c r="H59" s="651" t="s">
        <v>440</v>
      </c>
      <c r="I59" s="654">
        <v>0</v>
      </c>
      <c r="J59" s="654">
        <v>0</v>
      </c>
      <c r="K59" s="654">
        <v>0</v>
      </c>
      <c r="L59" s="654">
        <v>59</v>
      </c>
      <c r="M59" s="655">
        <v>0.98299999999999998</v>
      </c>
    </row>
    <row r="60" spans="1:13">
      <c r="A60" s="650" t="s">
        <v>441</v>
      </c>
      <c r="B60" s="651" t="s">
        <v>439</v>
      </c>
      <c r="C60" s="652">
        <v>46317</v>
      </c>
      <c r="D60" s="653">
        <v>0.54166666666666663</v>
      </c>
      <c r="E60" s="656">
        <v>46317</v>
      </c>
      <c r="F60" s="653">
        <v>0.58263888888888893</v>
      </c>
      <c r="G60" s="654">
        <v>1.972</v>
      </c>
      <c r="H60" s="651" t="s">
        <v>440</v>
      </c>
      <c r="I60" s="654">
        <v>0</v>
      </c>
      <c r="J60" s="654">
        <v>0</v>
      </c>
      <c r="K60" s="654">
        <v>0</v>
      </c>
      <c r="L60" s="654">
        <v>59</v>
      </c>
      <c r="M60" s="655">
        <v>0.98299999999999998</v>
      </c>
    </row>
    <row r="61" spans="1:13">
      <c r="A61" s="650" t="s">
        <v>441</v>
      </c>
      <c r="B61" s="651" t="s">
        <v>439</v>
      </c>
      <c r="C61" s="652">
        <v>46317</v>
      </c>
      <c r="D61" s="653">
        <v>0.5</v>
      </c>
      <c r="E61" s="656">
        <v>46317</v>
      </c>
      <c r="F61" s="653">
        <v>0.54097222222222219</v>
      </c>
      <c r="G61" s="654">
        <v>2.036</v>
      </c>
      <c r="H61" s="651" t="s">
        <v>440</v>
      </c>
      <c r="I61" s="654">
        <v>0</v>
      </c>
      <c r="J61" s="654">
        <v>0</v>
      </c>
      <c r="K61" s="654">
        <v>0</v>
      </c>
      <c r="L61" s="654">
        <v>59</v>
      </c>
      <c r="M61" s="655">
        <v>0.98299999999999998</v>
      </c>
    </row>
    <row r="62" spans="1:13">
      <c r="A62" s="650" t="s">
        <v>441</v>
      </c>
      <c r="B62" s="651" t="s">
        <v>439</v>
      </c>
      <c r="C62" s="652">
        <v>46317</v>
      </c>
      <c r="D62" s="653">
        <v>0.29166666666666669</v>
      </c>
      <c r="E62" s="656">
        <v>46317</v>
      </c>
      <c r="F62" s="653">
        <v>0.49930555555555556</v>
      </c>
      <c r="G62" s="654">
        <v>2.367</v>
      </c>
      <c r="H62" s="651" t="s">
        <v>440</v>
      </c>
      <c r="I62" s="654">
        <v>0</v>
      </c>
      <c r="J62" s="654">
        <v>0</v>
      </c>
      <c r="K62" s="654">
        <v>4</v>
      </c>
      <c r="L62" s="654">
        <v>59</v>
      </c>
      <c r="M62" s="655">
        <v>4.9829999999999997</v>
      </c>
    </row>
    <row r="63" spans="1:13">
      <c r="A63" s="650" t="s">
        <v>441</v>
      </c>
      <c r="B63" s="651" t="s">
        <v>439</v>
      </c>
      <c r="C63" s="652">
        <v>46317</v>
      </c>
      <c r="D63" s="653">
        <v>0.25</v>
      </c>
      <c r="E63" s="656">
        <v>46317</v>
      </c>
      <c r="F63" s="653">
        <v>0.29097222222222224</v>
      </c>
      <c r="G63" s="654">
        <v>2.0939999999999999</v>
      </c>
      <c r="H63" s="651" t="s">
        <v>440</v>
      </c>
      <c r="I63" s="654">
        <v>0</v>
      </c>
      <c r="J63" s="654">
        <v>0</v>
      </c>
      <c r="K63" s="654">
        <v>0</v>
      </c>
      <c r="L63" s="654">
        <v>59</v>
      </c>
      <c r="M63" s="655">
        <v>0.98299999999999998</v>
      </c>
    </row>
    <row r="64" spans="1:13">
      <c r="A64" s="650" t="s">
        <v>441</v>
      </c>
      <c r="B64" s="651" t="s">
        <v>439</v>
      </c>
      <c r="C64" s="652">
        <v>46317</v>
      </c>
      <c r="D64" s="653">
        <v>0.20833333333333334</v>
      </c>
      <c r="E64" s="656">
        <v>46317</v>
      </c>
      <c r="F64" s="653">
        <v>0.24930555555555556</v>
      </c>
      <c r="G64" s="654">
        <v>1.7749999999999999</v>
      </c>
      <c r="H64" s="651" t="s">
        <v>440</v>
      </c>
      <c r="I64" s="654">
        <v>0</v>
      </c>
      <c r="J64" s="654">
        <v>0</v>
      </c>
      <c r="K64" s="654">
        <v>0</v>
      </c>
      <c r="L64" s="654">
        <v>59</v>
      </c>
      <c r="M64" s="655">
        <v>0.98299999999999998</v>
      </c>
    </row>
    <row r="65" spans="1:13">
      <c r="A65" s="650" t="s">
        <v>441</v>
      </c>
      <c r="B65" s="651" t="s">
        <v>439</v>
      </c>
      <c r="C65" s="652">
        <v>46317</v>
      </c>
      <c r="D65" s="653">
        <v>0.16666666666666666</v>
      </c>
      <c r="E65" s="656">
        <v>46317</v>
      </c>
      <c r="F65" s="653">
        <v>0.2076388888888889</v>
      </c>
      <c r="G65" s="654">
        <v>2.137</v>
      </c>
      <c r="H65" s="651" t="s">
        <v>440</v>
      </c>
      <c r="I65" s="654">
        <v>0</v>
      </c>
      <c r="J65" s="654">
        <v>0</v>
      </c>
      <c r="K65" s="654">
        <v>0</v>
      </c>
      <c r="L65" s="654">
        <v>59</v>
      </c>
      <c r="M65" s="655">
        <v>0.98299999999999998</v>
      </c>
    </row>
    <row r="66" spans="1:13">
      <c r="A66" s="650" t="s">
        <v>441</v>
      </c>
      <c r="B66" s="651" t="s">
        <v>439</v>
      </c>
      <c r="C66" s="652">
        <v>46317</v>
      </c>
      <c r="D66" s="653">
        <v>0.125</v>
      </c>
      <c r="E66" s="656">
        <v>46317</v>
      </c>
      <c r="F66" s="653">
        <v>0.16597222222222222</v>
      </c>
      <c r="G66" s="654">
        <v>2.1520000000000001</v>
      </c>
      <c r="H66" s="651" t="s">
        <v>440</v>
      </c>
      <c r="I66" s="654">
        <v>0</v>
      </c>
      <c r="J66" s="654">
        <v>0</v>
      </c>
      <c r="K66" s="654">
        <v>0</v>
      </c>
      <c r="L66" s="654">
        <v>59</v>
      </c>
      <c r="M66" s="655">
        <v>0.98299999999999998</v>
      </c>
    </row>
    <row r="67" spans="1:13">
      <c r="A67" s="650" t="s">
        <v>441</v>
      </c>
      <c r="B67" s="651" t="s">
        <v>439</v>
      </c>
      <c r="C67" s="652">
        <v>46317</v>
      </c>
      <c r="D67" s="653">
        <v>8.3333333333333329E-2</v>
      </c>
      <c r="E67" s="656">
        <v>46317</v>
      </c>
      <c r="F67" s="653">
        <v>0.12430555555555556</v>
      </c>
      <c r="G67" s="654">
        <v>1.972</v>
      </c>
      <c r="H67" s="651" t="s">
        <v>440</v>
      </c>
      <c r="I67" s="654">
        <v>0</v>
      </c>
      <c r="J67" s="654">
        <v>0</v>
      </c>
      <c r="K67" s="654">
        <v>0</v>
      </c>
      <c r="L67" s="654">
        <v>59</v>
      </c>
      <c r="M67" s="655">
        <v>0.98299999999999998</v>
      </c>
    </row>
    <row r="68" spans="1:13">
      <c r="A68" s="650" t="s">
        <v>441</v>
      </c>
      <c r="B68" s="651" t="s">
        <v>439</v>
      </c>
      <c r="C68" s="652">
        <v>46316</v>
      </c>
      <c r="D68" s="653">
        <v>0.5</v>
      </c>
      <c r="E68" s="656">
        <v>46317</v>
      </c>
      <c r="F68" s="653">
        <v>8.2638888888888887E-2</v>
      </c>
      <c r="G68" s="654">
        <v>1.7749999999999999</v>
      </c>
      <c r="H68" s="651" t="s">
        <v>440</v>
      </c>
      <c r="I68" s="654">
        <v>0</v>
      </c>
      <c r="J68" s="654">
        <v>0</v>
      </c>
      <c r="K68" s="654">
        <v>13</v>
      </c>
      <c r="L68" s="654">
        <v>59</v>
      </c>
      <c r="M68" s="655">
        <v>13.983000000000001</v>
      </c>
    </row>
    <row r="69" spans="1:13">
      <c r="A69" s="650" t="s">
        <v>442</v>
      </c>
      <c r="B69" s="651" t="s">
        <v>383</v>
      </c>
      <c r="C69" s="652">
        <v>46201</v>
      </c>
      <c r="D69" s="653">
        <v>0</v>
      </c>
      <c r="E69" s="654"/>
      <c r="F69" s="654"/>
      <c r="G69" s="654"/>
      <c r="H69" s="651" t="s">
        <v>394</v>
      </c>
      <c r="I69" s="654">
        <v>0</v>
      </c>
      <c r="J69" s="654">
        <v>117</v>
      </c>
      <c r="K69" s="654">
        <v>12</v>
      </c>
      <c r="L69" s="654">
        <v>5.9</v>
      </c>
      <c r="M69" s="655">
        <v>2820.098</v>
      </c>
    </row>
    <row r="70" spans="1:13">
      <c r="A70" s="650" t="s">
        <v>443</v>
      </c>
      <c r="B70" s="651" t="s">
        <v>439</v>
      </c>
      <c r="C70" s="652">
        <v>46318</v>
      </c>
      <c r="D70" s="653">
        <v>0.29166666666666669</v>
      </c>
      <c r="E70" s="654"/>
      <c r="F70" s="654"/>
      <c r="G70" s="654">
        <v>1.972</v>
      </c>
      <c r="H70" s="651" t="s">
        <v>440</v>
      </c>
      <c r="I70" s="654">
        <v>0</v>
      </c>
      <c r="J70" s="654">
        <v>0</v>
      </c>
      <c r="K70" s="654">
        <v>5</v>
      </c>
      <c r="L70" s="654">
        <v>5.9</v>
      </c>
      <c r="M70" s="655">
        <v>5.0979999999999999</v>
      </c>
    </row>
    <row r="71" spans="1:13">
      <c r="A71" s="650" t="s">
        <v>443</v>
      </c>
      <c r="B71" s="651" t="s">
        <v>439</v>
      </c>
      <c r="C71" s="652">
        <v>46317</v>
      </c>
      <c r="D71" s="653">
        <v>0.625</v>
      </c>
      <c r="E71" s="656">
        <v>46318</v>
      </c>
      <c r="F71" s="653">
        <v>4.0972222222222222E-2</v>
      </c>
      <c r="G71" s="654">
        <v>1.4790000000000001</v>
      </c>
      <c r="H71" s="651" t="s">
        <v>440</v>
      </c>
      <c r="I71" s="654">
        <v>0</v>
      </c>
      <c r="J71" s="654">
        <v>0</v>
      </c>
      <c r="K71" s="654">
        <v>9</v>
      </c>
      <c r="L71" s="654">
        <v>59</v>
      </c>
      <c r="M71" s="655">
        <v>9.9830000000000005</v>
      </c>
    </row>
    <row r="72" spans="1:13">
      <c r="A72" s="650" t="s">
        <v>443</v>
      </c>
      <c r="B72" s="651" t="s">
        <v>439</v>
      </c>
      <c r="C72" s="652">
        <v>46317</v>
      </c>
      <c r="D72" s="653">
        <v>0.58333333333333337</v>
      </c>
      <c r="E72" s="656">
        <v>46317</v>
      </c>
      <c r="F72" s="653">
        <v>0.62430555555555556</v>
      </c>
      <c r="G72" s="654">
        <v>1.494</v>
      </c>
      <c r="H72" s="651" t="s">
        <v>440</v>
      </c>
      <c r="I72" s="654">
        <v>0</v>
      </c>
      <c r="J72" s="654">
        <v>0</v>
      </c>
      <c r="K72" s="654">
        <v>0</v>
      </c>
      <c r="L72" s="654">
        <v>59</v>
      </c>
      <c r="M72" s="655">
        <v>0.98299999999999998</v>
      </c>
    </row>
    <row r="73" spans="1:13">
      <c r="A73" s="650" t="s">
        <v>443</v>
      </c>
      <c r="B73" s="651" t="s">
        <v>439</v>
      </c>
      <c r="C73" s="652">
        <v>46317</v>
      </c>
      <c r="D73" s="653">
        <v>0.54166666666666663</v>
      </c>
      <c r="E73" s="656">
        <v>46317</v>
      </c>
      <c r="F73" s="653">
        <v>0.58263888888888893</v>
      </c>
      <c r="G73" s="654">
        <v>1.643</v>
      </c>
      <c r="H73" s="651" t="s">
        <v>440</v>
      </c>
      <c r="I73" s="654">
        <v>0</v>
      </c>
      <c r="J73" s="654">
        <v>0</v>
      </c>
      <c r="K73" s="654">
        <v>0</v>
      </c>
      <c r="L73" s="654">
        <v>59</v>
      </c>
      <c r="M73" s="655">
        <v>0.98299999999999998</v>
      </c>
    </row>
    <row r="74" spans="1:13">
      <c r="A74" s="650" t="s">
        <v>443</v>
      </c>
      <c r="B74" s="651" t="s">
        <v>439</v>
      </c>
      <c r="C74" s="652">
        <v>46317</v>
      </c>
      <c r="D74" s="653">
        <v>0.5</v>
      </c>
      <c r="E74" s="656">
        <v>46317</v>
      </c>
      <c r="F74" s="653">
        <v>0.54097222222222219</v>
      </c>
      <c r="G74" s="654">
        <v>1.6970000000000001</v>
      </c>
      <c r="H74" s="651" t="s">
        <v>440</v>
      </c>
      <c r="I74" s="654">
        <v>0</v>
      </c>
      <c r="J74" s="654">
        <v>0</v>
      </c>
      <c r="K74" s="654">
        <v>0</v>
      </c>
      <c r="L74" s="654">
        <v>59</v>
      </c>
      <c r="M74" s="655">
        <v>0.98299999999999998</v>
      </c>
    </row>
    <row r="75" spans="1:13">
      <c r="A75" s="650" t="s">
        <v>443</v>
      </c>
      <c r="B75" s="651" t="s">
        <v>439</v>
      </c>
      <c r="C75" s="652">
        <v>46317</v>
      </c>
      <c r="D75" s="653">
        <v>0.29166666666666669</v>
      </c>
      <c r="E75" s="656">
        <v>46317</v>
      </c>
      <c r="F75" s="653">
        <v>0.49930555555555556</v>
      </c>
      <c r="G75" s="654">
        <v>1.972</v>
      </c>
      <c r="H75" s="651" t="s">
        <v>440</v>
      </c>
      <c r="I75" s="654">
        <v>0</v>
      </c>
      <c r="J75" s="654">
        <v>0</v>
      </c>
      <c r="K75" s="654">
        <v>4</v>
      </c>
      <c r="L75" s="654">
        <v>59</v>
      </c>
      <c r="M75" s="655">
        <v>4.9829999999999997</v>
      </c>
    </row>
    <row r="76" spans="1:13">
      <c r="A76" s="650" t="s">
        <v>443</v>
      </c>
      <c r="B76" s="651" t="s">
        <v>439</v>
      </c>
      <c r="C76" s="652">
        <v>46317</v>
      </c>
      <c r="D76" s="653">
        <v>0.25</v>
      </c>
      <c r="E76" s="656">
        <v>46317</v>
      </c>
      <c r="F76" s="653">
        <v>0.29097222222222224</v>
      </c>
      <c r="G76" s="654">
        <v>1.744</v>
      </c>
      <c r="H76" s="651" t="s">
        <v>440</v>
      </c>
      <c r="I76" s="654">
        <v>0</v>
      </c>
      <c r="J76" s="654">
        <v>0</v>
      </c>
      <c r="K76" s="654">
        <v>0</v>
      </c>
      <c r="L76" s="654">
        <v>59</v>
      </c>
      <c r="M76" s="655">
        <v>0.98299999999999998</v>
      </c>
    </row>
    <row r="77" spans="1:13">
      <c r="A77" s="650" t="s">
        <v>443</v>
      </c>
      <c r="B77" s="651" t="s">
        <v>439</v>
      </c>
      <c r="C77" s="652">
        <v>46317</v>
      </c>
      <c r="D77" s="653">
        <v>0.20833333333333334</v>
      </c>
      <c r="E77" s="656">
        <v>46317</v>
      </c>
      <c r="F77" s="653">
        <v>0.24930555555555556</v>
      </c>
      <c r="G77" s="654">
        <v>1.4790000000000001</v>
      </c>
      <c r="H77" s="651" t="s">
        <v>440</v>
      </c>
      <c r="I77" s="654">
        <v>0</v>
      </c>
      <c r="J77" s="654">
        <v>0</v>
      </c>
      <c r="K77" s="654">
        <v>0</v>
      </c>
      <c r="L77" s="654">
        <v>59</v>
      </c>
      <c r="M77" s="655">
        <v>0.98299999999999998</v>
      </c>
    </row>
    <row r="78" spans="1:13">
      <c r="A78" s="650" t="s">
        <v>443</v>
      </c>
      <c r="B78" s="651" t="s">
        <v>439</v>
      </c>
      <c r="C78" s="652">
        <v>46317</v>
      </c>
      <c r="D78" s="653">
        <v>0.16666666666666666</v>
      </c>
      <c r="E78" s="656">
        <v>46317</v>
      </c>
      <c r="F78" s="653">
        <v>0.2076388888888889</v>
      </c>
      <c r="G78" s="654">
        <v>1.7809999999999999</v>
      </c>
      <c r="H78" s="651" t="s">
        <v>440</v>
      </c>
      <c r="I78" s="654">
        <v>0</v>
      </c>
      <c r="J78" s="654">
        <v>0</v>
      </c>
      <c r="K78" s="654">
        <v>0</v>
      </c>
      <c r="L78" s="654">
        <v>59</v>
      </c>
      <c r="M78" s="655">
        <v>0.98299999999999998</v>
      </c>
    </row>
    <row r="79" spans="1:13">
      <c r="A79" s="650" t="s">
        <v>443</v>
      </c>
      <c r="B79" s="651" t="s">
        <v>439</v>
      </c>
      <c r="C79" s="652">
        <v>46317</v>
      </c>
      <c r="D79" s="653">
        <v>0.125</v>
      </c>
      <c r="E79" s="656">
        <v>46317</v>
      </c>
      <c r="F79" s="653">
        <v>0.16597222222222222</v>
      </c>
      <c r="G79" s="654">
        <v>1.7929999999999999</v>
      </c>
      <c r="H79" s="651" t="s">
        <v>440</v>
      </c>
      <c r="I79" s="654">
        <v>0</v>
      </c>
      <c r="J79" s="654">
        <v>0</v>
      </c>
      <c r="K79" s="654">
        <v>0</v>
      </c>
      <c r="L79" s="654">
        <v>59</v>
      </c>
      <c r="M79" s="655">
        <v>0.98299999999999998</v>
      </c>
    </row>
    <row r="80" spans="1:13">
      <c r="A80" s="650" t="s">
        <v>443</v>
      </c>
      <c r="B80" s="651" t="s">
        <v>439</v>
      </c>
      <c r="C80" s="652">
        <v>46317</v>
      </c>
      <c r="D80" s="653">
        <v>8.3333333333333329E-2</v>
      </c>
      <c r="E80" s="656">
        <v>46317</v>
      </c>
      <c r="F80" s="653">
        <v>0.12430555555555556</v>
      </c>
      <c r="G80" s="654">
        <v>1.6439999999999999</v>
      </c>
      <c r="H80" s="651" t="s">
        <v>440</v>
      </c>
      <c r="I80" s="654">
        <v>0</v>
      </c>
      <c r="J80" s="654">
        <v>0</v>
      </c>
      <c r="K80" s="654">
        <v>0</v>
      </c>
      <c r="L80" s="654">
        <v>59</v>
      </c>
      <c r="M80" s="655">
        <v>0.98299999999999998</v>
      </c>
    </row>
    <row r="81" spans="1:13">
      <c r="A81" s="650" t="s">
        <v>443</v>
      </c>
      <c r="B81" s="651" t="s">
        <v>439</v>
      </c>
      <c r="C81" s="652">
        <v>46316</v>
      </c>
      <c r="D81" s="653">
        <v>0.5</v>
      </c>
      <c r="E81" s="656">
        <v>46317</v>
      </c>
      <c r="F81" s="653">
        <v>8.2638888888888887E-2</v>
      </c>
      <c r="G81" s="654">
        <v>1.4790000000000001</v>
      </c>
      <c r="H81" s="651" t="s">
        <v>440</v>
      </c>
      <c r="I81" s="654">
        <v>0</v>
      </c>
      <c r="J81" s="654">
        <v>0</v>
      </c>
      <c r="K81" s="654">
        <v>13</v>
      </c>
      <c r="L81" s="654">
        <v>59</v>
      </c>
      <c r="M81" s="655">
        <v>13.983000000000001</v>
      </c>
    </row>
    <row r="82" spans="1:13">
      <c r="A82" s="650" t="s">
        <v>444</v>
      </c>
      <c r="B82" s="651" t="s">
        <v>383</v>
      </c>
      <c r="C82" s="652">
        <v>46317</v>
      </c>
      <c r="D82" s="653">
        <v>0.74861111111111112</v>
      </c>
      <c r="E82" s="656">
        <v>46317</v>
      </c>
      <c r="F82" s="653">
        <v>0.91249999999999998</v>
      </c>
      <c r="G82" s="654"/>
      <c r="H82" s="651" t="s">
        <v>445</v>
      </c>
      <c r="I82" s="654">
        <v>0</v>
      </c>
      <c r="J82" s="654">
        <v>0</v>
      </c>
      <c r="K82" s="654">
        <v>3</v>
      </c>
      <c r="L82" s="654">
        <v>56</v>
      </c>
      <c r="M82" s="655">
        <v>3.9329999999999998</v>
      </c>
    </row>
    <row r="83" spans="1:13">
      <c r="A83" s="650" t="s">
        <v>446</v>
      </c>
      <c r="B83" s="651" t="s">
        <v>383</v>
      </c>
      <c r="C83" s="652">
        <v>46317</v>
      </c>
      <c r="D83" s="653">
        <v>0.74861111111111112</v>
      </c>
      <c r="E83" s="656">
        <v>46317</v>
      </c>
      <c r="F83" s="653">
        <v>0.91666666666666663</v>
      </c>
      <c r="G83" s="654"/>
      <c r="H83" s="651" t="s">
        <v>445</v>
      </c>
      <c r="I83" s="654">
        <v>0</v>
      </c>
      <c r="J83" s="654">
        <v>0</v>
      </c>
      <c r="K83" s="654">
        <v>4</v>
      </c>
      <c r="L83" s="654">
        <v>2</v>
      </c>
      <c r="M83" s="655">
        <v>4.0330000000000004</v>
      </c>
    </row>
    <row r="84" spans="1:13">
      <c r="A84" s="650" t="s">
        <v>202</v>
      </c>
      <c r="B84" s="651" t="s">
        <v>383</v>
      </c>
      <c r="C84" s="652">
        <v>41362</v>
      </c>
      <c r="D84" s="653">
        <v>0.11944444444444445</v>
      </c>
      <c r="E84" s="654"/>
      <c r="F84" s="654"/>
      <c r="G84" s="654"/>
      <c r="H84" s="651"/>
      <c r="I84" s="654">
        <v>0</v>
      </c>
      <c r="J84" s="654">
        <v>4956</v>
      </c>
      <c r="K84" s="654">
        <v>9</v>
      </c>
      <c r="L84" s="654">
        <v>13.9</v>
      </c>
      <c r="M84" s="655">
        <v>118953.231</v>
      </c>
    </row>
    <row r="85" spans="1:13">
      <c r="A85" s="650" t="s">
        <v>203</v>
      </c>
      <c r="B85" s="651" t="s">
        <v>383</v>
      </c>
      <c r="C85" s="652">
        <v>41372</v>
      </c>
      <c r="D85" s="653">
        <v>0.37777777777777777</v>
      </c>
      <c r="E85" s="654"/>
      <c r="F85" s="654"/>
      <c r="G85" s="654"/>
      <c r="H85" s="651" t="s">
        <v>447</v>
      </c>
      <c r="I85" s="654">
        <v>0</v>
      </c>
      <c r="J85" s="654">
        <v>4946</v>
      </c>
      <c r="K85" s="654">
        <v>3</v>
      </c>
      <c r="L85" s="654">
        <v>1.9</v>
      </c>
      <c r="M85" s="655">
        <v>118707.031</v>
      </c>
    </row>
    <row r="86" spans="1:13">
      <c r="A86" s="650" t="s">
        <v>204</v>
      </c>
      <c r="B86" s="651" t="s">
        <v>383</v>
      </c>
      <c r="C86" s="652">
        <v>46098</v>
      </c>
      <c r="D86" s="653">
        <v>0.05</v>
      </c>
      <c r="E86" s="654"/>
      <c r="F86" s="654"/>
      <c r="G86" s="654"/>
      <c r="H86" s="651" t="s">
        <v>448</v>
      </c>
      <c r="I86" s="654">
        <v>0</v>
      </c>
      <c r="J86" s="654">
        <v>220</v>
      </c>
      <c r="K86" s="654">
        <v>10</v>
      </c>
      <c r="L86" s="654">
        <v>53.9</v>
      </c>
      <c r="M86" s="655">
        <v>5290.8980000000001</v>
      </c>
    </row>
    <row r="87" spans="1:13">
      <c r="A87" s="650" t="s">
        <v>449</v>
      </c>
      <c r="B87" s="651" t="s">
        <v>383</v>
      </c>
      <c r="C87" s="652">
        <v>46161</v>
      </c>
      <c r="D87" s="653">
        <v>0.66666666666666663</v>
      </c>
      <c r="E87" s="654"/>
      <c r="F87" s="654"/>
      <c r="G87" s="654"/>
      <c r="H87" s="651" t="s">
        <v>394</v>
      </c>
      <c r="I87" s="654">
        <v>0</v>
      </c>
      <c r="J87" s="654">
        <v>156</v>
      </c>
      <c r="K87" s="654">
        <v>20</v>
      </c>
      <c r="L87" s="654">
        <v>5.9</v>
      </c>
      <c r="M87" s="655">
        <v>3764.098</v>
      </c>
    </row>
    <row r="88" spans="1:13">
      <c r="A88" s="650" t="s">
        <v>450</v>
      </c>
      <c r="B88" s="651" t="s">
        <v>383</v>
      </c>
      <c r="C88" s="652">
        <v>46161</v>
      </c>
      <c r="D88" s="653">
        <v>0.66666666666666663</v>
      </c>
      <c r="E88" s="654"/>
      <c r="F88" s="654"/>
      <c r="G88" s="654"/>
      <c r="H88" s="651" t="s">
        <v>394</v>
      </c>
      <c r="I88" s="654">
        <v>0</v>
      </c>
      <c r="J88" s="654">
        <v>156</v>
      </c>
      <c r="K88" s="654">
        <v>20</v>
      </c>
      <c r="L88" s="654">
        <v>5.9</v>
      </c>
      <c r="M88" s="655">
        <v>3764.098</v>
      </c>
    </row>
    <row r="89" spans="1:13">
      <c r="A89" s="650" t="s">
        <v>218</v>
      </c>
      <c r="B89" s="651" t="s">
        <v>383</v>
      </c>
      <c r="C89" s="652">
        <v>40577</v>
      </c>
      <c r="D89" s="653">
        <v>0.32569444444444445</v>
      </c>
      <c r="E89" s="654"/>
      <c r="F89" s="654"/>
      <c r="G89" s="654"/>
      <c r="H89" s="651" t="s">
        <v>451</v>
      </c>
      <c r="I89" s="654">
        <v>0</v>
      </c>
      <c r="J89" s="654">
        <v>5741</v>
      </c>
      <c r="K89" s="654">
        <v>4</v>
      </c>
      <c r="L89" s="654">
        <v>16.899999999999999</v>
      </c>
      <c r="M89" s="655">
        <v>137788.28099999999</v>
      </c>
    </row>
    <row r="90" spans="1:13" ht="114.75">
      <c r="A90" s="650" t="s">
        <v>219</v>
      </c>
      <c r="B90" s="651" t="s">
        <v>383</v>
      </c>
      <c r="C90" s="652">
        <v>46163</v>
      </c>
      <c r="D90" s="653">
        <v>0.50972222222222219</v>
      </c>
      <c r="E90" s="654"/>
      <c r="F90" s="654"/>
      <c r="G90" s="654"/>
      <c r="H90" s="651" t="s">
        <v>452</v>
      </c>
      <c r="I90" s="654">
        <v>0</v>
      </c>
      <c r="J90" s="654">
        <v>154</v>
      </c>
      <c r="K90" s="654">
        <v>23</v>
      </c>
      <c r="L90" s="654">
        <v>51.9</v>
      </c>
      <c r="M90" s="655">
        <v>3719.8649999999998</v>
      </c>
    </row>
    <row r="91" spans="1:13" ht="25.5">
      <c r="A91" s="650" t="s">
        <v>453</v>
      </c>
      <c r="B91" s="651" t="s">
        <v>383</v>
      </c>
      <c r="C91" s="652">
        <v>38353</v>
      </c>
      <c r="D91" s="653">
        <v>0</v>
      </c>
      <c r="E91" s="654"/>
      <c r="F91" s="654"/>
      <c r="G91" s="654"/>
      <c r="H91" s="651" t="s">
        <v>454</v>
      </c>
      <c r="I91" s="654">
        <v>0</v>
      </c>
      <c r="J91" s="654">
        <v>7965</v>
      </c>
      <c r="K91" s="654">
        <v>12</v>
      </c>
      <c r="L91" s="654">
        <v>5.9</v>
      </c>
      <c r="M91" s="655">
        <v>191172.098</v>
      </c>
    </row>
    <row r="92" spans="1:13">
      <c r="A92" s="650" t="s">
        <v>455</v>
      </c>
      <c r="B92" s="651" t="s">
        <v>383</v>
      </c>
      <c r="C92" s="652">
        <v>44790</v>
      </c>
      <c r="D92" s="653">
        <v>0.56319444444444444</v>
      </c>
      <c r="E92" s="654"/>
      <c r="F92" s="654"/>
      <c r="G92" s="654"/>
      <c r="H92" s="651" t="s">
        <v>456</v>
      </c>
      <c r="I92" s="654">
        <v>0</v>
      </c>
      <c r="J92" s="654">
        <v>1527</v>
      </c>
      <c r="K92" s="654">
        <v>22</v>
      </c>
      <c r="L92" s="654">
        <v>34.9</v>
      </c>
      <c r="M92" s="655">
        <v>36670.580999999998</v>
      </c>
    </row>
    <row r="93" spans="1:13">
      <c r="A93" s="650" t="s">
        <v>457</v>
      </c>
      <c r="B93" s="651" t="s">
        <v>383</v>
      </c>
      <c r="C93" s="652">
        <v>45371</v>
      </c>
      <c r="D93" s="653">
        <v>0.11736111111111111</v>
      </c>
      <c r="E93" s="654"/>
      <c r="F93" s="654"/>
      <c r="G93" s="654"/>
      <c r="H93" s="651" t="s">
        <v>458</v>
      </c>
      <c r="I93" s="654">
        <v>0</v>
      </c>
      <c r="J93" s="654">
        <v>947</v>
      </c>
      <c r="K93" s="654">
        <v>9</v>
      </c>
      <c r="L93" s="654">
        <v>16.899999999999999</v>
      </c>
      <c r="M93" s="655">
        <v>22737.280999999999</v>
      </c>
    </row>
    <row r="94" spans="1:13">
      <c r="A94" s="650" t="s">
        <v>459</v>
      </c>
      <c r="B94" s="651" t="s">
        <v>383</v>
      </c>
      <c r="C94" s="652">
        <v>46318</v>
      </c>
      <c r="D94" s="653">
        <v>0.35625000000000001</v>
      </c>
      <c r="E94" s="654"/>
      <c r="F94" s="654"/>
      <c r="G94" s="654"/>
      <c r="H94" s="651" t="s">
        <v>460</v>
      </c>
      <c r="I94" s="654">
        <v>0</v>
      </c>
      <c r="J94" s="654">
        <v>0</v>
      </c>
      <c r="K94" s="654">
        <v>3</v>
      </c>
      <c r="L94" s="654">
        <v>32.9</v>
      </c>
      <c r="M94" s="655">
        <v>3.548</v>
      </c>
    </row>
    <row r="95" spans="1:13">
      <c r="A95" s="650" t="s">
        <v>217</v>
      </c>
      <c r="B95" s="651" t="s">
        <v>383</v>
      </c>
      <c r="C95" s="652">
        <v>44128</v>
      </c>
      <c r="D95" s="653">
        <v>9.7222222222222224E-3</v>
      </c>
      <c r="E95" s="654"/>
      <c r="F95" s="654"/>
      <c r="G95" s="654"/>
      <c r="H95" s="651" t="s">
        <v>461</v>
      </c>
      <c r="I95" s="654">
        <v>0</v>
      </c>
      <c r="J95" s="654">
        <v>2190</v>
      </c>
      <c r="K95" s="654">
        <v>11</v>
      </c>
      <c r="L95" s="654">
        <v>51.9</v>
      </c>
      <c r="M95" s="655">
        <v>52571.864999999998</v>
      </c>
    </row>
    <row r="96" spans="1:13" ht="25.5">
      <c r="A96" s="650" t="s">
        <v>462</v>
      </c>
      <c r="B96" s="651" t="s">
        <v>387</v>
      </c>
      <c r="C96" s="652">
        <v>46300</v>
      </c>
      <c r="D96" s="653">
        <v>0</v>
      </c>
      <c r="E96" s="654"/>
      <c r="F96" s="654"/>
      <c r="G96" s="654"/>
      <c r="H96" s="651" t="s">
        <v>463</v>
      </c>
      <c r="I96" s="654">
        <v>0</v>
      </c>
      <c r="J96" s="654">
        <v>18</v>
      </c>
      <c r="K96" s="654">
        <v>12</v>
      </c>
      <c r="L96" s="654">
        <v>5.9</v>
      </c>
      <c r="M96" s="655">
        <v>444.09800000000001</v>
      </c>
    </row>
    <row r="97" spans="1:13">
      <c r="A97" s="650" t="s">
        <v>464</v>
      </c>
      <c r="B97" s="651" t="s">
        <v>383</v>
      </c>
      <c r="C97" s="652">
        <v>40498</v>
      </c>
      <c r="D97" s="653">
        <v>0.77222222222222225</v>
      </c>
      <c r="E97" s="654"/>
      <c r="F97" s="654"/>
      <c r="G97" s="654"/>
      <c r="H97" s="651" t="s">
        <v>465</v>
      </c>
      <c r="I97" s="654">
        <v>0</v>
      </c>
      <c r="J97" s="654">
        <v>5819</v>
      </c>
      <c r="K97" s="654">
        <v>17</v>
      </c>
      <c r="L97" s="654">
        <v>33.9</v>
      </c>
      <c r="M97" s="655">
        <v>139673.565</v>
      </c>
    </row>
    <row r="98" spans="1:13">
      <c r="A98" s="650" t="s">
        <v>466</v>
      </c>
      <c r="B98" s="651" t="s">
        <v>383</v>
      </c>
      <c r="C98" s="652">
        <v>40498</v>
      </c>
      <c r="D98" s="653">
        <v>0.74652777777777779</v>
      </c>
      <c r="E98" s="654"/>
      <c r="F98" s="654"/>
      <c r="G98" s="654"/>
      <c r="H98" s="651" t="s">
        <v>465</v>
      </c>
      <c r="I98" s="654">
        <v>0</v>
      </c>
      <c r="J98" s="654">
        <v>5819</v>
      </c>
      <c r="K98" s="654">
        <v>18</v>
      </c>
      <c r="L98" s="654">
        <v>10.9</v>
      </c>
      <c r="M98" s="655">
        <v>139674.18100000001</v>
      </c>
    </row>
    <row r="99" spans="1:13">
      <c r="A99" s="650" t="s">
        <v>467</v>
      </c>
      <c r="B99" s="651" t="s">
        <v>383</v>
      </c>
      <c r="C99" s="652">
        <v>40498</v>
      </c>
      <c r="D99" s="653">
        <v>0.89236111111111116</v>
      </c>
      <c r="E99" s="654"/>
      <c r="F99" s="654"/>
      <c r="G99" s="654"/>
      <c r="H99" s="651" t="s">
        <v>468</v>
      </c>
      <c r="I99" s="654">
        <v>0</v>
      </c>
      <c r="J99" s="654">
        <v>5819</v>
      </c>
      <c r="K99" s="654">
        <v>14</v>
      </c>
      <c r="L99" s="654">
        <v>40.9</v>
      </c>
      <c r="M99" s="655">
        <v>139670.68100000001</v>
      </c>
    </row>
    <row r="100" spans="1:13">
      <c r="A100" s="650" t="s">
        <v>469</v>
      </c>
      <c r="B100" s="651" t="s">
        <v>383</v>
      </c>
      <c r="C100" s="652">
        <v>40498</v>
      </c>
      <c r="D100" s="653">
        <v>0.76111111111111107</v>
      </c>
      <c r="E100" s="654"/>
      <c r="F100" s="654"/>
      <c r="G100" s="654"/>
      <c r="H100" s="651" t="s">
        <v>470</v>
      </c>
      <c r="I100" s="654">
        <v>0</v>
      </c>
      <c r="J100" s="654">
        <v>5819</v>
      </c>
      <c r="K100" s="654">
        <v>17</v>
      </c>
      <c r="L100" s="654">
        <v>49.9</v>
      </c>
      <c r="M100" s="655">
        <v>139673.83100000001</v>
      </c>
    </row>
    <row r="101" spans="1:13" ht="76.5">
      <c r="A101" s="650" t="s">
        <v>471</v>
      </c>
      <c r="B101" s="651" t="s">
        <v>383</v>
      </c>
      <c r="C101" s="652">
        <v>46317</v>
      </c>
      <c r="D101" s="653">
        <v>0.33611111111111114</v>
      </c>
      <c r="E101" s="656">
        <v>46317</v>
      </c>
      <c r="F101" s="653">
        <v>0.70694444444444449</v>
      </c>
      <c r="G101" s="654"/>
      <c r="H101" s="651" t="s">
        <v>472</v>
      </c>
      <c r="I101" s="654">
        <v>0</v>
      </c>
      <c r="J101" s="654">
        <v>0</v>
      </c>
      <c r="K101" s="654">
        <v>8</v>
      </c>
      <c r="L101" s="654">
        <v>54</v>
      </c>
      <c r="M101" s="655">
        <v>8.9</v>
      </c>
    </row>
    <row r="102" spans="1:13" ht="178.5">
      <c r="A102" s="650" t="s">
        <v>473</v>
      </c>
      <c r="B102" s="651" t="s">
        <v>383</v>
      </c>
      <c r="C102" s="652">
        <v>45572</v>
      </c>
      <c r="D102" s="653">
        <v>0.78819444444444442</v>
      </c>
      <c r="E102" s="654"/>
      <c r="F102" s="654"/>
      <c r="G102" s="654"/>
      <c r="H102" s="651" t="s">
        <v>474</v>
      </c>
      <c r="I102" s="654">
        <v>0</v>
      </c>
      <c r="J102" s="654">
        <v>745</v>
      </c>
      <c r="K102" s="654">
        <v>17</v>
      </c>
      <c r="L102" s="654">
        <v>10.9</v>
      </c>
      <c r="M102" s="655">
        <v>17897.181</v>
      </c>
    </row>
    <row r="103" spans="1:13" ht="25.5">
      <c r="A103" s="650" t="s">
        <v>475</v>
      </c>
      <c r="B103" s="651" t="s">
        <v>476</v>
      </c>
      <c r="C103" s="652">
        <v>46317</v>
      </c>
      <c r="D103" s="653">
        <v>1.6666666666666666E-2</v>
      </c>
      <c r="E103" s="656">
        <v>46317</v>
      </c>
      <c r="F103" s="653">
        <v>1.8749999999999999E-2</v>
      </c>
      <c r="G103" s="654"/>
      <c r="H103" s="651" t="s">
        <v>477</v>
      </c>
      <c r="I103" s="654">
        <v>0</v>
      </c>
      <c r="J103" s="654">
        <v>0</v>
      </c>
      <c r="K103" s="654">
        <v>0</v>
      </c>
      <c r="L103" s="654">
        <v>3</v>
      </c>
      <c r="M103" s="655">
        <v>0.05</v>
      </c>
    </row>
    <row r="104" spans="1:13">
      <c r="A104" s="650" t="s">
        <v>478</v>
      </c>
      <c r="B104" s="651" t="s">
        <v>383</v>
      </c>
      <c r="C104" s="652">
        <v>46267</v>
      </c>
      <c r="D104" s="653">
        <v>0.67222222222222228</v>
      </c>
      <c r="E104" s="654"/>
      <c r="F104" s="654"/>
      <c r="G104" s="654"/>
      <c r="H104" s="651" t="s">
        <v>479</v>
      </c>
      <c r="I104" s="654">
        <v>0</v>
      </c>
      <c r="J104" s="654">
        <v>50</v>
      </c>
      <c r="K104" s="654">
        <v>19</v>
      </c>
      <c r="L104" s="654">
        <v>57.9</v>
      </c>
      <c r="M104" s="655">
        <v>1219.9649999999999</v>
      </c>
    </row>
    <row r="105" spans="1:13" ht="25.5">
      <c r="A105" s="650" t="s">
        <v>480</v>
      </c>
      <c r="B105" s="651" t="s">
        <v>383</v>
      </c>
      <c r="C105" s="652">
        <v>43221</v>
      </c>
      <c r="D105" s="653">
        <v>0</v>
      </c>
      <c r="E105" s="654"/>
      <c r="F105" s="654"/>
      <c r="G105" s="654"/>
      <c r="H105" s="651" t="s">
        <v>481</v>
      </c>
      <c r="I105" s="654">
        <v>0</v>
      </c>
      <c r="J105" s="654">
        <v>3097</v>
      </c>
      <c r="K105" s="654">
        <v>12</v>
      </c>
      <c r="L105" s="654">
        <v>5.9</v>
      </c>
      <c r="M105" s="655">
        <v>74340.097999999998</v>
      </c>
    </row>
    <row r="106" spans="1:13" ht="140.25">
      <c r="A106" s="650" t="s">
        <v>482</v>
      </c>
      <c r="B106" s="651" t="s">
        <v>383</v>
      </c>
      <c r="C106" s="652">
        <v>45623</v>
      </c>
      <c r="D106" s="653">
        <v>0.93680555555555556</v>
      </c>
      <c r="E106" s="654"/>
      <c r="F106" s="654"/>
      <c r="G106" s="654"/>
      <c r="H106" s="651" t="s">
        <v>483</v>
      </c>
      <c r="I106" s="654">
        <v>0</v>
      </c>
      <c r="J106" s="654">
        <v>694</v>
      </c>
      <c r="K106" s="654">
        <v>13</v>
      </c>
      <c r="L106" s="654">
        <v>36.9</v>
      </c>
      <c r="M106" s="655">
        <v>16669.615000000002</v>
      </c>
    </row>
    <row r="107" spans="1:13">
      <c r="A107" s="650" t="s">
        <v>484</v>
      </c>
      <c r="B107" s="651" t="s">
        <v>476</v>
      </c>
      <c r="C107" s="652">
        <v>46317</v>
      </c>
      <c r="D107" s="653">
        <v>1.6666666666666666E-2</v>
      </c>
      <c r="E107" s="656">
        <v>46317</v>
      </c>
      <c r="F107" s="653">
        <v>4.6527777777777779E-2</v>
      </c>
      <c r="G107" s="654"/>
      <c r="H107" s="651" t="s">
        <v>485</v>
      </c>
      <c r="I107" s="654">
        <v>0</v>
      </c>
      <c r="J107" s="654">
        <v>0</v>
      </c>
      <c r="K107" s="654">
        <v>0</v>
      </c>
      <c r="L107" s="654">
        <v>43</v>
      </c>
      <c r="M107" s="655">
        <v>0.71599999999999997</v>
      </c>
    </row>
    <row r="108" spans="1:13">
      <c r="A108" s="650" t="s">
        <v>486</v>
      </c>
      <c r="B108" s="651" t="s">
        <v>383</v>
      </c>
      <c r="C108" s="652">
        <v>46317</v>
      </c>
      <c r="D108" s="653">
        <v>0.80277777777777781</v>
      </c>
      <c r="E108" s="656">
        <v>46317</v>
      </c>
      <c r="F108" s="653">
        <v>0.80625000000000002</v>
      </c>
      <c r="G108" s="654"/>
      <c r="H108" s="651" t="s">
        <v>487</v>
      </c>
      <c r="I108" s="654">
        <v>0</v>
      </c>
      <c r="J108" s="654">
        <v>0</v>
      </c>
      <c r="K108" s="654">
        <v>0</v>
      </c>
      <c r="L108" s="654">
        <v>5</v>
      </c>
      <c r="M108" s="655">
        <v>8.3000000000000004E-2</v>
      </c>
    </row>
    <row r="109" spans="1:13">
      <c r="A109" s="650" t="s">
        <v>488</v>
      </c>
      <c r="B109" s="651" t="s">
        <v>383</v>
      </c>
      <c r="C109" s="652">
        <v>41394</v>
      </c>
      <c r="D109" s="653">
        <v>0.82430555555555551</v>
      </c>
      <c r="E109" s="654"/>
      <c r="F109" s="654"/>
      <c r="G109" s="654"/>
      <c r="H109" s="651" t="s">
        <v>489</v>
      </c>
      <c r="I109" s="654">
        <v>0</v>
      </c>
      <c r="J109" s="654">
        <v>4923</v>
      </c>
      <c r="K109" s="654">
        <v>16</v>
      </c>
      <c r="L109" s="654">
        <v>18.899999999999999</v>
      </c>
      <c r="M109" s="655">
        <v>118168.315</v>
      </c>
    </row>
    <row r="110" spans="1:13">
      <c r="A110" s="650" t="s">
        <v>490</v>
      </c>
      <c r="B110" s="651" t="s">
        <v>383</v>
      </c>
      <c r="C110" s="652">
        <v>41988</v>
      </c>
      <c r="D110" s="653">
        <v>0.73124999999999996</v>
      </c>
      <c r="E110" s="654"/>
      <c r="F110" s="654"/>
      <c r="G110" s="654"/>
      <c r="H110" s="651" t="s">
        <v>491</v>
      </c>
      <c r="I110" s="654">
        <v>0</v>
      </c>
      <c r="J110" s="654">
        <v>4329</v>
      </c>
      <c r="K110" s="654">
        <v>18</v>
      </c>
      <c r="L110" s="654">
        <v>32.9</v>
      </c>
      <c r="M110" s="655">
        <v>103914.548</v>
      </c>
    </row>
    <row r="111" spans="1:13">
      <c r="A111" s="650" t="s">
        <v>492</v>
      </c>
      <c r="B111" s="651" t="s">
        <v>383</v>
      </c>
      <c r="C111" s="652">
        <v>41988</v>
      </c>
      <c r="D111" s="653">
        <v>0.73124999999999996</v>
      </c>
      <c r="E111" s="654"/>
      <c r="F111" s="654"/>
      <c r="G111" s="654"/>
      <c r="H111" s="651" t="s">
        <v>491</v>
      </c>
      <c r="I111" s="654">
        <v>0</v>
      </c>
      <c r="J111" s="654">
        <v>4329</v>
      </c>
      <c r="K111" s="654">
        <v>18</v>
      </c>
      <c r="L111" s="654">
        <v>32.9</v>
      </c>
      <c r="M111" s="655">
        <v>103914.548</v>
      </c>
    </row>
    <row r="112" spans="1:13">
      <c r="A112" s="650" t="s">
        <v>493</v>
      </c>
      <c r="B112" s="651" t="s">
        <v>383</v>
      </c>
      <c r="C112" s="652">
        <v>41505</v>
      </c>
      <c r="D112" s="653">
        <v>0.84166666666666667</v>
      </c>
      <c r="E112" s="654"/>
      <c r="F112" s="654"/>
      <c r="G112" s="654"/>
      <c r="H112" s="651" t="s">
        <v>494</v>
      </c>
      <c r="I112" s="654">
        <v>0</v>
      </c>
      <c r="J112" s="654">
        <v>4812</v>
      </c>
      <c r="K112" s="654">
        <v>15</v>
      </c>
      <c r="L112" s="654">
        <v>53.9</v>
      </c>
      <c r="M112" s="655">
        <v>115503.898</v>
      </c>
    </row>
    <row r="113" spans="1:13">
      <c r="A113" s="650" t="s">
        <v>495</v>
      </c>
      <c r="B113" s="651" t="s">
        <v>383</v>
      </c>
      <c r="C113" s="652">
        <v>41988</v>
      </c>
      <c r="D113" s="653">
        <v>0.73124999999999996</v>
      </c>
      <c r="E113" s="654"/>
      <c r="F113" s="654"/>
      <c r="G113" s="654"/>
      <c r="H113" s="651" t="s">
        <v>491</v>
      </c>
      <c r="I113" s="654">
        <v>0</v>
      </c>
      <c r="J113" s="654">
        <v>4329</v>
      </c>
      <c r="K113" s="654">
        <v>18</v>
      </c>
      <c r="L113" s="654">
        <v>32.9</v>
      </c>
      <c r="M113" s="655">
        <v>103914.548</v>
      </c>
    </row>
    <row r="114" spans="1:13" ht="51">
      <c r="A114" s="650" t="s">
        <v>496</v>
      </c>
      <c r="B114" s="651" t="s">
        <v>383</v>
      </c>
      <c r="C114" s="652">
        <v>41911</v>
      </c>
      <c r="D114" s="653">
        <v>0.92291666666666672</v>
      </c>
      <c r="E114" s="654"/>
      <c r="F114" s="654"/>
      <c r="G114" s="654"/>
      <c r="H114" s="651" t="s">
        <v>497</v>
      </c>
      <c r="I114" s="654">
        <v>0</v>
      </c>
      <c r="J114" s="654">
        <v>4406</v>
      </c>
      <c r="K114" s="654">
        <v>13</v>
      </c>
      <c r="L114" s="654">
        <v>56.9</v>
      </c>
      <c r="M114" s="655">
        <v>105757.948</v>
      </c>
    </row>
    <row r="115" spans="1:13">
      <c r="A115" s="650" t="s">
        <v>498</v>
      </c>
      <c r="B115" s="651" t="s">
        <v>439</v>
      </c>
      <c r="C115" s="652">
        <v>46317</v>
      </c>
      <c r="D115" s="653">
        <v>0.95833333333333337</v>
      </c>
      <c r="E115" s="656">
        <v>46317</v>
      </c>
      <c r="F115" s="653">
        <v>0.99930555555555556</v>
      </c>
      <c r="G115" s="654">
        <v>30.4</v>
      </c>
      <c r="H115" s="651" t="s">
        <v>499</v>
      </c>
      <c r="I115" s="654">
        <v>0</v>
      </c>
      <c r="J115" s="654">
        <v>0</v>
      </c>
      <c r="K115" s="654">
        <v>0</v>
      </c>
      <c r="L115" s="654">
        <v>59</v>
      </c>
      <c r="M115" s="655">
        <v>0.98299999999999998</v>
      </c>
    </row>
    <row r="116" spans="1:13">
      <c r="A116" s="650" t="s">
        <v>498</v>
      </c>
      <c r="B116" s="651" t="s">
        <v>439</v>
      </c>
      <c r="C116" s="652">
        <v>46317</v>
      </c>
      <c r="D116" s="653">
        <v>0.91666666666666663</v>
      </c>
      <c r="E116" s="656">
        <v>46317</v>
      </c>
      <c r="F116" s="653">
        <v>0.95763888888888893</v>
      </c>
      <c r="G116" s="654">
        <v>30.45</v>
      </c>
      <c r="H116" s="651" t="s">
        <v>499</v>
      </c>
      <c r="I116" s="654">
        <v>0</v>
      </c>
      <c r="J116" s="654">
        <v>0</v>
      </c>
      <c r="K116" s="654">
        <v>0</v>
      </c>
      <c r="L116" s="654">
        <v>59</v>
      </c>
      <c r="M116" s="655">
        <v>0.98299999999999998</v>
      </c>
    </row>
    <row r="117" spans="1:13">
      <c r="A117" s="650" t="s">
        <v>498</v>
      </c>
      <c r="B117" s="651" t="s">
        <v>439</v>
      </c>
      <c r="C117" s="652">
        <v>46317</v>
      </c>
      <c r="D117" s="653">
        <v>0.875</v>
      </c>
      <c r="E117" s="656">
        <v>46317</v>
      </c>
      <c r="F117" s="653">
        <v>0.91597222222222219</v>
      </c>
      <c r="G117" s="654">
        <v>30.44</v>
      </c>
      <c r="H117" s="651" t="s">
        <v>499</v>
      </c>
      <c r="I117" s="654">
        <v>0</v>
      </c>
      <c r="J117" s="654">
        <v>0</v>
      </c>
      <c r="K117" s="654">
        <v>0</v>
      </c>
      <c r="L117" s="654">
        <v>59</v>
      </c>
      <c r="M117" s="655">
        <v>0.98299999999999998</v>
      </c>
    </row>
    <row r="118" spans="1:13">
      <c r="A118" s="650" t="s">
        <v>498</v>
      </c>
      <c r="B118" s="651" t="s">
        <v>439</v>
      </c>
      <c r="C118" s="652">
        <v>46317</v>
      </c>
      <c r="D118" s="653">
        <v>0.86458333333333337</v>
      </c>
      <c r="E118" s="656">
        <v>46317</v>
      </c>
      <c r="F118" s="653">
        <v>0.87430555555555556</v>
      </c>
      <c r="G118" s="654">
        <v>30.23</v>
      </c>
      <c r="H118" s="651" t="s">
        <v>499</v>
      </c>
      <c r="I118" s="654">
        <v>0</v>
      </c>
      <c r="J118" s="654">
        <v>0</v>
      </c>
      <c r="K118" s="654">
        <v>0</v>
      </c>
      <c r="L118" s="654">
        <v>14</v>
      </c>
      <c r="M118" s="655">
        <v>0.23300000000000001</v>
      </c>
    </row>
    <row r="119" spans="1:13">
      <c r="A119" s="650" t="s">
        <v>498</v>
      </c>
      <c r="B119" s="651" t="s">
        <v>439</v>
      </c>
      <c r="C119" s="652">
        <v>46317</v>
      </c>
      <c r="D119" s="653">
        <v>0.85416666666666663</v>
      </c>
      <c r="E119" s="656">
        <v>46317</v>
      </c>
      <c r="F119" s="653">
        <v>0.86388888888888893</v>
      </c>
      <c r="G119" s="654">
        <v>30.15</v>
      </c>
      <c r="H119" s="651" t="s">
        <v>499</v>
      </c>
      <c r="I119" s="654">
        <v>0</v>
      </c>
      <c r="J119" s="654">
        <v>0</v>
      </c>
      <c r="K119" s="654">
        <v>0</v>
      </c>
      <c r="L119" s="654">
        <v>14</v>
      </c>
      <c r="M119" s="655">
        <v>0.23300000000000001</v>
      </c>
    </row>
    <row r="120" spans="1:13">
      <c r="A120" s="650" t="s">
        <v>498</v>
      </c>
      <c r="B120" s="651" t="s">
        <v>439</v>
      </c>
      <c r="C120" s="652">
        <v>46317</v>
      </c>
      <c r="D120" s="653">
        <v>0.84375</v>
      </c>
      <c r="E120" s="656">
        <v>46317</v>
      </c>
      <c r="F120" s="653">
        <v>0.85347222222222219</v>
      </c>
      <c r="G120" s="654">
        <v>30.31</v>
      </c>
      <c r="H120" s="651" t="s">
        <v>499</v>
      </c>
      <c r="I120" s="654">
        <v>0</v>
      </c>
      <c r="J120" s="654">
        <v>0</v>
      </c>
      <c r="K120" s="654">
        <v>0</v>
      </c>
      <c r="L120" s="654">
        <v>14</v>
      </c>
      <c r="M120" s="655">
        <v>0.23300000000000001</v>
      </c>
    </row>
    <row r="121" spans="1:13">
      <c r="A121" s="650" t="s">
        <v>498</v>
      </c>
      <c r="B121" s="651" t="s">
        <v>439</v>
      </c>
      <c r="C121" s="652">
        <v>46317</v>
      </c>
      <c r="D121" s="653">
        <v>0.83333333333333337</v>
      </c>
      <c r="E121" s="656">
        <v>46317</v>
      </c>
      <c r="F121" s="653">
        <v>0.84305555555555556</v>
      </c>
      <c r="G121" s="654">
        <v>30.23</v>
      </c>
      <c r="H121" s="651" t="s">
        <v>499</v>
      </c>
      <c r="I121" s="654">
        <v>0</v>
      </c>
      <c r="J121" s="654">
        <v>0</v>
      </c>
      <c r="K121" s="654">
        <v>0</v>
      </c>
      <c r="L121" s="654">
        <v>14</v>
      </c>
      <c r="M121" s="655">
        <v>0.23300000000000001</v>
      </c>
    </row>
    <row r="122" spans="1:13">
      <c r="A122" s="650" t="s">
        <v>498</v>
      </c>
      <c r="B122" s="651" t="s">
        <v>439</v>
      </c>
      <c r="C122" s="652">
        <v>46317</v>
      </c>
      <c r="D122" s="653">
        <v>0.82291666666666663</v>
      </c>
      <c r="E122" s="656">
        <v>46317</v>
      </c>
      <c r="F122" s="653">
        <v>0.83263888888888893</v>
      </c>
      <c r="G122" s="654">
        <v>30.18</v>
      </c>
      <c r="H122" s="651" t="s">
        <v>499</v>
      </c>
      <c r="I122" s="654">
        <v>0</v>
      </c>
      <c r="J122" s="654">
        <v>0</v>
      </c>
      <c r="K122" s="654">
        <v>0</v>
      </c>
      <c r="L122" s="654">
        <v>14</v>
      </c>
      <c r="M122" s="655">
        <v>0.23300000000000001</v>
      </c>
    </row>
    <row r="123" spans="1:13">
      <c r="A123" s="650" t="s">
        <v>498</v>
      </c>
      <c r="B123" s="651" t="s">
        <v>439</v>
      </c>
      <c r="C123" s="652">
        <v>46317</v>
      </c>
      <c r="D123" s="653">
        <v>0.8125</v>
      </c>
      <c r="E123" s="656">
        <v>46317</v>
      </c>
      <c r="F123" s="653">
        <v>0.82222222222222219</v>
      </c>
      <c r="G123" s="654">
        <v>30.25</v>
      </c>
      <c r="H123" s="651" t="s">
        <v>499</v>
      </c>
      <c r="I123" s="654">
        <v>0</v>
      </c>
      <c r="J123" s="654">
        <v>0</v>
      </c>
      <c r="K123" s="654">
        <v>0</v>
      </c>
      <c r="L123" s="654">
        <v>14</v>
      </c>
      <c r="M123" s="655">
        <v>0.23300000000000001</v>
      </c>
    </row>
    <row r="124" spans="1:13">
      <c r="A124" s="650" t="s">
        <v>498</v>
      </c>
      <c r="B124" s="651" t="s">
        <v>439</v>
      </c>
      <c r="C124" s="652">
        <v>46317</v>
      </c>
      <c r="D124" s="653">
        <v>0.80208333333333337</v>
      </c>
      <c r="E124" s="656">
        <v>46317</v>
      </c>
      <c r="F124" s="653">
        <v>0.81180555555555556</v>
      </c>
      <c r="G124" s="654">
        <v>30.66</v>
      </c>
      <c r="H124" s="651" t="s">
        <v>499</v>
      </c>
      <c r="I124" s="654">
        <v>0</v>
      </c>
      <c r="J124" s="654">
        <v>0</v>
      </c>
      <c r="K124" s="654">
        <v>0</v>
      </c>
      <c r="L124" s="654">
        <v>14</v>
      </c>
      <c r="M124" s="655">
        <v>0.23300000000000001</v>
      </c>
    </row>
    <row r="125" spans="1:13">
      <c r="A125" s="650" t="s">
        <v>498</v>
      </c>
      <c r="B125" s="651" t="s">
        <v>439</v>
      </c>
      <c r="C125" s="652">
        <v>46317</v>
      </c>
      <c r="D125" s="653">
        <v>0.79166666666666663</v>
      </c>
      <c r="E125" s="656">
        <v>46317</v>
      </c>
      <c r="F125" s="653">
        <v>0.80138888888888893</v>
      </c>
      <c r="G125" s="654">
        <v>30.16</v>
      </c>
      <c r="H125" s="651" t="s">
        <v>499</v>
      </c>
      <c r="I125" s="654">
        <v>0</v>
      </c>
      <c r="J125" s="654">
        <v>0</v>
      </c>
      <c r="K125" s="654">
        <v>0</v>
      </c>
      <c r="L125" s="654">
        <v>14</v>
      </c>
      <c r="M125" s="655">
        <v>0.23300000000000001</v>
      </c>
    </row>
    <row r="126" spans="1:13">
      <c r="A126" s="650" t="s">
        <v>498</v>
      </c>
      <c r="B126" s="651" t="s">
        <v>439</v>
      </c>
      <c r="C126" s="652">
        <v>46317</v>
      </c>
      <c r="D126" s="653">
        <v>0.78125</v>
      </c>
      <c r="E126" s="656">
        <v>46317</v>
      </c>
      <c r="F126" s="653">
        <v>0.79097222222222219</v>
      </c>
      <c r="G126" s="654">
        <v>30.58</v>
      </c>
      <c r="H126" s="651" t="s">
        <v>499</v>
      </c>
      <c r="I126" s="654">
        <v>0</v>
      </c>
      <c r="J126" s="654">
        <v>0</v>
      </c>
      <c r="K126" s="654">
        <v>0</v>
      </c>
      <c r="L126" s="654">
        <v>14</v>
      </c>
      <c r="M126" s="655">
        <v>0.23300000000000001</v>
      </c>
    </row>
    <row r="127" spans="1:13">
      <c r="A127" s="650" t="s">
        <v>498</v>
      </c>
      <c r="B127" s="651" t="s">
        <v>439</v>
      </c>
      <c r="C127" s="652">
        <v>46317</v>
      </c>
      <c r="D127" s="653">
        <v>0.77083333333333337</v>
      </c>
      <c r="E127" s="656">
        <v>46317</v>
      </c>
      <c r="F127" s="653">
        <v>0.78055555555555556</v>
      </c>
      <c r="G127" s="654">
        <v>30.12</v>
      </c>
      <c r="H127" s="651" t="s">
        <v>499</v>
      </c>
      <c r="I127" s="654">
        <v>0</v>
      </c>
      <c r="J127" s="654">
        <v>0</v>
      </c>
      <c r="K127" s="654">
        <v>0</v>
      </c>
      <c r="L127" s="654">
        <v>14</v>
      </c>
      <c r="M127" s="655">
        <v>0.23300000000000001</v>
      </c>
    </row>
    <row r="128" spans="1:13">
      <c r="A128" s="650" t="s">
        <v>498</v>
      </c>
      <c r="B128" s="651" t="s">
        <v>439</v>
      </c>
      <c r="C128" s="652">
        <v>46317</v>
      </c>
      <c r="D128" s="653">
        <v>0.76041666666666663</v>
      </c>
      <c r="E128" s="656">
        <v>46317</v>
      </c>
      <c r="F128" s="653">
        <v>0.77013888888888893</v>
      </c>
      <c r="G128" s="654">
        <v>30.34</v>
      </c>
      <c r="H128" s="651" t="s">
        <v>499</v>
      </c>
      <c r="I128" s="654">
        <v>0</v>
      </c>
      <c r="J128" s="654">
        <v>0</v>
      </c>
      <c r="K128" s="654">
        <v>0</v>
      </c>
      <c r="L128" s="654">
        <v>14</v>
      </c>
      <c r="M128" s="655">
        <v>0.23300000000000001</v>
      </c>
    </row>
    <row r="129" spans="1:13">
      <c r="A129" s="650" t="s">
        <v>498</v>
      </c>
      <c r="B129" s="651" t="s">
        <v>439</v>
      </c>
      <c r="C129" s="652">
        <v>46317</v>
      </c>
      <c r="D129" s="653">
        <v>0.75</v>
      </c>
      <c r="E129" s="656">
        <v>46317</v>
      </c>
      <c r="F129" s="653">
        <v>0.75972222222222219</v>
      </c>
      <c r="G129" s="654">
        <v>30.51</v>
      </c>
      <c r="H129" s="651" t="s">
        <v>499</v>
      </c>
      <c r="I129" s="654">
        <v>0</v>
      </c>
      <c r="J129" s="654">
        <v>0</v>
      </c>
      <c r="K129" s="654">
        <v>0</v>
      </c>
      <c r="L129" s="654">
        <v>14</v>
      </c>
      <c r="M129" s="655">
        <v>0.23300000000000001</v>
      </c>
    </row>
    <row r="130" spans="1:13">
      <c r="A130" s="650" t="s">
        <v>498</v>
      </c>
      <c r="B130" s="651" t="s">
        <v>439</v>
      </c>
      <c r="C130" s="652">
        <v>46317</v>
      </c>
      <c r="D130" s="653">
        <v>0.70833333333333337</v>
      </c>
      <c r="E130" s="656">
        <v>46317</v>
      </c>
      <c r="F130" s="653">
        <v>0.74930555555555556</v>
      </c>
      <c r="G130" s="654">
        <v>30.2</v>
      </c>
      <c r="H130" s="651" t="s">
        <v>499</v>
      </c>
      <c r="I130" s="654">
        <v>0</v>
      </c>
      <c r="J130" s="654">
        <v>0</v>
      </c>
      <c r="K130" s="654">
        <v>0</v>
      </c>
      <c r="L130" s="654">
        <v>59</v>
      </c>
      <c r="M130" s="655">
        <v>0.98299999999999998</v>
      </c>
    </row>
    <row r="131" spans="1:13">
      <c r="A131" s="650" t="s">
        <v>498</v>
      </c>
      <c r="B131" s="651" t="s">
        <v>439</v>
      </c>
      <c r="C131" s="652">
        <v>46317</v>
      </c>
      <c r="D131" s="653">
        <v>0.66666666666666663</v>
      </c>
      <c r="E131" s="656">
        <v>46317</v>
      </c>
      <c r="F131" s="653">
        <v>0.70763888888888893</v>
      </c>
      <c r="G131" s="654">
        <v>30.15</v>
      </c>
      <c r="H131" s="651" t="s">
        <v>499</v>
      </c>
      <c r="I131" s="654">
        <v>0</v>
      </c>
      <c r="J131" s="654">
        <v>0</v>
      </c>
      <c r="K131" s="654">
        <v>0</v>
      </c>
      <c r="L131" s="654">
        <v>59</v>
      </c>
      <c r="M131" s="655">
        <v>0.98299999999999998</v>
      </c>
    </row>
    <row r="132" spans="1:13">
      <c r="A132" s="650" t="s">
        <v>498</v>
      </c>
      <c r="B132" s="651" t="s">
        <v>439</v>
      </c>
      <c r="C132" s="652">
        <v>46317</v>
      </c>
      <c r="D132" s="653">
        <v>0.625</v>
      </c>
      <c r="E132" s="656">
        <v>46317</v>
      </c>
      <c r="F132" s="653">
        <v>0.66597222222222219</v>
      </c>
      <c r="G132" s="654">
        <v>30.28</v>
      </c>
      <c r="H132" s="651" t="s">
        <v>499</v>
      </c>
      <c r="I132" s="654">
        <v>0</v>
      </c>
      <c r="J132" s="654">
        <v>0</v>
      </c>
      <c r="K132" s="654">
        <v>0</v>
      </c>
      <c r="L132" s="654">
        <v>59</v>
      </c>
      <c r="M132" s="655">
        <v>0.98299999999999998</v>
      </c>
    </row>
    <row r="133" spans="1:13">
      <c r="A133" s="650" t="s">
        <v>498</v>
      </c>
      <c r="B133" s="651" t="s">
        <v>439</v>
      </c>
      <c r="C133" s="652">
        <v>46317</v>
      </c>
      <c r="D133" s="653">
        <v>0.41666666666666669</v>
      </c>
      <c r="E133" s="656">
        <v>46317</v>
      </c>
      <c r="F133" s="653">
        <v>0.62430555555555556</v>
      </c>
      <c r="G133" s="654">
        <v>30.19</v>
      </c>
      <c r="H133" s="651" t="s">
        <v>499</v>
      </c>
      <c r="I133" s="654">
        <v>0</v>
      </c>
      <c r="J133" s="654">
        <v>0</v>
      </c>
      <c r="K133" s="654">
        <v>4</v>
      </c>
      <c r="L133" s="654">
        <v>59</v>
      </c>
      <c r="M133" s="655">
        <v>4.9829999999999997</v>
      </c>
    </row>
    <row r="134" spans="1:13">
      <c r="A134" s="650" t="s">
        <v>498</v>
      </c>
      <c r="B134" s="651" t="s">
        <v>439</v>
      </c>
      <c r="C134" s="652">
        <v>46317</v>
      </c>
      <c r="D134" s="653">
        <v>0.38819444444444445</v>
      </c>
      <c r="E134" s="656">
        <v>46317</v>
      </c>
      <c r="F134" s="653">
        <v>0.41597222222222224</v>
      </c>
      <c r="G134" s="654">
        <v>30</v>
      </c>
      <c r="H134" s="651" t="s">
        <v>500</v>
      </c>
      <c r="I134" s="654">
        <v>0</v>
      </c>
      <c r="J134" s="654">
        <v>0</v>
      </c>
      <c r="K134" s="654">
        <v>0</v>
      </c>
      <c r="L134" s="654">
        <v>40</v>
      </c>
      <c r="M134" s="655">
        <v>0.66600000000000004</v>
      </c>
    </row>
    <row r="135" spans="1:13">
      <c r="A135" s="650" t="s">
        <v>498</v>
      </c>
      <c r="B135" s="651" t="s">
        <v>439</v>
      </c>
      <c r="C135" s="652">
        <v>46317</v>
      </c>
      <c r="D135" s="653">
        <v>0.34513888888888888</v>
      </c>
      <c r="E135" s="656">
        <v>46317</v>
      </c>
      <c r="F135" s="653">
        <v>0.38750000000000001</v>
      </c>
      <c r="G135" s="654">
        <v>30.48</v>
      </c>
      <c r="H135" s="651" t="s">
        <v>499</v>
      </c>
      <c r="I135" s="654">
        <v>0</v>
      </c>
      <c r="J135" s="654">
        <v>0</v>
      </c>
      <c r="K135" s="654">
        <v>1</v>
      </c>
      <c r="L135" s="654">
        <v>1</v>
      </c>
      <c r="M135" s="655">
        <v>1.016</v>
      </c>
    </row>
    <row r="136" spans="1:13">
      <c r="A136" s="650" t="s">
        <v>498</v>
      </c>
      <c r="B136" s="651" t="s">
        <v>476</v>
      </c>
      <c r="C136" s="652">
        <v>46317</v>
      </c>
      <c r="D136" s="653">
        <v>0.33541666666666664</v>
      </c>
      <c r="E136" s="656">
        <v>46317</v>
      </c>
      <c r="F136" s="653">
        <v>0.34444444444444444</v>
      </c>
      <c r="G136" s="654"/>
      <c r="H136" s="651" t="s">
        <v>501</v>
      </c>
      <c r="I136" s="654">
        <v>0</v>
      </c>
      <c r="J136" s="654">
        <v>0</v>
      </c>
      <c r="K136" s="654">
        <v>0</v>
      </c>
      <c r="L136" s="654">
        <v>13</v>
      </c>
      <c r="M136" s="655">
        <v>0.216</v>
      </c>
    </row>
    <row r="137" spans="1:13">
      <c r="A137" s="650" t="s">
        <v>498</v>
      </c>
      <c r="B137" s="651" t="s">
        <v>439</v>
      </c>
      <c r="C137" s="652">
        <v>46316</v>
      </c>
      <c r="D137" s="653">
        <v>0.91666666666666663</v>
      </c>
      <c r="E137" s="656">
        <v>46317</v>
      </c>
      <c r="F137" s="653">
        <v>0.3347222222222222</v>
      </c>
      <c r="G137" s="654">
        <v>30.48</v>
      </c>
      <c r="H137" s="651" t="s">
        <v>499</v>
      </c>
      <c r="I137" s="654">
        <v>0</v>
      </c>
      <c r="J137" s="654">
        <v>0</v>
      </c>
      <c r="K137" s="654">
        <v>10</v>
      </c>
      <c r="L137" s="654">
        <v>2</v>
      </c>
      <c r="M137" s="655">
        <v>10.032999999999999</v>
      </c>
    </row>
    <row r="138" spans="1:13">
      <c r="A138" s="650" t="s">
        <v>214</v>
      </c>
      <c r="B138" s="651" t="s">
        <v>439</v>
      </c>
      <c r="C138" s="652">
        <v>46317</v>
      </c>
      <c r="D138" s="653">
        <v>0.99930555555555556</v>
      </c>
      <c r="E138" s="654"/>
      <c r="F138" s="654"/>
      <c r="G138" s="654">
        <v>133.38999999999999</v>
      </c>
      <c r="H138" s="651" t="s">
        <v>499</v>
      </c>
      <c r="I138" s="654">
        <v>0</v>
      </c>
      <c r="J138" s="654">
        <v>0</v>
      </c>
      <c r="K138" s="654">
        <v>12</v>
      </c>
      <c r="L138" s="654">
        <v>6.9</v>
      </c>
      <c r="M138" s="655">
        <v>12.115</v>
      </c>
    </row>
    <row r="139" spans="1:13">
      <c r="A139" s="650" t="s">
        <v>214</v>
      </c>
      <c r="B139" s="651" t="s">
        <v>439</v>
      </c>
      <c r="C139" s="652">
        <v>46317</v>
      </c>
      <c r="D139" s="653">
        <v>0.95763888888888893</v>
      </c>
      <c r="E139" s="656">
        <v>46317</v>
      </c>
      <c r="F139" s="653">
        <v>0.99861111111111112</v>
      </c>
      <c r="G139" s="654">
        <v>133.25</v>
      </c>
      <c r="H139" s="651" t="s">
        <v>499</v>
      </c>
      <c r="I139" s="654">
        <v>0</v>
      </c>
      <c r="J139" s="654">
        <v>0</v>
      </c>
      <c r="K139" s="654">
        <v>0</v>
      </c>
      <c r="L139" s="654">
        <v>59</v>
      </c>
      <c r="M139" s="655">
        <v>0.98299999999999998</v>
      </c>
    </row>
    <row r="140" spans="1:13">
      <c r="A140" s="650" t="s">
        <v>214</v>
      </c>
      <c r="B140" s="651" t="s">
        <v>439</v>
      </c>
      <c r="C140" s="652">
        <v>46317</v>
      </c>
      <c r="D140" s="653">
        <v>0.91597222222222219</v>
      </c>
      <c r="E140" s="656">
        <v>46317</v>
      </c>
      <c r="F140" s="653">
        <v>0.95694444444444449</v>
      </c>
      <c r="G140" s="654">
        <v>133.32</v>
      </c>
      <c r="H140" s="651" t="s">
        <v>499</v>
      </c>
      <c r="I140" s="654">
        <v>0</v>
      </c>
      <c r="J140" s="654">
        <v>0</v>
      </c>
      <c r="K140" s="654">
        <v>0</v>
      </c>
      <c r="L140" s="654">
        <v>59</v>
      </c>
      <c r="M140" s="655">
        <v>0.98299999999999998</v>
      </c>
    </row>
    <row r="141" spans="1:13">
      <c r="A141" s="650" t="s">
        <v>214</v>
      </c>
      <c r="B141" s="651" t="s">
        <v>439</v>
      </c>
      <c r="C141" s="652">
        <v>46317</v>
      </c>
      <c r="D141" s="653">
        <v>0.87430555555555556</v>
      </c>
      <c r="E141" s="656">
        <v>46317</v>
      </c>
      <c r="F141" s="653">
        <v>0.91527777777777775</v>
      </c>
      <c r="G141" s="654">
        <v>133.32</v>
      </c>
      <c r="H141" s="651" t="s">
        <v>499</v>
      </c>
      <c r="I141" s="654">
        <v>0</v>
      </c>
      <c r="J141" s="654">
        <v>0</v>
      </c>
      <c r="K141" s="654">
        <v>0</v>
      </c>
      <c r="L141" s="654">
        <v>59</v>
      </c>
      <c r="M141" s="655">
        <v>0.98299999999999998</v>
      </c>
    </row>
    <row r="142" spans="1:13">
      <c r="A142" s="650" t="s">
        <v>214</v>
      </c>
      <c r="B142" s="651" t="s">
        <v>439</v>
      </c>
      <c r="C142" s="652">
        <v>46317</v>
      </c>
      <c r="D142" s="653">
        <v>0.86388888888888893</v>
      </c>
      <c r="E142" s="656">
        <v>46317</v>
      </c>
      <c r="F142" s="653">
        <v>0.87361111111111112</v>
      </c>
      <c r="G142" s="654">
        <v>133.11000000000001</v>
      </c>
      <c r="H142" s="651" t="s">
        <v>499</v>
      </c>
      <c r="I142" s="654">
        <v>0</v>
      </c>
      <c r="J142" s="654">
        <v>0</v>
      </c>
      <c r="K142" s="654">
        <v>0</v>
      </c>
      <c r="L142" s="654">
        <v>14</v>
      </c>
      <c r="M142" s="655">
        <v>0.23300000000000001</v>
      </c>
    </row>
    <row r="143" spans="1:13">
      <c r="A143" s="650" t="s">
        <v>214</v>
      </c>
      <c r="B143" s="651" t="s">
        <v>439</v>
      </c>
      <c r="C143" s="652">
        <v>46317</v>
      </c>
      <c r="D143" s="653">
        <v>0.85347222222222219</v>
      </c>
      <c r="E143" s="656">
        <v>46317</v>
      </c>
      <c r="F143" s="653">
        <v>0.86319444444444449</v>
      </c>
      <c r="G143" s="654">
        <v>133.25</v>
      </c>
      <c r="H143" s="651" t="s">
        <v>499</v>
      </c>
      <c r="I143" s="654">
        <v>0</v>
      </c>
      <c r="J143" s="654">
        <v>0</v>
      </c>
      <c r="K143" s="654">
        <v>0</v>
      </c>
      <c r="L143" s="654">
        <v>14</v>
      </c>
      <c r="M143" s="655">
        <v>0.23300000000000001</v>
      </c>
    </row>
    <row r="144" spans="1:13">
      <c r="A144" s="650" t="s">
        <v>214</v>
      </c>
      <c r="B144" s="651" t="s">
        <v>439</v>
      </c>
      <c r="C144" s="652">
        <v>46317</v>
      </c>
      <c r="D144" s="653">
        <v>0.84305555555555556</v>
      </c>
      <c r="E144" s="656">
        <v>46317</v>
      </c>
      <c r="F144" s="653">
        <v>0.85277777777777775</v>
      </c>
      <c r="G144" s="654">
        <v>132.47999999999999</v>
      </c>
      <c r="H144" s="651" t="s">
        <v>499</v>
      </c>
      <c r="I144" s="654">
        <v>0</v>
      </c>
      <c r="J144" s="654">
        <v>0</v>
      </c>
      <c r="K144" s="654">
        <v>0</v>
      </c>
      <c r="L144" s="654">
        <v>14</v>
      </c>
      <c r="M144" s="655">
        <v>0.23300000000000001</v>
      </c>
    </row>
    <row r="145" spans="1:13">
      <c r="A145" s="650" t="s">
        <v>214</v>
      </c>
      <c r="B145" s="651" t="s">
        <v>439</v>
      </c>
      <c r="C145" s="652">
        <v>46317</v>
      </c>
      <c r="D145" s="653">
        <v>0.83263888888888893</v>
      </c>
      <c r="E145" s="656">
        <v>46317</v>
      </c>
      <c r="F145" s="653">
        <v>0.84236111111111112</v>
      </c>
      <c r="G145" s="654">
        <v>133.25</v>
      </c>
      <c r="H145" s="651" t="s">
        <v>499</v>
      </c>
      <c r="I145" s="654">
        <v>0</v>
      </c>
      <c r="J145" s="654">
        <v>0</v>
      </c>
      <c r="K145" s="654">
        <v>0</v>
      </c>
      <c r="L145" s="654">
        <v>14</v>
      </c>
      <c r="M145" s="655">
        <v>0.23300000000000001</v>
      </c>
    </row>
    <row r="146" spans="1:13">
      <c r="A146" s="650" t="s">
        <v>214</v>
      </c>
      <c r="B146" s="651" t="s">
        <v>439</v>
      </c>
      <c r="C146" s="652">
        <v>46317</v>
      </c>
      <c r="D146" s="653">
        <v>0.82222222222222219</v>
      </c>
      <c r="E146" s="656">
        <v>46317</v>
      </c>
      <c r="F146" s="653">
        <v>0.83194444444444449</v>
      </c>
      <c r="G146" s="654">
        <v>133.04</v>
      </c>
      <c r="H146" s="651" t="s">
        <v>499</v>
      </c>
      <c r="I146" s="654">
        <v>0</v>
      </c>
      <c r="J146" s="654">
        <v>0</v>
      </c>
      <c r="K146" s="654">
        <v>0</v>
      </c>
      <c r="L146" s="654">
        <v>14</v>
      </c>
      <c r="M146" s="655">
        <v>0.23300000000000001</v>
      </c>
    </row>
    <row r="147" spans="1:13">
      <c r="A147" s="650" t="s">
        <v>214</v>
      </c>
      <c r="B147" s="651" t="s">
        <v>439</v>
      </c>
      <c r="C147" s="652">
        <v>46317</v>
      </c>
      <c r="D147" s="653">
        <v>0.81180555555555556</v>
      </c>
      <c r="E147" s="656">
        <v>46317</v>
      </c>
      <c r="F147" s="653">
        <v>0.82152777777777775</v>
      </c>
      <c r="G147" s="654">
        <v>132.69</v>
      </c>
      <c r="H147" s="651" t="s">
        <v>499</v>
      </c>
      <c r="I147" s="654">
        <v>0</v>
      </c>
      <c r="J147" s="654">
        <v>0</v>
      </c>
      <c r="K147" s="654">
        <v>0</v>
      </c>
      <c r="L147" s="654">
        <v>14</v>
      </c>
      <c r="M147" s="655">
        <v>0.23300000000000001</v>
      </c>
    </row>
    <row r="148" spans="1:13">
      <c r="A148" s="650" t="s">
        <v>214</v>
      </c>
      <c r="B148" s="651" t="s">
        <v>439</v>
      </c>
      <c r="C148" s="652">
        <v>46317</v>
      </c>
      <c r="D148" s="653">
        <v>0.80208333333333337</v>
      </c>
      <c r="E148" s="656">
        <v>46317</v>
      </c>
      <c r="F148" s="653">
        <v>0.81111111111111112</v>
      </c>
      <c r="G148" s="654">
        <v>133.11000000000001</v>
      </c>
      <c r="H148" s="651" t="s">
        <v>499</v>
      </c>
      <c r="I148" s="654">
        <v>0</v>
      </c>
      <c r="J148" s="654">
        <v>0</v>
      </c>
      <c r="K148" s="654">
        <v>0</v>
      </c>
      <c r="L148" s="654">
        <v>13</v>
      </c>
      <c r="M148" s="655">
        <v>0.216</v>
      </c>
    </row>
    <row r="149" spans="1:13">
      <c r="A149" s="650" t="s">
        <v>214</v>
      </c>
      <c r="B149" s="651" t="s">
        <v>439</v>
      </c>
      <c r="C149" s="652">
        <v>46317</v>
      </c>
      <c r="D149" s="653">
        <v>0.79166666666666663</v>
      </c>
      <c r="E149" s="656">
        <v>46317</v>
      </c>
      <c r="F149" s="653">
        <v>0.80069444444444449</v>
      </c>
      <c r="G149" s="654">
        <v>132.62</v>
      </c>
      <c r="H149" s="651" t="s">
        <v>499</v>
      </c>
      <c r="I149" s="654">
        <v>0</v>
      </c>
      <c r="J149" s="654">
        <v>0</v>
      </c>
      <c r="K149" s="654">
        <v>0</v>
      </c>
      <c r="L149" s="654">
        <v>13</v>
      </c>
      <c r="M149" s="655">
        <v>0.216</v>
      </c>
    </row>
    <row r="150" spans="1:13">
      <c r="A150" s="650" t="s">
        <v>214</v>
      </c>
      <c r="B150" s="651" t="s">
        <v>439</v>
      </c>
      <c r="C150" s="652">
        <v>46317</v>
      </c>
      <c r="D150" s="653">
        <v>0.78125</v>
      </c>
      <c r="E150" s="656">
        <v>46317</v>
      </c>
      <c r="F150" s="653">
        <v>0.79027777777777775</v>
      </c>
      <c r="G150" s="654">
        <v>133.46</v>
      </c>
      <c r="H150" s="651" t="s">
        <v>499</v>
      </c>
      <c r="I150" s="654">
        <v>0</v>
      </c>
      <c r="J150" s="654">
        <v>0</v>
      </c>
      <c r="K150" s="654">
        <v>0</v>
      </c>
      <c r="L150" s="654">
        <v>13</v>
      </c>
      <c r="M150" s="655">
        <v>0.216</v>
      </c>
    </row>
    <row r="151" spans="1:13">
      <c r="A151" s="650" t="s">
        <v>214</v>
      </c>
      <c r="B151" s="651" t="s">
        <v>439</v>
      </c>
      <c r="C151" s="652">
        <v>46317</v>
      </c>
      <c r="D151" s="653">
        <v>0.77083333333333337</v>
      </c>
      <c r="E151" s="656">
        <v>46317</v>
      </c>
      <c r="F151" s="653">
        <v>0.77986111111111112</v>
      </c>
      <c r="G151" s="654">
        <v>133.18</v>
      </c>
      <c r="H151" s="651" t="s">
        <v>499</v>
      </c>
      <c r="I151" s="654">
        <v>0</v>
      </c>
      <c r="J151" s="654">
        <v>0</v>
      </c>
      <c r="K151" s="654">
        <v>0</v>
      </c>
      <c r="L151" s="654">
        <v>13</v>
      </c>
      <c r="M151" s="655">
        <v>0.216</v>
      </c>
    </row>
    <row r="152" spans="1:13">
      <c r="A152" s="650" t="s">
        <v>214</v>
      </c>
      <c r="B152" s="651" t="s">
        <v>439</v>
      </c>
      <c r="C152" s="652">
        <v>46317</v>
      </c>
      <c r="D152" s="653">
        <v>0.76041666666666663</v>
      </c>
      <c r="E152" s="656">
        <v>46317</v>
      </c>
      <c r="F152" s="653">
        <v>0.76944444444444449</v>
      </c>
      <c r="G152" s="654">
        <v>133.18</v>
      </c>
      <c r="H152" s="651" t="s">
        <v>499</v>
      </c>
      <c r="I152" s="654">
        <v>0</v>
      </c>
      <c r="J152" s="654">
        <v>0</v>
      </c>
      <c r="K152" s="654">
        <v>0</v>
      </c>
      <c r="L152" s="654">
        <v>13</v>
      </c>
      <c r="M152" s="655">
        <v>0.216</v>
      </c>
    </row>
    <row r="153" spans="1:13">
      <c r="A153" s="650" t="s">
        <v>214</v>
      </c>
      <c r="B153" s="651" t="s">
        <v>439</v>
      </c>
      <c r="C153" s="652">
        <v>46317</v>
      </c>
      <c r="D153" s="653">
        <v>0.75</v>
      </c>
      <c r="E153" s="656">
        <v>46317</v>
      </c>
      <c r="F153" s="653">
        <v>0.75902777777777775</v>
      </c>
      <c r="G153" s="654">
        <v>133.11000000000001</v>
      </c>
      <c r="H153" s="651" t="s">
        <v>499</v>
      </c>
      <c r="I153" s="654">
        <v>0</v>
      </c>
      <c r="J153" s="654">
        <v>0</v>
      </c>
      <c r="K153" s="654">
        <v>0</v>
      </c>
      <c r="L153" s="654">
        <v>13</v>
      </c>
      <c r="M153" s="655">
        <v>0.216</v>
      </c>
    </row>
    <row r="154" spans="1:13">
      <c r="A154" s="650" t="s">
        <v>214</v>
      </c>
      <c r="B154" s="651" t="s">
        <v>439</v>
      </c>
      <c r="C154" s="652">
        <v>46317</v>
      </c>
      <c r="D154" s="653">
        <v>0.70833333333333337</v>
      </c>
      <c r="E154" s="656">
        <v>46317</v>
      </c>
      <c r="F154" s="653">
        <v>0.74861111111111112</v>
      </c>
      <c r="G154" s="654">
        <v>132.97</v>
      </c>
      <c r="H154" s="651" t="s">
        <v>499</v>
      </c>
      <c r="I154" s="654">
        <v>0</v>
      </c>
      <c r="J154" s="654">
        <v>0</v>
      </c>
      <c r="K154" s="654">
        <v>0</v>
      </c>
      <c r="L154" s="654">
        <v>58</v>
      </c>
      <c r="M154" s="655">
        <v>0.96599999999999997</v>
      </c>
    </row>
    <row r="155" spans="1:13">
      <c r="A155" s="650" t="s">
        <v>214</v>
      </c>
      <c r="B155" s="651" t="s">
        <v>439</v>
      </c>
      <c r="C155" s="652">
        <v>46317</v>
      </c>
      <c r="D155" s="653">
        <v>0.66666666666666663</v>
      </c>
      <c r="E155" s="656">
        <v>46317</v>
      </c>
      <c r="F155" s="653">
        <v>0.70694444444444449</v>
      </c>
      <c r="G155" s="654">
        <v>134.37</v>
      </c>
      <c r="H155" s="651" t="s">
        <v>499</v>
      </c>
      <c r="I155" s="654">
        <v>0</v>
      </c>
      <c r="J155" s="654">
        <v>0</v>
      </c>
      <c r="K155" s="654">
        <v>0</v>
      </c>
      <c r="L155" s="654">
        <v>58</v>
      </c>
      <c r="M155" s="655">
        <v>0.96599999999999997</v>
      </c>
    </row>
    <row r="156" spans="1:13">
      <c r="A156" s="650" t="s">
        <v>214</v>
      </c>
      <c r="B156" s="651" t="s">
        <v>439</v>
      </c>
      <c r="C156" s="652">
        <v>46317</v>
      </c>
      <c r="D156" s="653">
        <v>0.625</v>
      </c>
      <c r="E156" s="656">
        <v>46317</v>
      </c>
      <c r="F156" s="653">
        <v>0.66527777777777775</v>
      </c>
      <c r="G156" s="654">
        <v>133.81</v>
      </c>
      <c r="H156" s="651" t="s">
        <v>499</v>
      </c>
      <c r="I156" s="654">
        <v>0</v>
      </c>
      <c r="J156" s="654">
        <v>0</v>
      </c>
      <c r="K156" s="654">
        <v>0</v>
      </c>
      <c r="L156" s="654">
        <v>58</v>
      </c>
      <c r="M156" s="655">
        <v>0.96599999999999997</v>
      </c>
    </row>
    <row r="157" spans="1:13">
      <c r="A157" s="650" t="s">
        <v>214</v>
      </c>
      <c r="B157" s="651" t="s">
        <v>439</v>
      </c>
      <c r="C157" s="652">
        <v>46317</v>
      </c>
      <c r="D157" s="653">
        <v>0.59027777777777779</v>
      </c>
      <c r="E157" s="656">
        <v>46317</v>
      </c>
      <c r="F157" s="653">
        <v>0.62361111111111112</v>
      </c>
      <c r="G157" s="654">
        <v>134</v>
      </c>
      <c r="H157" s="651" t="s">
        <v>502</v>
      </c>
      <c r="I157" s="654">
        <v>0</v>
      </c>
      <c r="J157" s="654">
        <v>0</v>
      </c>
      <c r="K157" s="654">
        <v>0</v>
      </c>
      <c r="L157" s="654">
        <v>48</v>
      </c>
      <c r="M157" s="655">
        <v>0.79900000000000004</v>
      </c>
    </row>
    <row r="158" spans="1:13" ht="25.5">
      <c r="A158" s="650" t="s">
        <v>214</v>
      </c>
      <c r="B158" s="651" t="s">
        <v>439</v>
      </c>
      <c r="C158" s="652">
        <v>46317</v>
      </c>
      <c r="D158" s="653">
        <v>0.45833333333333331</v>
      </c>
      <c r="E158" s="656">
        <v>46317</v>
      </c>
      <c r="F158" s="653">
        <v>0.58958333333333335</v>
      </c>
      <c r="G158" s="654">
        <v>134.5</v>
      </c>
      <c r="H158" s="651" t="s">
        <v>503</v>
      </c>
      <c r="I158" s="654">
        <v>0</v>
      </c>
      <c r="J158" s="654">
        <v>0</v>
      </c>
      <c r="K158" s="654">
        <v>3</v>
      </c>
      <c r="L158" s="654">
        <v>9</v>
      </c>
      <c r="M158" s="655">
        <v>3.15</v>
      </c>
    </row>
    <row r="159" spans="1:13" ht="25.5">
      <c r="A159" s="650" t="s">
        <v>214</v>
      </c>
      <c r="B159" s="651" t="s">
        <v>439</v>
      </c>
      <c r="C159" s="652">
        <v>46317</v>
      </c>
      <c r="D159" s="653">
        <v>0.29166666666666669</v>
      </c>
      <c r="E159" s="656">
        <v>46317</v>
      </c>
      <c r="F159" s="653">
        <v>0.45763888888888887</v>
      </c>
      <c r="G159" s="654">
        <v>133.69</v>
      </c>
      <c r="H159" s="651" t="s">
        <v>504</v>
      </c>
      <c r="I159" s="654">
        <v>0</v>
      </c>
      <c r="J159" s="654">
        <v>0</v>
      </c>
      <c r="K159" s="654">
        <v>3</v>
      </c>
      <c r="L159" s="654">
        <v>59</v>
      </c>
      <c r="M159" s="655">
        <v>3.9830000000000001</v>
      </c>
    </row>
    <row r="160" spans="1:13" ht="25.5">
      <c r="A160" s="650" t="s">
        <v>214</v>
      </c>
      <c r="B160" s="651" t="s">
        <v>439</v>
      </c>
      <c r="C160" s="652">
        <v>46317</v>
      </c>
      <c r="D160" s="653">
        <v>0.25</v>
      </c>
      <c r="E160" s="656">
        <v>46317</v>
      </c>
      <c r="F160" s="653">
        <v>0.29097222222222224</v>
      </c>
      <c r="G160" s="654">
        <v>133.08000000000001</v>
      </c>
      <c r="H160" s="651" t="s">
        <v>504</v>
      </c>
      <c r="I160" s="654">
        <v>0</v>
      </c>
      <c r="J160" s="654">
        <v>0</v>
      </c>
      <c r="K160" s="654">
        <v>0</v>
      </c>
      <c r="L160" s="654">
        <v>59</v>
      </c>
      <c r="M160" s="655">
        <v>0.98299999999999998</v>
      </c>
    </row>
    <row r="161" spans="1:13">
      <c r="A161" s="650" t="s">
        <v>214</v>
      </c>
      <c r="B161" s="651" t="s">
        <v>439</v>
      </c>
      <c r="C161" s="652">
        <v>46317</v>
      </c>
      <c r="D161" s="653">
        <v>0.22083333333333333</v>
      </c>
      <c r="E161" s="656">
        <v>46317</v>
      </c>
      <c r="F161" s="653">
        <v>0.24930555555555556</v>
      </c>
      <c r="G161" s="654">
        <v>132</v>
      </c>
      <c r="H161" s="651" t="s">
        <v>505</v>
      </c>
      <c r="I161" s="654">
        <v>0</v>
      </c>
      <c r="J161" s="654">
        <v>0</v>
      </c>
      <c r="K161" s="654">
        <v>0</v>
      </c>
      <c r="L161" s="654">
        <v>41</v>
      </c>
      <c r="M161" s="655">
        <v>0.68300000000000005</v>
      </c>
    </row>
    <row r="162" spans="1:13" ht="25.5">
      <c r="A162" s="650" t="s">
        <v>215</v>
      </c>
      <c r="B162" s="651" t="s">
        <v>387</v>
      </c>
      <c r="C162" s="652">
        <v>46312</v>
      </c>
      <c r="D162" s="653">
        <v>0</v>
      </c>
      <c r="E162" s="654"/>
      <c r="F162" s="654"/>
      <c r="G162" s="654"/>
      <c r="H162" s="651" t="s">
        <v>506</v>
      </c>
      <c r="I162" s="654">
        <v>0</v>
      </c>
      <c r="J162" s="654">
        <v>6</v>
      </c>
      <c r="K162" s="654">
        <v>12</v>
      </c>
      <c r="L162" s="654">
        <v>5.9</v>
      </c>
      <c r="M162" s="655">
        <v>156.09800000000001</v>
      </c>
    </row>
    <row r="163" spans="1:13">
      <c r="A163" s="650" t="s">
        <v>507</v>
      </c>
      <c r="B163" s="651" t="s">
        <v>383</v>
      </c>
      <c r="C163" s="652">
        <v>45953</v>
      </c>
      <c r="D163" s="653">
        <v>0.5</v>
      </c>
      <c r="E163" s="654"/>
      <c r="F163" s="654"/>
      <c r="G163" s="654"/>
      <c r="H163" s="651" t="s">
        <v>394</v>
      </c>
      <c r="I163" s="654">
        <v>0</v>
      </c>
      <c r="J163" s="654">
        <v>365</v>
      </c>
      <c r="K163" s="654">
        <v>0</v>
      </c>
      <c r="L163" s="654">
        <v>5.9</v>
      </c>
      <c r="M163" s="655">
        <v>8760.098</v>
      </c>
    </row>
    <row r="164" spans="1:13" ht="25.5">
      <c r="A164" s="650" t="s">
        <v>508</v>
      </c>
      <c r="B164" s="651" t="s">
        <v>383</v>
      </c>
      <c r="C164" s="652">
        <v>45115</v>
      </c>
      <c r="D164" s="653">
        <v>0.39791666666666664</v>
      </c>
      <c r="E164" s="654"/>
      <c r="F164" s="654"/>
      <c r="G164" s="654"/>
      <c r="H164" s="651" t="s">
        <v>509</v>
      </c>
      <c r="I164" s="654">
        <v>0</v>
      </c>
      <c r="J164" s="654">
        <v>1203</v>
      </c>
      <c r="K164" s="654">
        <v>2</v>
      </c>
      <c r="L164" s="654">
        <v>32.9</v>
      </c>
      <c r="M164" s="655">
        <v>28874.547999999999</v>
      </c>
    </row>
    <row r="165" spans="1:13" ht="25.5">
      <c r="A165" s="650" t="s">
        <v>220</v>
      </c>
      <c r="B165" s="651" t="s">
        <v>383</v>
      </c>
      <c r="C165" s="652">
        <v>39943</v>
      </c>
      <c r="D165" s="653">
        <v>0.74861111111111112</v>
      </c>
      <c r="E165" s="654"/>
      <c r="F165" s="654"/>
      <c r="G165" s="654"/>
      <c r="H165" s="651" t="s">
        <v>510</v>
      </c>
      <c r="I165" s="654">
        <v>0</v>
      </c>
      <c r="J165" s="654">
        <v>6374</v>
      </c>
      <c r="K165" s="654">
        <v>18</v>
      </c>
      <c r="L165" s="654">
        <v>7.9</v>
      </c>
      <c r="M165" s="655">
        <v>152994.13099999999</v>
      </c>
    </row>
    <row r="166" spans="1:13" ht="25.5">
      <c r="A166" s="650" t="s">
        <v>221</v>
      </c>
      <c r="B166" s="651" t="s">
        <v>383</v>
      </c>
      <c r="C166" s="652">
        <v>42048</v>
      </c>
      <c r="D166" s="653">
        <v>0.58958333333333335</v>
      </c>
      <c r="E166" s="654"/>
      <c r="F166" s="654"/>
      <c r="G166" s="654"/>
      <c r="H166" s="651" t="s">
        <v>511</v>
      </c>
      <c r="I166" s="654">
        <v>0</v>
      </c>
      <c r="J166" s="654">
        <v>4269</v>
      </c>
      <c r="K166" s="654">
        <v>21</v>
      </c>
      <c r="L166" s="654">
        <v>56.9</v>
      </c>
      <c r="M166" s="655">
        <v>102477.948</v>
      </c>
    </row>
    <row r="167" spans="1:13" ht="38.25">
      <c r="A167" s="650" t="s">
        <v>512</v>
      </c>
      <c r="B167" s="651" t="s">
        <v>383</v>
      </c>
      <c r="C167" s="652">
        <v>38531</v>
      </c>
      <c r="D167" s="653">
        <v>0.85</v>
      </c>
      <c r="E167" s="654"/>
      <c r="F167" s="654"/>
      <c r="G167" s="654"/>
      <c r="H167" s="651" t="s">
        <v>513</v>
      </c>
      <c r="I167" s="654">
        <v>0</v>
      </c>
      <c r="J167" s="654">
        <v>7786</v>
      </c>
      <c r="K167" s="654">
        <v>15</v>
      </c>
      <c r="L167" s="654">
        <v>41.9</v>
      </c>
      <c r="M167" s="655">
        <v>186879.698</v>
      </c>
    </row>
    <row r="168" spans="1:13">
      <c r="A168" s="650" t="s">
        <v>514</v>
      </c>
      <c r="B168" s="651" t="s">
        <v>383</v>
      </c>
      <c r="C168" s="652">
        <v>38353</v>
      </c>
      <c r="D168" s="653">
        <v>0</v>
      </c>
      <c r="E168" s="654"/>
      <c r="F168" s="654"/>
      <c r="G168" s="654"/>
      <c r="H168" s="651" t="s">
        <v>515</v>
      </c>
      <c r="I168" s="654">
        <v>0</v>
      </c>
      <c r="J168" s="654">
        <v>7965</v>
      </c>
      <c r="K168" s="654">
        <v>12</v>
      </c>
      <c r="L168" s="654">
        <v>5.9</v>
      </c>
      <c r="M168" s="655">
        <v>191172.098</v>
      </c>
    </row>
    <row r="169" spans="1:13" ht="38.25">
      <c r="A169" s="650" t="s">
        <v>516</v>
      </c>
      <c r="B169" s="651" t="s">
        <v>383</v>
      </c>
      <c r="C169" s="652">
        <v>46143</v>
      </c>
      <c r="D169" s="653">
        <v>0</v>
      </c>
      <c r="E169" s="654"/>
      <c r="F169" s="654"/>
      <c r="G169" s="654"/>
      <c r="H169" s="651" t="s">
        <v>517</v>
      </c>
      <c r="I169" s="654">
        <v>0</v>
      </c>
      <c r="J169" s="654">
        <v>175</v>
      </c>
      <c r="K169" s="654">
        <v>12</v>
      </c>
      <c r="L169" s="654">
        <v>5.9</v>
      </c>
      <c r="M169" s="655">
        <v>4212.098</v>
      </c>
    </row>
    <row r="170" spans="1:13" ht="38.25">
      <c r="A170" s="650" t="s">
        <v>518</v>
      </c>
      <c r="B170" s="651" t="s">
        <v>383</v>
      </c>
      <c r="C170" s="652">
        <v>46143</v>
      </c>
      <c r="D170" s="653">
        <v>0</v>
      </c>
      <c r="E170" s="654"/>
      <c r="F170" s="654"/>
      <c r="G170" s="654"/>
      <c r="H170" s="651" t="s">
        <v>517</v>
      </c>
      <c r="I170" s="654">
        <v>0</v>
      </c>
      <c r="J170" s="654">
        <v>175</v>
      </c>
      <c r="K170" s="654">
        <v>12</v>
      </c>
      <c r="L170" s="654">
        <v>5.9</v>
      </c>
      <c r="M170" s="655">
        <v>4212.098</v>
      </c>
    </row>
    <row r="171" spans="1:13">
      <c r="A171" s="650" t="s">
        <v>519</v>
      </c>
      <c r="B171" s="651" t="s">
        <v>439</v>
      </c>
      <c r="C171" s="652">
        <v>46317</v>
      </c>
      <c r="D171" s="653">
        <v>0.84375</v>
      </c>
      <c r="E171" s="656">
        <v>46317</v>
      </c>
      <c r="F171" s="653">
        <v>0.85347222222222219</v>
      </c>
      <c r="G171" s="654">
        <v>16.170000000000002</v>
      </c>
      <c r="H171" s="651" t="s">
        <v>499</v>
      </c>
      <c r="I171" s="654">
        <v>0</v>
      </c>
      <c r="J171" s="654">
        <v>0</v>
      </c>
      <c r="K171" s="654">
        <v>0</v>
      </c>
      <c r="L171" s="654">
        <v>14</v>
      </c>
      <c r="M171" s="655">
        <v>0.23300000000000001</v>
      </c>
    </row>
    <row r="172" spans="1:13">
      <c r="A172" s="650" t="s">
        <v>519</v>
      </c>
      <c r="B172" s="651" t="s">
        <v>439</v>
      </c>
      <c r="C172" s="652">
        <v>46317</v>
      </c>
      <c r="D172" s="653">
        <v>0.83333333333333337</v>
      </c>
      <c r="E172" s="656">
        <v>46317</v>
      </c>
      <c r="F172" s="653">
        <v>0.84305555555555556</v>
      </c>
      <c r="G172" s="654">
        <v>15.94</v>
      </c>
      <c r="H172" s="651" t="s">
        <v>499</v>
      </c>
      <c r="I172" s="654">
        <v>0</v>
      </c>
      <c r="J172" s="654">
        <v>0</v>
      </c>
      <c r="K172" s="654">
        <v>0</v>
      </c>
      <c r="L172" s="654">
        <v>14</v>
      </c>
      <c r="M172" s="655">
        <v>0.23300000000000001</v>
      </c>
    </row>
    <row r="173" spans="1:13">
      <c r="A173" s="650" t="s">
        <v>519</v>
      </c>
      <c r="B173" s="651" t="s">
        <v>439</v>
      </c>
      <c r="C173" s="652">
        <v>46317</v>
      </c>
      <c r="D173" s="653">
        <v>0.82291666666666663</v>
      </c>
      <c r="E173" s="656">
        <v>46317</v>
      </c>
      <c r="F173" s="653">
        <v>0.83263888888888893</v>
      </c>
      <c r="G173" s="654">
        <v>16.13</v>
      </c>
      <c r="H173" s="651" t="s">
        <v>499</v>
      </c>
      <c r="I173" s="654">
        <v>0</v>
      </c>
      <c r="J173" s="654">
        <v>0</v>
      </c>
      <c r="K173" s="654">
        <v>0</v>
      </c>
      <c r="L173" s="654">
        <v>14</v>
      </c>
      <c r="M173" s="655">
        <v>0.23300000000000001</v>
      </c>
    </row>
    <row r="174" spans="1:13">
      <c r="A174" s="650" t="s">
        <v>519</v>
      </c>
      <c r="B174" s="651" t="s">
        <v>439</v>
      </c>
      <c r="C174" s="652">
        <v>46317</v>
      </c>
      <c r="D174" s="653">
        <v>0.8125</v>
      </c>
      <c r="E174" s="656">
        <v>46317</v>
      </c>
      <c r="F174" s="653">
        <v>0.82222222222222219</v>
      </c>
      <c r="G174" s="654">
        <v>16.010000000000002</v>
      </c>
      <c r="H174" s="651" t="s">
        <v>499</v>
      </c>
      <c r="I174" s="654">
        <v>0</v>
      </c>
      <c r="J174" s="654">
        <v>0</v>
      </c>
      <c r="K174" s="654">
        <v>0</v>
      </c>
      <c r="L174" s="654">
        <v>14</v>
      </c>
      <c r="M174" s="655">
        <v>0.23300000000000001</v>
      </c>
    </row>
    <row r="175" spans="1:13">
      <c r="A175" s="650" t="s">
        <v>519</v>
      </c>
      <c r="B175" s="651" t="s">
        <v>439</v>
      </c>
      <c r="C175" s="652">
        <v>46317</v>
      </c>
      <c r="D175" s="653">
        <v>0.80208333333333337</v>
      </c>
      <c r="E175" s="656">
        <v>46317</v>
      </c>
      <c r="F175" s="653">
        <v>0.81180555555555556</v>
      </c>
      <c r="G175" s="654">
        <v>16.2</v>
      </c>
      <c r="H175" s="651" t="s">
        <v>499</v>
      </c>
      <c r="I175" s="654">
        <v>0</v>
      </c>
      <c r="J175" s="654">
        <v>0</v>
      </c>
      <c r="K175" s="654">
        <v>0</v>
      </c>
      <c r="L175" s="654">
        <v>14</v>
      </c>
      <c r="M175" s="655">
        <v>0.23300000000000001</v>
      </c>
    </row>
    <row r="176" spans="1:13">
      <c r="A176" s="650" t="s">
        <v>519</v>
      </c>
      <c r="B176" s="651" t="s">
        <v>439</v>
      </c>
      <c r="C176" s="652">
        <v>46317</v>
      </c>
      <c r="D176" s="653">
        <v>0.79166666666666663</v>
      </c>
      <c r="E176" s="656">
        <v>46317</v>
      </c>
      <c r="F176" s="653">
        <v>0.80138888888888893</v>
      </c>
      <c r="G176" s="654">
        <v>15.96</v>
      </c>
      <c r="H176" s="651" t="s">
        <v>499</v>
      </c>
      <c r="I176" s="654">
        <v>0</v>
      </c>
      <c r="J176" s="654">
        <v>0</v>
      </c>
      <c r="K176" s="654">
        <v>0</v>
      </c>
      <c r="L176" s="654">
        <v>14</v>
      </c>
      <c r="M176" s="655">
        <v>0.23300000000000001</v>
      </c>
    </row>
    <row r="177" spans="1:13">
      <c r="A177" s="650" t="s">
        <v>519</v>
      </c>
      <c r="B177" s="651" t="s">
        <v>439</v>
      </c>
      <c r="C177" s="652">
        <v>46317</v>
      </c>
      <c r="D177" s="653">
        <v>0.78125</v>
      </c>
      <c r="E177" s="656">
        <v>46317</v>
      </c>
      <c r="F177" s="653">
        <v>0.79097222222222219</v>
      </c>
      <c r="G177" s="654">
        <v>16.149999999999999</v>
      </c>
      <c r="H177" s="651" t="s">
        <v>499</v>
      </c>
      <c r="I177" s="654">
        <v>0</v>
      </c>
      <c r="J177" s="654">
        <v>0</v>
      </c>
      <c r="K177" s="654">
        <v>0</v>
      </c>
      <c r="L177" s="654">
        <v>14</v>
      </c>
      <c r="M177" s="655">
        <v>0.23300000000000001</v>
      </c>
    </row>
    <row r="178" spans="1:13">
      <c r="A178" s="650" t="s">
        <v>519</v>
      </c>
      <c r="B178" s="651" t="s">
        <v>439</v>
      </c>
      <c r="C178" s="652">
        <v>46317</v>
      </c>
      <c r="D178" s="653">
        <v>0.77083333333333337</v>
      </c>
      <c r="E178" s="656">
        <v>46317</v>
      </c>
      <c r="F178" s="653">
        <v>0.78055555555555556</v>
      </c>
      <c r="G178" s="654">
        <v>16.14</v>
      </c>
      <c r="H178" s="651" t="s">
        <v>499</v>
      </c>
      <c r="I178" s="654">
        <v>0</v>
      </c>
      <c r="J178" s="654">
        <v>0</v>
      </c>
      <c r="K178" s="654">
        <v>0</v>
      </c>
      <c r="L178" s="654">
        <v>14</v>
      </c>
      <c r="M178" s="655">
        <v>0.23300000000000001</v>
      </c>
    </row>
    <row r="179" spans="1:13">
      <c r="A179" s="650" t="s">
        <v>519</v>
      </c>
      <c r="B179" s="651" t="s">
        <v>439</v>
      </c>
      <c r="C179" s="652">
        <v>46317</v>
      </c>
      <c r="D179" s="653">
        <v>0.76041666666666663</v>
      </c>
      <c r="E179" s="656">
        <v>46317</v>
      </c>
      <c r="F179" s="653">
        <v>0.77013888888888893</v>
      </c>
      <c r="G179" s="654">
        <v>16.03</v>
      </c>
      <c r="H179" s="651" t="s">
        <v>499</v>
      </c>
      <c r="I179" s="654">
        <v>0</v>
      </c>
      <c r="J179" s="654">
        <v>0</v>
      </c>
      <c r="K179" s="654">
        <v>0</v>
      </c>
      <c r="L179" s="654">
        <v>14</v>
      </c>
      <c r="M179" s="655">
        <v>0.23300000000000001</v>
      </c>
    </row>
    <row r="180" spans="1:13">
      <c r="A180" s="650" t="s">
        <v>519</v>
      </c>
      <c r="B180" s="651" t="s">
        <v>439</v>
      </c>
      <c r="C180" s="652">
        <v>46317</v>
      </c>
      <c r="D180" s="653">
        <v>0.75</v>
      </c>
      <c r="E180" s="656">
        <v>46317</v>
      </c>
      <c r="F180" s="653">
        <v>0.75972222222222219</v>
      </c>
      <c r="G180" s="654">
        <v>15.99</v>
      </c>
      <c r="H180" s="651" t="s">
        <v>499</v>
      </c>
      <c r="I180" s="654">
        <v>0</v>
      </c>
      <c r="J180" s="654">
        <v>0</v>
      </c>
      <c r="K180" s="654">
        <v>0</v>
      </c>
      <c r="L180" s="654">
        <v>14</v>
      </c>
      <c r="M180" s="655">
        <v>0.23300000000000001</v>
      </c>
    </row>
    <row r="181" spans="1:13">
      <c r="A181" s="650" t="s">
        <v>519</v>
      </c>
      <c r="B181" s="651" t="s">
        <v>439</v>
      </c>
      <c r="C181" s="652">
        <v>46317</v>
      </c>
      <c r="D181" s="653">
        <v>0.70833333333333337</v>
      </c>
      <c r="E181" s="656">
        <v>46317</v>
      </c>
      <c r="F181" s="653">
        <v>0.74930555555555556</v>
      </c>
      <c r="G181" s="654">
        <v>15.71</v>
      </c>
      <c r="H181" s="651" t="s">
        <v>499</v>
      </c>
      <c r="I181" s="654">
        <v>0</v>
      </c>
      <c r="J181" s="654">
        <v>0</v>
      </c>
      <c r="K181" s="654">
        <v>0</v>
      </c>
      <c r="L181" s="654">
        <v>59</v>
      </c>
      <c r="M181" s="655">
        <v>0.98299999999999998</v>
      </c>
    </row>
    <row r="182" spans="1:13">
      <c r="A182" s="650" t="s">
        <v>519</v>
      </c>
      <c r="B182" s="651" t="s">
        <v>439</v>
      </c>
      <c r="C182" s="652">
        <v>46317</v>
      </c>
      <c r="D182" s="653">
        <v>0.66666666666666663</v>
      </c>
      <c r="E182" s="656">
        <v>46317</v>
      </c>
      <c r="F182" s="653">
        <v>0.70763888888888893</v>
      </c>
      <c r="G182" s="654">
        <v>15.27</v>
      </c>
      <c r="H182" s="651" t="s">
        <v>499</v>
      </c>
      <c r="I182" s="654">
        <v>0</v>
      </c>
      <c r="J182" s="654">
        <v>0</v>
      </c>
      <c r="K182" s="654">
        <v>0</v>
      </c>
      <c r="L182" s="654">
        <v>59</v>
      </c>
      <c r="M182" s="655">
        <v>0.98299999999999998</v>
      </c>
    </row>
    <row r="183" spans="1:13">
      <c r="A183" s="650" t="s">
        <v>519</v>
      </c>
      <c r="B183" s="651" t="s">
        <v>439</v>
      </c>
      <c r="C183" s="652">
        <v>46317</v>
      </c>
      <c r="D183" s="653">
        <v>0.625</v>
      </c>
      <c r="E183" s="656">
        <v>46317</v>
      </c>
      <c r="F183" s="653">
        <v>0.66597222222222219</v>
      </c>
      <c r="G183" s="654">
        <v>15.5</v>
      </c>
      <c r="H183" s="651" t="s">
        <v>499</v>
      </c>
      <c r="I183" s="654">
        <v>0</v>
      </c>
      <c r="J183" s="654">
        <v>0</v>
      </c>
      <c r="K183" s="654">
        <v>0</v>
      </c>
      <c r="L183" s="654">
        <v>59</v>
      </c>
      <c r="M183" s="655">
        <v>0.98299999999999998</v>
      </c>
    </row>
    <row r="184" spans="1:13">
      <c r="A184" s="650" t="s">
        <v>519</v>
      </c>
      <c r="B184" s="651" t="s">
        <v>439</v>
      </c>
      <c r="C184" s="652">
        <v>46317</v>
      </c>
      <c r="D184" s="653">
        <v>0.60763888888888884</v>
      </c>
      <c r="E184" s="656">
        <v>46317</v>
      </c>
      <c r="F184" s="653">
        <v>0.62430555555555556</v>
      </c>
      <c r="G184" s="654">
        <v>15.6</v>
      </c>
      <c r="H184" s="651" t="s">
        <v>520</v>
      </c>
      <c r="I184" s="654">
        <v>0</v>
      </c>
      <c r="J184" s="654">
        <v>0</v>
      </c>
      <c r="K184" s="654">
        <v>0</v>
      </c>
      <c r="L184" s="654">
        <v>24</v>
      </c>
      <c r="M184" s="655">
        <v>0.4</v>
      </c>
    </row>
    <row r="185" spans="1:13">
      <c r="A185" s="650" t="s">
        <v>519</v>
      </c>
      <c r="B185" s="651" t="s">
        <v>439</v>
      </c>
      <c r="C185" s="652">
        <v>46317</v>
      </c>
      <c r="D185" s="653">
        <v>0.4375</v>
      </c>
      <c r="E185" s="656">
        <v>46317</v>
      </c>
      <c r="F185" s="653">
        <v>0.6069444444444444</v>
      </c>
      <c r="G185" s="654">
        <v>15.86</v>
      </c>
      <c r="H185" s="651" t="s">
        <v>499</v>
      </c>
      <c r="I185" s="654">
        <v>0</v>
      </c>
      <c r="J185" s="654">
        <v>0</v>
      </c>
      <c r="K185" s="654">
        <v>4</v>
      </c>
      <c r="L185" s="654">
        <v>4</v>
      </c>
      <c r="M185" s="655">
        <v>4.0659999999999998</v>
      </c>
    </row>
    <row r="186" spans="1:13">
      <c r="A186" s="650" t="s">
        <v>519</v>
      </c>
      <c r="B186" s="651" t="s">
        <v>439</v>
      </c>
      <c r="C186" s="652">
        <v>46317</v>
      </c>
      <c r="D186" s="653">
        <v>0.42708333333333331</v>
      </c>
      <c r="E186" s="656">
        <v>46317</v>
      </c>
      <c r="F186" s="653">
        <v>0.43680555555555556</v>
      </c>
      <c r="G186" s="654">
        <v>15.68</v>
      </c>
      <c r="H186" s="651" t="s">
        <v>499</v>
      </c>
      <c r="I186" s="654">
        <v>0</v>
      </c>
      <c r="J186" s="654">
        <v>0</v>
      </c>
      <c r="K186" s="654">
        <v>0</v>
      </c>
      <c r="L186" s="654">
        <v>14</v>
      </c>
      <c r="M186" s="655">
        <v>0.23300000000000001</v>
      </c>
    </row>
    <row r="187" spans="1:13">
      <c r="A187" s="650" t="s">
        <v>519</v>
      </c>
      <c r="B187" s="651" t="s">
        <v>439</v>
      </c>
      <c r="C187" s="652">
        <v>46317</v>
      </c>
      <c r="D187" s="653">
        <v>0.41666666666666669</v>
      </c>
      <c r="E187" s="656">
        <v>46317</v>
      </c>
      <c r="F187" s="653">
        <v>0.42638888888888887</v>
      </c>
      <c r="G187" s="654">
        <v>16.190000000000001</v>
      </c>
      <c r="H187" s="651" t="s">
        <v>499</v>
      </c>
      <c r="I187" s="654">
        <v>0</v>
      </c>
      <c r="J187" s="654">
        <v>0</v>
      </c>
      <c r="K187" s="654">
        <v>0</v>
      </c>
      <c r="L187" s="654">
        <v>14</v>
      </c>
      <c r="M187" s="655">
        <v>0.23300000000000001</v>
      </c>
    </row>
    <row r="188" spans="1:13">
      <c r="A188" s="650" t="s">
        <v>519</v>
      </c>
      <c r="B188" s="651" t="s">
        <v>439</v>
      </c>
      <c r="C188" s="652">
        <v>46317</v>
      </c>
      <c r="D188" s="653">
        <v>0.375</v>
      </c>
      <c r="E188" s="656">
        <v>46317</v>
      </c>
      <c r="F188" s="653">
        <v>0.41597222222222224</v>
      </c>
      <c r="G188" s="654">
        <v>15.54</v>
      </c>
      <c r="H188" s="651" t="s">
        <v>499</v>
      </c>
      <c r="I188" s="654">
        <v>0</v>
      </c>
      <c r="J188" s="654">
        <v>0</v>
      </c>
      <c r="K188" s="654">
        <v>0</v>
      </c>
      <c r="L188" s="654">
        <v>59</v>
      </c>
      <c r="M188" s="655">
        <v>0.98299999999999998</v>
      </c>
    </row>
    <row r="189" spans="1:13">
      <c r="A189" s="650" t="s">
        <v>519</v>
      </c>
      <c r="B189" s="651" t="s">
        <v>439</v>
      </c>
      <c r="C189" s="652">
        <v>46317</v>
      </c>
      <c r="D189" s="653">
        <v>0.34097222222222223</v>
      </c>
      <c r="E189" s="656">
        <v>46317</v>
      </c>
      <c r="F189" s="653">
        <v>0.37430555555555556</v>
      </c>
      <c r="G189" s="654">
        <v>15.7</v>
      </c>
      <c r="H189" s="651" t="s">
        <v>521</v>
      </c>
      <c r="I189" s="654">
        <v>0</v>
      </c>
      <c r="J189" s="654">
        <v>0</v>
      </c>
      <c r="K189" s="654">
        <v>0</v>
      </c>
      <c r="L189" s="654">
        <v>48</v>
      </c>
      <c r="M189" s="655">
        <v>0.79900000000000004</v>
      </c>
    </row>
    <row r="190" spans="1:13" ht="25.5">
      <c r="A190" s="650" t="s">
        <v>228</v>
      </c>
      <c r="B190" s="651" t="s">
        <v>387</v>
      </c>
      <c r="C190" s="652">
        <v>46316</v>
      </c>
      <c r="D190" s="653">
        <v>6.9444444444444447E-4</v>
      </c>
      <c r="E190" s="654"/>
      <c r="F190" s="654"/>
      <c r="G190" s="654"/>
      <c r="H190" s="651" t="s">
        <v>522</v>
      </c>
      <c r="I190" s="654">
        <v>0</v>
      </c>
      <c r="J190" s="654">
        <v>2</v>
      </c>
      <c r="K190" s="654">
        <v>12</v>
      </c>
      <c r="L190" s="654">
        <v>4.9000000000000004</v>
      </c>
      <c r="M190" s="655">
        <v>60.081000000000003</v>
      </c>
    </row>
    <row r="191" spans="1:13">
      <c r="A191" s="650" t="s">
        <v>188</v>
      </c>
      <c r="B191" s="651" t="s">
        <v>383</v>
      </c>
      <c r="C191" s="652">
        <v>41421</v>
      </c>
      <c r="D191" s="653">
        <v>0.38958333333333334</v>
      </c>
      <c r="E191" s="654"/>
      <c r="F191" s="654"/>
      <c r="G191" s="654"/>
      <c r="H191" s="651" t="s">
        <v>523</v>
      </c>
      <c r="I191" s="654">
        <v>0</v>
      </c>
      <c r="J191" s="654">
        <v>4897</v>
      </c>
      <c r="K191" s="654">
        <v>2</v>
      </c>
      <c r="L191" s="654">
        <v>44.9</v>
      </c>
      <c r="M191" s="655">
        <v>117530.74800000001</v>
      </c>
    </row>
    <row r="192" spans="1:13">
      <c r="A192" s="650" t="s">
        <v>524</v>
      </c>
      <c r="B192" s="651" t="s">
        <v>383</v>
      </c>
      <c r="C192" s="652">
        <v>39334</v>
      </c>
      <c r="D192" s="653">
        <v>0.1388888888888889</v>
      </c>
      <c r="E192" s="654"/>
      <c r="F192" s="654"/>
      <c r="G192" s="654"/>
      <c r="H192" s="651" t="s">
        <v>525</v>
      </c>
      <c r="I192" s="654">
        <v>0</v>
      </c>
      <c r="J192" s="654">
        <v>6984</v>
      </c>
      <c r="K192" s="654">
        <v>8</v>
      </c>
      <c r="L192" s="654">
        <v>45.9</v>
      </c>
      <c r="M192" s="655">
        <v>167624.76500000001</v>
      </c>
    </row>
    <row r="193" spans="1:13">
      <c r="A193" s="650" t="s">
        <v>183</v>
      </c>
      <c r="B193" s="651" t="s">
        <v>383</v>
      </c>
      <c r="C193" s="652">
        <v>46161</v>
      </c>
      <c r="D193" s="653">
        <v>0</v>
      </c>
      <c r="E193" s="654"/>
      <c r="F193" s="654"/>
      <c r="G193" s="654"/>
      <c r="H193" s="651" t="s">
        <v>526</v>
      </c>
      <c r="I193" s="654">
        <v>0</v>
      </c>
      <c r="J193" s="654">
        <v>157</v>
      </c>
      <c r="K193" s="654">
        <v>12</v>
      </c>
      <c r="L193" s="654">
        <v>5.9</v>
      </c>
      <c r="M193" s="655">
        <v>3780.098</v>
      </c>
    </row>
    <row r="194" spans="1:13">
      <c r="A194" s="650" t="s">
        <v>184</v>
      </c>
      <c r="B194" s="651" t="s">
        <v>383</v>
      </c>
      <c r="C194" s="652">
        <v>46267</v>
      </c>
      <c r="D194" s="653">
        <v>0.54166666666666663</v>
      </c>
      <c r="E194" s="654"/>
      <c r="F194" s="654"/>
      <c r="G194" s="654"/>
      <c r="H194" s="651" t="s">
        <v>527</v>
      </c>
      <c r="I194" s="654">
        <v>0</v>
      </c>
      <c r="J194" s="654">
        <v>50</v>
      </c>
      <c r="K194" s="654">
        <v>23</v>
      </c>
      <c r="L194" s="654">
        <v>5.9</v>
      </c>
      <c r="M194" s="655">
        <v>1223.098</v>
      </c>
    </row>
    <row r="195" spans="1:13" ht="25.5">
      <c r="A195" s="650" t="s">
        <v>186</v>
      </c>
      <c r="B195" s="651" t="s">
        <v>387</v>
      </c>
      <c r="C195" s="652">
        <v>46309</v>
      </c>
      <c r="D195" s="653">
        <v>6.9444444444444447E-4</v>
      </c>
      <c r="E195" s="654"/>
      <c r="F195" s="654"/>
      <c r="G195" s="654"/>
      <c r="H195" s="651" t="s">
        <v>528</v>
      </c>
      <c r="I195" s="654">
        <v>0</v>
      </c>
      <c r="J195" s="654">
        <v>9</v>
      </c>
      <c r="K195" s="654">
        <v>12</v>
      </c>
      <c r="L195" s="654">
        <v>4.9000000000000004</v>
      </c>
      <c r="M195" s="655">
        <v>228.08099999999999</v>
      </c>
    </row>
    <row r="196" spans="1:13">
      <c r="A196" s="650" t="s">
        <v>529</v>
      </c>
      <c r="B196" s="651" t="s">
        <v>383</v>
      </c>
      <c r="C196" s="652">
        <v>44142</v>
      </c>
      <c r="D196" s="653">
        <v>0.75069444444444444</v>
      </c>
      <c r="E196" s="654"/>
      <c r="F196" s="654"/>
      <c r="G196" s="654"/>
      <c r="H196" s="651" t="s">
        <v>530</v>
      </c>
      <c r="I196" s="654">
        <v>0</v>
      </c>
      <c r="J196" s="654">
        <v>2175</v>
      </c>
      <c r="K196" s="654">
        <v>18</v>
      </c>
      <c r="L196" s="654">
        <v>4.9000000000000004</v>
      </c>
      <c r="M196" s="655">
        <v>52218.080999999998</v>
      </c>
    </row>
    <row r="197" spans="1:13">
      <c r="A197" s="650" t="s">
        <v>531</v>
      </c>
      <c r="B197" s="651" t="s">
        <v>383</v>
      </c>
      <c r="C197" s="652">
        <v>46161</v>
      </c>
      <c r="D197" s="653">
        <v>0.54166666666666663</v>
      </c>
      <c r="E197" s="654"/>
      <c r="F197" s="654"/>
      <c r="G197" s="654"/>
      <c r="H197" s="651" t="s">
        <v>394</v>
      </c>
      <c r="I197" s="654">
        <v>0</v>
      </c>
      <c r="J197" s="654">
        <v>156</v>
      </c>
      <c r="K197" s="654">
        <v>23</v>
      </c>
      <c r="L197" s="654">
        <v>5.9</v>
      </c>
      <c r="M197" s="655">
        <v>3767.098</v>
      </c>
    </row>
    <row r="198" spans="1:13">
      <c r="A198" s="650" t="s">
        <v>532</v>
      </c>
      <c r="B198" s="651" t="s">
        <v>476</v>
      </c>
      <c r="C198" s="652">
        <v>46317</v>
      </c>
      <c r="D198" s="653">
        <v>0.65902777777777777</v>
      </c>
      <c r="E198" s="656">
        <v>46317</v>
      </c>
      <c r="F198" s="653">
        <v>0.66666666666666663</v>
      </c>
      <c r="G198" s="654"/>
      <c r="H198" s="651" t="s">
        <v>533</v>
      </c>
      <c r="I198" s="654">
        <v>0</v>
      </c>
      <c r="J198" s="654">
        <v>0</v>
      </c>
      <c r="K198" s="654">
        <v>0</v>
      </c>
      <c r="L198" s="654">
        <v>11</v>
      </c>
      <c r="M198" s="655">
        <v>0.183</v>
      </c>
    </row>
    <row r="199" spans="1:13" ht="25.5">
      <c r="A199" s="650" t="s">
        <v>534</v>
      </c>
      <c r="B199" s="651" t="s">
        <v>383</v>
      </c>
      <c r="C199" s="652">
        <v>46312</v>
      </c>
      <c r="D199" s="653">
        <v>0.96250000000000002</v>
      </c>
      <c r="E199" s="654"/>
      <c r="F199" s="654"/>
      <c r="G199" s="654"/>
      <c r="H199" s="651" t="s">
        <v>535</v>
      </c>
      <c r="I199" s="654">
        <v>0</v>
      </c>
      <c r="J199" s="654">
        <v>5</v>
      </c>
      <c r="K199" s="654">
        <v>12</v>
      </c>
      <c r="L199" s="654">
        <v>59.9</v>
      </c>
      <c r="M199" s="655">
        <v>132.99799999999999</v>
      </c>
    </row>
    <row r="200" spans="1:13">
      <c r="A200" s="650" t="s">
        <v>536</v>
      </c>
      <c r="B200" s="651" t="s">
        <v>476</v>
      </c>
      <c r="C200" s="652">
        <v>46317</v>
      </c>
      <c r="D200" s="653">
        <v>0.65902777777777777</v>
      </c>
      <c r="E200" s="656">
        <v>46317</v>
      </c>
      <c r="F200" s="653">
        <v>0.66666666666666663</v>
      </c>
      <c r="G200" s="654"/>
      <c r="H200" s="651" t="s">
        <v>533</v>
      </c>
      <c r="I200" s="654">
        <v>0</v>
      </c>
      <c r="J200" s="654">
        <v>0</v>
      </c>
      <c r="K200" s="654">
        <v>0</v>
      </c>
      <c r="L200" s="654">
        <v>11</v>
      </c>
      <c r="M200" s="655">
        <v>0.183</v>
      </c>
    </row>
    <row r="201" spans="1:13">
      <c r="A201" s="650" t="s">
        <v>537</v>
      </c>
      <c r="B201" s="651" t="s">
        <v>476</v>
      </c>
      <c r="C201" s="652">
        <v>46317</v>
      </c>
      <c r="D201" s="653">
        <v>0.65902777777777777</v>
      </c>
      <c r="E201" s="656">
        <v>46317</v>
      </c>
      <c r="F201" s="653">
        <v>0.66666666666666663</v>
      </c>
      <c r="G201" s="654"/>
      <c r="H201" s="651" t="s">
        <v>533</v>
      </c>
      <c r="I201" s="654">
        <v>0</v>
      </c>
      <c r="J201" s="654">
        <v>0</v>
      </c>
      <c r="K201" s="654">
        <v>0</v>
      </c>
      <c r="L201" s="654">
        <v>11</v>
      </c>
      <c r="M201" s="655">
        <v>0.183</v>
      </c>
    </row>
    <row r="202" spans="1:13" ht="25.5">
      <c r="A202" s="650" t="s">
        <v>538</v>
      </c>
      <c r="B202" s="651" t="s">
        <v>383</v>
      </c>
      <c r="C202" s="652">
        <v>45803</v>
      </c>
      <c r="D202" s="653">
        <v>0</v>
      </c>
      <c r="E202" s="654"/>
      <c r="F202" s="654"/>
      <c r="G202" s="654"/>
      <c r="H202" s="651" t="s">
        <v>539</v>
      </c>
      <c r="I202" s="654">
        <v>0</v>
      </c>
      <c r="J202" s="654">
        <v>515</v>
      </c>
      <c r="K202" s="654">
        <v>12</v>
      </c>
      <c r="L202" s="654">
        <v>5.9</v>
      </c>
      <c r="M202" s="655">
        <v>12372.098</v>
      </c>
    </row>
    <row r="203" spans="1:13" ht="25.5">
      <c r="A203" s="650" t="s">
        <v>540</v>
      </c>
      <c r="B203" s="651" t="s">
        <v>383</v>
      </c>
      <c r="C203" s="652">
        <v>45803</v>
      </c>
      <c r="D203" s="653">
        <v>0</v>
      </c>
      <c r="E203" s="654"/>
      <c r="F203" s="654"/>
      <c r="G203" s="654"/>
      <c r="H203" s="651" t="s">
        <v>539</v>
      </c>
      <c r="I203" s="654">
        <v>0</v>
      </c>
      <c r="J203" s="654">
        <v>515</v>
      </c>
      <c r="K203" s="654">
        <v>12</v>
      </c>
      <c r="L203" s="654">
        <v>5.9</v>
      </c>
      <c r="M203" s="655">
        <v>12372.098</v>
      </c>
    </row>
    <row r="204" spans="1:13">
      <c r="A204" s="650" t="s">
        <v>541</v>
      </c>
      <c r="B204" s="651" t="s">
        <v>383</v>
      </c>
      <c r="C204" s="652">
        <v>45398</v>
      </c>
      <c r="D204" s="653">
        <v>4.1666666666666666E-3</v>
      </c>
      <c r="E204" s="654"/>
      <c r="F204" s="654"/>
      <c r="G204" s="654"/>
      <c r="H204" s="651" t="s">
        <v>542</v>
      </c>
      <c r="I204" s="654">
        <v>0</v>
      </c>
      <c r="J204" s="654">
        <v>920</v>
      </c>
      <c r="K204" s="654">
        <v>11</v>
      </c>
      <c r="L204" s="654">
        <v>59.9</v>
      </c>
      <c r="M204" s="655">
        <v>22091.998</v>
      </c>
    </row>
    <row r="205" spans="1:13" ht="25.5">
      <c r="A205" s="650" t="s">
        <v>207</v>
      </c>
      <c r="B205" s="651" t="s">
        <v>387</v>
      </c>
      <c r="C205" s="652">
        <v>46304</v>
      </c>
      <c r="D205" s="653">
        <v>6.9444444444444447E-4</v>
      </c>
      <c r="E205" s="654"/>
      <c r="F205" s="654"/>
      <c r="G205" s="654"/>
      <c r="H205" s="651" t="s">
        <v>543</v>
      </c>
      <c r="I205" s="654">
        <v>0</v>
      </c>
      <c r="J205" s="654">
        <v>14</v>
      </c>
      <c r="K205" s="654">
        <v>12</v>
      </c>
      <c r="L205" s="654">
        <v>4.9000000000000004</v>
      </c>
      <c r="M205" s="655">
        <v>348.08100000000002</v>
      </c>
    </row>
    <row r="206" spans="1:13">
      <c r="A206" s="650" t="s">
        <v>177</v>
      </c>
      <c r="B206" s="651" t="s">
        <v>383</v>
      </c>
      <c r="C206" s="652">
        <v>42134</v>
      </c>
      <c r="D206" s="653">
        <v>0.63541666666666663</v>
      </c>
      <c r="E206" s="654"/>
      <c r="F206" s="654"/>
      <c r="G206" s="654"/>
      <c r="H206" s="651" t="s">
        <v>544</v>
      </c>
      <c r="I206" s="654">
        <v>0</v>
      </c>
      <c r="J206" s="654">
        <v>4183</v>
      </c>
      <c r="K206" s="654">
        <v>20</v>
      </c>
      <c r="L206" s="654">
        <v>50.9</v>
      </c>
      <c r="M206" s="655">
        <v>100412.848</v>
      </c>
    </row>
    <row r="207" spans="1:13" ht="25.5">
      <c r="A207" s="650" t="s">
        <v>178</v>
      </c>
      <c r="B207" s="651" t="s">
        <v>383</v>
      </c>
      <c r="C207" s="652">
        <v>46315</v>
      </c>
      <c r="D207" s="653">
        <v>0</v>
      </c>
      <c r="E207" s="654"/>
      <c r="F207" s="654"/>
      <c r="G207" s="654"/>
      <c r="H207" s="651" t="s">
        <v>545</v>
      </c>
      <c r="I207" s="654">
        <v>0</v>
      </c>
      <c r="J207" s="654">
        <v>3</v>
      </c>
      <c r="K207" s="654">
        <v>12</v>
      </c>
      <c r="L207" s="654">
        <v>5.9</v>
      </c>
      <c r="M207" s="655">
        <v>84.097999999999999</v>
      </c>
    </row>
    <row r="208" spans="1:13" ht="38.25">
      <c r="A208" s="650" t="s">
        <v>546</v>
      </c>
      <c r="B208" s="651" t="s">
        <v>383</v>
      </c>
      <c r="C208" s="652">
        <v>42341</v>
      </c>
      <c r="D208" s="653">
        <v>0.29166666666666669</v>
      </c>
      <c r="E208" s="654"/>
      <c r="F208" s="654"/>
      <c r="G208" s="654"/>
      <c r="H208" s="651" t="s">
        <v>547</v>
      </c>
      <c r="I208" s="654">
        <v>0</v>
      </c>
      <c r="J208" s="654">
        <v>3977</v>
      </c>
      <c r="K208" s="654">
        <v>5</v>
      </c>
      <c r="L208" s="654">
        <v>5.9</v>
      </c>
      <c r="M208" s="655">
        <v>95453.097999999998</v>
      </c>
    </row>
    <row r="209" spans="1:13" ht="25.5">
      <c r="A209" s="650" t="s">
        <v>548</v>
      </c>
      <c r="B209" s="651" t="s">
        <v>383</v>
      </c>
      <c r="C209" s="652">
        <v>46154</v>
      </c>
      <c r="D209" s="653">
        <v>0.3840277777777778</v>
      </c>
      <c r="E209" s="654"/>
      <c r="F209" s="654"/>
      <c r="G209" s="654"/>
      <c r="H209" s="651" t="s">
        <v>549</v>
      </c>
      <c r="I209" s="654">
        <v>0</v>
      </c>
      <c r="J209" s="654">
        <v>164</v>
      </c>
      <c r="K209" s="654">
        <v>2</v>
      </c>
      <c r="L209" s="654">
        <v>52.9</v>
      </c>
      <c r="M209" s="655">
        <v>3938.8809999999999</v>
      </c>
    </row>
    <row r="210" spans="1:13">
      <c r="A210" s="650" t="s">
        <v>550</v>
      </c>
      <c r="B210" s="651" t="s">
        <v>383</v>
      </c>
      <c r="C210" s="652">
        <v>46153</v>
      </c>
      <c r="D210" s="653">
        <v>0.47569444444444442</v>
      </c>
      <c r="E210" s="654"/>
      <c r="F210" s="654"/>
      <c r="G210" s="654"/>
      <c r="H210" s="651" t="s">
        <v>551</v>
      </c>
      <c r="I210" s="654">
        <v>0</v>
      </c>
      <c r="J210" s="654">
        <v>165</v>
      </c>
      <c r="K210" s="654">
        <v>0</v>
      </c>
      <c r="L210" s="654">
        <v>40.9</v>
      </c>
      <c r="M210" s="655">
        <v>3960.681</v>
      </c>
    </row>
    <row r="211" spans="1:13" ht="25.5">
      <c r="A211" s="650" t="s">
        <v>552</v>
      </c>
      <c r="B211" s="651" t="s">
        <v>383</v>
      </c>
      <c r="C211" s="652">
        <v>41953</v>
      </c>
      <c r="D211" s="653">
        <v>0</v>
      </c>
      <c r="E211" s="654"/>
      <c r="F211" s="654"/>
      <c r="G211" s="654"/>
      <c r="H211" s="651" t="s">
        <v>553</v>
      </c>
      <c r="I211" s="654">
        <v>0</v>
      </c>
      <c r="J211" s="654">
        <v>4365</v>
      </c>
      <c r="K211" s="654">
        <v>12</v>
      </c>
      <c r="L211" s="654">
        <v>5.9</v>
      </c>
      <c r="M211" s="655">
        <v>104772.098</v>
      </c>
    </row>
    <row r="212" spans="1:13" ht="25.5">
      <c r="A212" s="650" t="s">
        <v>554</v>
      </c>
      <c r="B212" s="651" t="s">
        <v>383</v>
      </c>
      <c r="C212" s="652">
        <v>41953</v>
      </c>
      <c r="D212" s="653">
        <v>0</v>
      </c>
      <c r="E212" s="654"/>
      <c r="F212" s="654"/>
      <c r="G212" s="654"/>
      <c r="H212" s="651" t="s">
        <v>553</v>
      </c>
      <c r="I212" s="654">
        <v>0</v>
      </c>
      <c r="J212" s="654">
        <v>4365</v>
      </c>
      <c r="K212" s="654">
        <v>12</v>
      </c>
      <c r="L212" s="654">
        <v>5.9</v>
      </c>
      <c r="M212" s="655">
        <v>104772.098</v>
      </c>
    </row>
    <row r="213" spans="1:13" ht="25.5">
      <c r="A213" s="650" t="s">
        <v>555</v>
      </c>
      <c r="B213" s="651" t="s">
        <v>383</v>
      </c>
      <c r="C213" s="652">
        <v>41953</v>
      </c>
      <c r="D213" s="653">
        <v>0</v>
      </c>
      <c r="E213" s="654"/>
      <c r="F213" s="654"/>
      <c r="G213" s="654"/>
      <c r="H213" s="651" t="s">
        <v>553</v>
      </c>
      <c r="I213" s="654">
        <v>0</v>
      </c>
      <c r="J213" s="654">
        <v>4365</v>
      </c>
      <c r="K213" s="654">
        <v>12</v>
      </c>
      <c r="L213" s="654">
        <v>5.9</v>
      </c>
      <c r="M213" s="655">
        <v>104772.098</v>
      </c>
    </row>
    <row r="214" spans="1:13" ht="25.5">
      <c r="A214" s="650" t="s">
        <v>556</v>
      </c>
      <c r="B214" s="651" t="s">
        <v>383</v>
      </c>
      <c r="C214" s="652">
        <v>41953</v>
      </c>
      <c r="D214" s="653">
        <v>0</v>
      </c>
      <c r="E214" s="654"/>
      <c r="F214" s="654"/>
      <c r="G214" s="654"/>
      <c r="H214" s="651" t="s">
        <v>553</v>
      </c>
      <c r="I214" s="654">
        <v>0</v>
      </c>
      <c r="J214" s="654">
        <v>4365</v>
      </c>
      <c r="K214" s="654">
        <v>12</v>
      </c>
      <c r="L214" s="654">
        <v>5.9</v>
      </c>
      <c r="M214" s="655">
        <v>104772.098</v>
      </c>
    </row>
    <row r="215" spans="1:13" ht="25.5">
      <c r="A215" s="650" t="s">
        <v>557</v>
      </c>
      <c r="B215" s="651" t="s">
        <v>383</v>
      </c>
      <c r="C215" s="652">
        <v>41953</v>
      </c>
      <c r="D215" s="653">
        <v>0</v>
      </c>
      <c r="E215" s="654"/>
      <c r="F215" s="654"/>
      <c r="G215" s="654"/>
      <c r="H215" s="651" t="s">
        <v>553</v>
      </c>
      <c r="I215" s="654">
        <v>0</v>
      </c>
      <c r="J215" s="654">
        <v>4365</v>
      </c>
      <c r="K215" s="654">
        <v>12</v>
      </c>
      <c r="L215" s="654">
        <v>5.9</v>
      </c>
      <c r="M215" s="655">
        <v>104772.098</v>
      </c>
    </row>
    <row r="216" spans="1:13" ht="25.5">
      <c r="A216" s="650" t="s">
        <v>558</v>
      </c>
      <c r="B216" s="651" t="s">
        <v>383</v>
      </c>
      <c r="C216" s="652">
        <v>41953</v>
      </c>
      <c r="D216" s="653">
        <v>0</v>
      </c>
      <c r="E216" s="654"/>
      <c r="F216" s="654"/>
      <c r="G216" s="654"/>
      <c r="H216" s="651" t="s">
        <v>553</v>
      </c>
      <c r="I216" s="654">
        <v>0</v>
      </c>
      <c r="J216" s="654">
        <v>4365</v>
      </c>
      <c r="K216" s="654">
        <v>12</v>
      </c>
      <c r="L216" s="654">
        <v>5.9</v>
      </c>
      <c r="M216" s="655">
        <v>104772.098</v>
      </c>
    </row>
    <row r="217" spans="1:13" ht="25.5">
      <c r="A217" s="650" t="s">
        <v>559</v>
      </c>
      <c r="B217" s="651" t="s">
        <v>383</v>
      </c>
      <c r="C217" s="652">
        <v>41953</v>
      </c>
      <c r="D217" s="653">
        <v>0</v>
      </c>
      <c r="E217" s="654"/>
      <c r="F217" s="654"/>
      <c r="G217" s="654"/>
      <c r="H217" s="651" t="s">
        <v>553</v>
      </c>
      <c r="I217" s="654">
        <v>0</v>
      </c>
      <c r="J217" s="654">
        <v>4365</v>
      </c>
      <c r="K217" s="654">
        <v>12</v>
      </c>
      <c r="L217" s="654">
        <v>5.9</v>
      </c>
      <c r="M217" s="655">
        <v>104772.098</v>
      </c>
    </row>
    <row r="218" spans="1:13" ht="25.5">
      <c r="A218" s="650" t="s">
        <v>560</v>
      </c>
      <c r="B218" s="651" t="s">
        <v>383</v>
      </c>
      <c r="C218" s="652">
        <v>41953</v>
      </c>
      <c r="D218" s="653">
        <v>0</v>
      </c>
      <c r="E218" s="654"/>
      <c r="F218" s="654"/>
      <c r="G218" s="654"/>
      <c r="H218" s="651" t="s">
        <v>553</v>
      </c>
      <c r="I218" s="654">
        <v>0</v>
      </c>
      <c r="J218" s="654">
        <v>4365</v>
      </c>
      <c r="K218" s="654">
        <v>12</v>
      </c>
      <c r="L218" s="654">
        <v>5.9</v>
      </c>
      <c r="M218" s="655">
        <v>104772.098</v>
      </c>
    </row>
    <row r="219" spans="1:13" ht="25.5">
      <c r="A219" s="650" t="s">
        <v>561</v>
      </c>
      <c r="B219" s="651" t="s">
        <v>383</v>
      </c>
      <c r="C219" s="652">
        <v>41953</v>
      </c>
      <c r="D219" s="653">
        <v>0</v>
      </c>
      <c r="E219" s="654"/>
      <c r="F219" s="654"/>
      <c r="G219" s="654"/>
      <c r="H219" s="651" t="s">
        <v>553</v>
      </c>
      <c r="I219" s="654">
        <v>0</v>
      </c>
      <c r="J219" s="654">
        <v>4365</v>
      </c>
      <c r="K219" s="654">
        <v>12</v>
      </c>
      <c r="L219" s="654">
        <v>5.9</v>
      </c>
      <c r="M219" s="655">
        <v>104772.098</v>
      </c>
    </row>
    <row r="220" spans="1:13" ht="25.5">
      <c r="A220" s="650" t="s">
        <v>562</v>
      </c>
      <c r="B220" s="651" t="s">
        <v>383</v>
      </c>
      <c r="C220" s="652">
        <v>46154</v>
      </c>
      <c r="D220" s="653">
        <v>0.3840277777777778</v>
      </c>
      <c r="E220" s="654"/>
      <c r="F220" s="654"/>
      <c r="G220" s="654"/>
      <c r="H220" s="651" t="s">
        <v>549</v>
      </c>
      <c r="I220" s="654">
        <v>0</v>
      </c>
      <c r="J220" s="654">
        <v>164</v>
      </c>
      <c r="K220" s="654">
        <v>2</v>
      </c>
      <c r="L220" s="654">
        <v>52.9</v>
      </c>
      <c r="M220" s="655">
        <v>3938.8809999999999</v>
      </c>
    </row>
    <row r="221" spans="1:13" ht="25.5">
      <c r="A221" s="650" t="s">
        <v>563</v>
      </c>
      <c r="B221" s="651" t="s">
        <v>383</v>
      </c>
      <c r="C221" s="652">
        <v>41953</v>
      </c>
      <c r="D221" s="653">
        <v>0</v>
      </c>
      <c r="E221" s="654"/>
      <c r="F221" s="654"/>
      <c r="G221" s="654"/>
      <c r="H221" s="651" t="s">
        <v>553</v>
      </c>
      <c r="I221" s="654">
        <v>0</v>
      </c>
      <c r="J221" s="654">
        <v>4365</v>
      </c>
      <c r="K221" s="654">
        <v>12</v>
      </c>
      <c r="L221" s="654">
        <v>5.9</v>
      </c>
      <c r="M221" s="655">
        <v>104772.098</v>
      </c>
    </row>
    <row r="222" spans="1:13" ht="25.5">
      <c r="A222" s="650" t="s">
        <v>564</v>
      </c>
      <c r="B222" s="651" t="s">
        <v>383</v>
      </c>
      <c r="C222" s="652">
        <v>46154</v>
      </c>
      <c r="D222" s="653">
        <v>0.3840277777777778</v>
      </c>
      <c r="E222" s="654"/>
      <c r="F222" s="654"/>
      <c r="G222" s="654"/>
      <c r="H222" s="651" t="s">
        <v>549</v>
      </c>
      <c r="I222" s="654">
        <v>0</v>
      </c>
      <c r="J222" s="654">
        <v>164</v>
      </c>
      <c r="K222" s="654">
        <v>2</v>
      </c>
      <c r="L222" s="654">
        <v>52.9</v>
      </c>
      <c r="M222" s="655">
        <v>3938.8809999999999</v>
      </c>
    </row>
    <row r="223" spans="1:13" ht="25.5">
      <c r="A223" s="650" t="s">
        <v>565</v>
      </c>
      <c r="B223" s="651" t="s">
        <v>383</v>
      </c>
      <c r="C223" s="652">
        <v>46154</v>
      </c>
      <c r="D223" s="653">
        <v>0.3840277777777778</v>
      </c>
      <c r="E223" s="654"/>
      <c r="F223" s="654"/>
      <c r="G223" s="654"/>
      <c r="H223" s="651" t="s">
        <v>549</v>
      </c>
      <c r="I223" s="654">
        <v>0</v>
      </c>
      <c r="J223" s="654">
        <v>164</v>
      </c>
      <c r="K223" s="654">
        <v>2</v>
      </c>
      <c r="L223" s="654">
        <v>52.9</v>
      </c>
      <c r="M223" s="655">
        <v>3938.8809999999999</v>
      </c>
    </row>
    <row r="224" spans="1:13">
      <c r="A224" s="650" t="s">
        <v>566</v>
      </c>
      <c r="B224" s="651" t="s">
        <v>383</v>
      </c>
      <c r="C224" s="652">
        <v>46153</v>
      </c>
      <c r="D224" s="653">
        <v>0.47569444444444442</v>
      </c>
      <c r="E224" s="654"/>
      <c r="F224" s="654"/>
      <c r="G224" s="654"/>
      <c r="H224" s="651" t="s">
        <v>551</v>
      </c>
      <c r="I224" s="654">
        <v>0</v>
      </c>
      <c r="J224" s="654">
        <v>165</v>
      </c>
      <c r="K224" s="654">
        <v>0</v>
      </c>
      <c r="L224" s="654">
        <v>40.9</v>
      </c>
      <c r="M224" s="655">
        <v>3960.681</v>
      </c>
    </row>
    <row r="225" spans="1:13">
      <c r="A225" s="650" t="s">
        <v>567</v>
      </c>
      <c r="B225" s="651" t="s">
        <v>383</v>
      </c>
      <c r="C225" s="652">
        <v>46153</v>
      </c>
      <c r="D225" s="653">
        <v>0.47569444444444442</v>
      </c>
      <c r="E225" s="654"/>
      <c r="F225" s="654"/>
      <c r="G225" s="654"/>
      <c r="H225" s="651" t="s">
        <v>551</v>
      </c>
      <c r="I225" s="654">
        <v>0</v>
      </c>
      <c r="J225" s="654">
        <v>165</v>
      </c>
      <c r="K225" s="654">
        <v>0</v>
      </c>
      <c r="L225" s="654">
        <v>40.9</v>
      </c>
      <c r="M225" s="655">
        <v>3960.681</v>
      </c>
    </row>
    <row r="226" spans="1:13">
      <c r="A226" s="650" t="s">
        <v>568</v>
      </c>
      <c r="B226" s="651" t="s">
        <v>383</v>
      </c>
      <c r="C226" s="652">
        <v>46153</v>
      </c>
      <c r="D226" s="653">
        <v>0.47569444444444442</v>
      </c>
      <c r="E226" s="654"/>
      <c r="F226" s="654"/>
      <c r="G226" s="654"/>
      <c r="H226" s="651" t="s">
        <v>551</v>
      </c>
      <c r="I226" s="654">
        <v>0</v>
      </c>
      <c r="J226" s="654">
        <v>165</v>
      </c>
      <c r="K226" s="654">
        <v>0</v>
      </c>
      <c r="L226" s="654">
        <v>40.9</v>
      </c>
      <c r="M226" s="655">
        <v>3960.681</v>
      </c>
    </row>
    <row r="227" spans="1:13">
      <c r="A227" s="650" t="s">
        <v>569</v>
      </c>
      <c r="B227" s="651" t="s">
        <v>383</v>
      </c>
      <c r="C227" s="652">
        <v>46153</v>
      </c>
      <c r="D227" s="653">
        <v>0.47569444444444442</v>
      </c>
      <c r="E227" s="654"/>
      <c r="F227" s="654"/>
      <c r="G227" s="654"/>
      <c r="H227" s="651" t="s">
        <v>551</v>
      </c>
      <c r="I227" s="654">
        <v>0</v>
      </c>
      <c r="J227" s="654">
        <v>165</v>
      </c>
      <c r="K227" s="654">
        <v>0</v>
      </c>
      <c r="L227" s="654">
        <v>40.9</v>
      </c>
      <c r="M227" s="655">
        <v>3960.681</v>
      </c>
    </row>
    <row r="228" spans="1:13">
      <c r="A228" s="650" t="s">
        <v>570</v>
      </c>
      <c r="B228" s="651" t="s">
        <v>383</v>
      </c>
      <c r="C228" s="652">
        <v>46153</v>
      </c>
      <c r="D228" s="653">
        <v>0.47569444444444442</v>
      </c>
      <c r="E228" s="654"/>
      <c r="F228" s="654"/>
      <c r="G228" s="654"/>
      <c r="H228" s="651" t="s">
        <v>551</v>
      </c>
      <c r="I228" s="654">
        <v>0</v>
      </c>
      <c r="J228" s="654">
        <v>165</v>
      </c>
      <c r="K228" s="654">
        <v>0</v>
      </c>
      <c r="L228" s="654">
        <v>40.9</v>
      </c>
      <c r="M228" s="655">
        <v>3960.681</v>
      </c>
    </row>
    <row r="229" spans="1:13">
      <c r="A229" s="650" t="s">
        <v>571</v>
      </c>
      <c r="B229" s="651" t="s">
        <v>383</v>
      </c>
      <c r="C229" s="652">
        <v>42961</v>
      </c>
      <c r="D229" s="653">
        <v>0.74652777777777779</v>
      </c>
      <c r="E229" s="654"/>
      <c r="F229" s="654"/>
      <c r="G229" s="654"/>
      <c r="H229" s="651" t="s">
        <v>572</v>
      </c>
      <c r="I229" s="654">
        <v>0</v>
      </c>
      <c r="J229" s="654">
        <v>3356</v>
      </c>
      <c r="K229" s="654">
        <v>18</v>
      </c>
      <c r="L229" s="654">
        <v>10.9</v>
      </c>
      <c r="M229" s="655">
        <v>80562.180999999997</v>
      </c>
    </row>
    <row r="230" spans="1:13">
      <c r="A230" s="650" t="s">
        <v>573</v>
      </c>
      <c r="B230" s="651" t="s">
        <v>383</v>
      </c>
      <c r="C230" s="652">
        <v>42961</v>
      </c>
      <c r="D230" s="653">
        <v>0.74652777777777779</v>
      </c>
      <c r="E230" s="654"/>
      <c r="F230" s="654"/>
      <c r="G230" s="654"/>
      <c r="H230" s="651" t="s">
        <v>572</v>
      </c>
      <c r="I230" s="654">
        <v>0</v>
      </c>
      <c r="J230" s="654">
        <v>3356</v>
      </c>
      <c r="K230" s="654">
        <v>18</v>
      </c>
      <c r="L230" s="654">
        <v>10.9</v>
      </c>
      <c r="M230" s="655">
        <v>80562.180999999997</v>
      </c>
    </row>
    <row r="231" spans="1:13">
      <c r="A231" s="650" t="s">
        <v>574</v>
      </c>
      <c r="B231" s="651" t="s">
        <v>383</v>
      </c>
      <c r="C231" s="652">
        <v>42961</v>
      </c>
      <c r="D231" s="653">
        <v>0.74652777777777779</v>
      </c>
      <c r="E231" s="654"/>
      <c r="F231" s="654"/>
      <c r="G231" s="654"/>
      <c r="H231" s="651" t="s">
        <v>572</v>
      </c>
      <c r="I231" s="654">
        <v>0</v>
      </c>
      <c r="J231" s="654">
        <v>3356</v>
      </c>
      <c r="K231" s="654">
        <v>18</v>
      </c>
      <c r="L231" s="654">
        <v>10.9</v>
      </c>
      <c r="M231" s="655">
        <v>80562.180999999997</v>
      </c>
    </row>
    <row r="232" spans="1:13">
      <c r="A232" s="650" t="s">
        <v>575</v>
      </c>
      <c r="B232" s="651" t="s">
        <v>383</v>
      </c>
      <c r="C232" s="652">
        <v>42961</v>
      </c>
      <c r="D232" s="653">
        <v>0.74652777777777779</v>
      </c>
      <c r="E232" s="654"/>
      <c r="F232" s="654"/>
      <c r="G232" s="654"/>
      <c r="H232" s="651" t="s">
        <v>572</v>
      </c>
      <c r="I232" s="654">
        <v>0</v>
      </c>
      <c r="J232" s="654">
        <v>3356</v>
      </c>
      <c r="K232" s="654">
        <v>18</v>
      </c>
      <c r="L232" s="654">
        <v>10.9</v>
      </c>
      <c r="M232" s="655">
        <v>80562.180999999997</v>
      </c>
    </row>
    <row r="233" spans="1:13">
      <c r="A233" s="650" t="s">
        <v>576</v>
      </c>
      <c r="B233" s="651" t="s">
        <v>383</v>
      </c>
      <c r="C233" s="652">
        <v>42961</v>
      </c>
      <c r="D233" s="653">
        <v>0.74652777777777779</v>
      </c>
      <c r="E233" s="654"/>
      <c r="F233" s="654"/>
      <c r="G233" s="654"/>
      <c r="H233" s="651" t="s">
        <v>572</v>
      </c>
      <c r="I233" s="654">
        <v>0</v>
      </c>
      <c r="J233" s="654">
        <v>3356</v>
      </c>
      <c r="K233" s="654">
        <v>18</v>
      </c>
      <c r="L233" s="654">
        <v>10.9</v>
      </c>
      <c r="M233" s="655">
        <v>80562.180999999997</v>
      </c>
    </row>
    <row r="234" spans="1:13">
      <c r="A234" s="650" t="s">
        <v>577</v>
      </c>
      <c r="B234" s="651" t="s">
        <v>383</v>
      </c>
      <c r="C234" s="652">
        <v>42961</v>
      </c>
      <c r="D234" s="653">
        <v>0.74652777777777779</v>
      </c>
      <c r="E234" s="654"/>
      <c r="F234" s="654"/>
      <c r="G234" s="654"/>
      <c r="H234" s="651" t="s">
        <v>572</v>
      </c>
      <c r="I234" s="654">
        <v>0</v>
      </c>
      <c r="J234" s="654">
        <v>3356</v>
      </c>
      <c r="K234" s="654">
        <v>18</v>
      </c>
      <c r="L234" s="654">
        <v>10.9</v>
      </c>
      <c r="M234" s="655">
        <v>80562.180999999997</v>
      </c>
    </row>
    <row r="235" spans="1:13">
      <c r="A235" s="650" t="s">
        <v>578</v>
      </c>
      <c r="B235" s="651" t="s">
        <v>383</v>
      </c>
      <c r="C235" s="652">
        <v>42961</v>
      </c>
      <c r="D235" s="653">
        <v>0.74652777777777779</v>
      </c>
      <c r="E235" s="654"/>
      <c r="F235" s="654"/>
      <c r="G235" s="654"/>
      <c r="H235" s="651" t="s">
        <v>572</v>
      </c>
      <c r="I235" s="654">
        <v>0</v>
      </c>
      <c r="J235" s="654">
        <v>3356</v>
      </c>
      <c r="K235" s="654">
        <v>18</v>
      </c>
      <c r="L235" s="654">
        <v>10.9</v>
      </c>
      <c r="M235" s="655">
        <v>80562.180999999997</v>
      </c>
    </row>
    <row r="236" spans="1:13">
      <c r="A236" s="650" t="s">
        <v>579</v>
      </c>
      <c r="B236" s="651" t="s">
        <v>383</v>
      </c>
      <c r="C236" s="652">
        <v>46314</v>
      </c>
      <c r="D236" s="653">
        <v>1.9444444444444445E-2</v>
      </c>
      <c r="E236" s="654"/>
      <c r="F236" s="654"/>
      <c r="G236" s="654"/>
      <c r="H236" s="651" t="s">
        <v>580</v>
      </c>
      <c r="I236" s="654">
        <v>0</v>
      </c>
      <c r="J236" s="654">
        <v>4</v>
      </c>
      <c r="K236" s="654">
        <v>11</v>
      </c>
      <c r="L236" s="654">
        <v>37.9</v>
      </c>
      <c r="M236" s="655">
        <v>107.631</v>
      </c>
    </row>
    <row r="237" spans="1:13">
      <c r="A237" s="650" t="s">
        <v>581</v>
      </c>
      <c r="B237" s="651" t="s">
        <v>383</v>
      </c>
      <c r="C237" s="652">
        <v>46314</v>
      </c>
      <c r="D237" s="653">
        <v>1.9444444444444445E-2</v>
      </c>
      <c r="E237" s="654"/>
      <c r="F237" s="654"/>
      <c r="G237" s="654"/>
      <c r="H237" s="651" t="s">
        <v>580</v>
      </c>
      <c r="I237" s="654">
        <v>0</v>
      </c>
      <c r="J237" s="654">
        <v>4</v>
      </c>
      <c r="K237" s="654">
        <v>11</v>
      </c>
      <c r="L237" s="654">
        <v>37.9</v>
      </c>
      <c r="M237" s="655">
        <v>107.631</v>
      </c>
    </row>
    <row r="238" spans="1:13">
      <c r="A238" s="650" t="s">
        <v>582</v>
      </c>
      <c r="B238" s="651" t="s">
        <v>476</v>
      </c>
      <c r="C238" s="652">
        <v>46317</v>
      </c>
      <c r="D238" s="653">
        <v>0.67569444444444449</v>
      </c>
      <c r="E238" s="656">
        <v>46317</v>
      </c>
      <c r="F238" s="653">
        <v>0.68263888888888891</v>
      </c>
      <c r="G238" s="654"/>
      <c r="H238" s="651" t="s">
        <v>583</v>
      </c>
      <c r="I238" s="654">
        <v>0</v>
      </c>
      <c r="J238" s="654">
        <v>0</v>
      </c>
      <c r="K238" s="654">
        <v>0</v>
      </c>
      <c r="L238" s="654">
        <v>10</v>
      </c>
      <c r="M238" s="655">
        <v>0.16600000000000001</v>
      </c>
    </row>
    <row r="239" spans="1:13" ht="38.25">
      <c r="A239" s="650" t="s">
        <v>584</v>
      </c>
      <c r="B239" s="651" t="s">
        <v>383</v>
      </c>
      <c r="C239" s="652">
        <v>43895</v>
      </c>
      <c r="D239" s="653">
        <v>0.74930555555555556</v>
      </c>
      <c r="E239" s="654"/>
      <c r="F239" s="654"/>
      <c r="G239" s="654"/>
      <c r="H239" s="651" t="s">
        <v>585</v>
      </c>
      <c r="I239" s="654">
        <v>0</v>
      </c>
      <c r="J239" s="654">
        <v>2422</v>
      </c>
      <c r="K239" s="654">
        <v>18</v>
      </c>
      <c r="L239" s="654">
        <v>6.9</v>
      </c>
      <c r="M239" s="655">
        <v>58146.114999999998</v>
      </c>
    </row>
    <row r="240" spans="1:13" ht="25.5">
      <c r="A240" s="650" t="s">
        <v>586</v>
      </c>
      <c r="B240" s="651" t="s">
        <v>387</v>
      </c>
      <c r="C240" s="652">
        <v>46174</v>
      </c>
      <c r="D240" s="653">
        <v>0.36180555555555555</v>
      </c>
      <c r="E240" s="654"/>
      <c r="F240" s="654"/>
      <c r="G240" s="654"/>
      <c r="H240" s="651" t="s">
        <v>587</v>
      </c>
      <c r="I240" s="654">
        <v>0</v>
      </c>
      <c r="J240" s="654">
        <v>144</v>
      </c>
      <c r="K240" s="654">
        <v>3</v>
      </c>
      <c r="L240" s="654">
        <v>24.9</v>
      </c>
      <c r="M240" s="655">
        <v>3459.415</v>
      </c>
    </row>
    <row r="241" spans="1:13" ht="38.25">
      <c r="A241" s="650" t="s">
        <v>191</v>
      </c>
      <c r="B241" s="651" t="s">
        <v>387</v>
      </c>
      <c r="C241" s="652">
        <v>46295</v>
      </c>
      <c r="D241" s="653">
        <v>4.027777777777778E-2</v>
      </c>
      <c r="E241" s="654"/>
      <c r="F241" s="654"/>
      <c r="G241" s="654"/>
      <c r="H241" s="651" t="s">
        <v>588</v>
      </c>
      <c r="I241" s="654">
        <v>0</v>
      </c>
      <c r="J241" s="654">
        <v>23</v>
      </c>
      <c r="K241" s="654">
        <v>11</v>
      </c>
      <c r="L241" s="654">
        <v>7.9</v>
      </c>
      <c r="M241" s="655">
        <v>563.13099999999997</v>
      </c>
    </row>
    <row r="242" spans="1:13" ht="38.25">
      <c r="A242" s="650" t="s">
        <v>195</v>
      </c>
      <c r="B242" s="651" t="s">
        <v>383</v>
      </c>
      <c r="C242" s="652">
        <v>40262</v>
      </c>
      <c r="D242" s="653">
        <v>0.5625</v>
      </c>
      <c r="E242" s="654"/>
      <c r="F242" s="654"/>
      <c r="G242" s="654"/>
      <c r="H242" s="651" t="s">
        <v>589</v>
      </c>
      <c r="I242" s="654">
        <v>0</v>
      </c>
      <c r="J242" s="654">
        <v>6055</v>
      </c>
      <c r="K242" s="654">
        <v>22</v>
      </c>
      <c r="L242" s="654">
        <v>35.9</v>
      </c>
      <c r="M242" s="655">
        <v>145342.598</v>
      </c>
    </row>
    <row r="243" spans="1:13">
      <c r="A243" s="650" t="s">
        <v>590</v>
      </c>
      <c r="B243" s="651" t="s">
        <v>383</v>
      </c>
      <c r="C243" s="652">
        <v>42125</v>
      </c>
      <c r="D243" s="653">
        <v>0</v>
      </c>
      <c r="E243" s="654"/>
      <c r="F243" s="654"/>
      <c r="G243" s="654"/>
      <c r="H243" s="651" t="s">
        <v>591</v>
      </c>
      <c r="I243" s="654">
        <v>0</v>
      </c>
      <c r="J243" s="654">
        <v>4193</v>
      </c>
      <c r="K243" s="654">
        <v>12</v>
      </c>
      <c r="L243" s="654">
        <v>5.9</v>
      </c>
      <c r="M243" s="655">
        <v>100644.098</v>
      </c>
    </row>
    <row r="244" spans="1:13">
      <c r="A244" s="650" t="s">
        <v>592</v>
      </c>
      <c r="B244" s="651" t="s">
        <v>383</v>
      </c>
      <c r="C244" s="652">
        <v>42125</v>
      </c>
      <c r="D244" s="653">
        <v>0</v>
      </c>
      <c r="E244" s="654"/>
      <c r="F244" s="654"/>
      <c r="G244" s="654"/>
      <c r="H244" s="651" t="s">
        <v>591</v>
      </c>
      <c r="I244" s="654">
        <v>0</v>
      </c>
      <c r="J244" s="654">
        <v>4193</v>
      </c>
      <c r="K244" s="654">
        <v>12</v>
      </c>
      <c r="L244" s="654">
        <v>5.9</v>
      </c>
      <c r="M244" s="655">
        <v>100644.098</v>
      </c>
    </row>
    <row r="245" spans="1:13">
      <c r="A245" s="650" t="s">
        <v>593</v>
      </c>
      <c r="B245" s="651" t="s">
        <v>383</v>
      </c>
      <c r="C245" s="652">
        <v>42125</v>
      </c>
      <c r="D245" s="653">
        <v>0</v>
      </c>
      <c r="E245" s="654"/>
      <c r="F245" s="654"/>
      <c r="G245" s="654"/>
      <c r="H245" s="651" t="s">
        <v>591</v>
      </c>
      <c r="I245" s="654">
        <v>0</v>
      </c>
      <c r="J245" s="654">
        <v>4193</v>
      </c>
      <c r="K245" s="654">
        <v>12</v>
      </c>
      <c r="L245" s="654">
        <v>5.9</v>
      </c>
      <c r="M245" s="655">
        <v>100644.098</v>
      </c>
    </row>
    <row r="246" spans="1:13">
      <c r="A246" s="650" t="s">
        <v>594</v>
      </c>
      <c r="B246" s="651" t="s">
        <v>383</v>
      </c>
      <c r="C246" s="652">
        <v>42125</v>
      </c>
      <c r="D246" s="653">
        <v>0</v>
      </c>
      <c r="E246" s="654"/>
      <c r="F246" s="654"/>
      <c r="G246" s="654"/>
      <c r="H246" s="651" t="s">
        <v>591</v>
      </c>
      <c r="I246" s="654">
        <v>0</v>
      </c>
      <c r="J246" s="654">
        <v>4193</v>
      </c>
      <c r="K246" s="654">
        <v>12</v>
      </c>
      <c r="L246" s="654">
        <v>5.9</v>
      </c>
      <c r="M246" s="655">
        <v>100644.098</v>
      </c>
    </row>
    <row r="247" spans="1:13">
      <c r="A247" s="650" t="s">
        <v>595</v>
      </c>
      <c r="B247" s="651" t="s">
        <v>383</v>
      </c>
      <c r="C247" s="652">
        <v>42125</v>
      </c>
      <c r="D247" s="653">
        <v>0</v>
      </c>
      <c r="E247" s="654"/>
      <c r="F247" s="654"/>
      <c r="G247" s="654"/>
      <c r="H247" s="651" t="s">
        <v>591</v>
      </c>
      <c r="I247" s="654">
        <v>0</v>
      </c>
      <c r="J247" s="654">
        <v>4193</v>
      </c>
      <c r="K247" s="654">
        <v>12</v>
      </c>
      <c r="L247" s="654">
        <v>5.9</v>
      </c>
      <c r="M247" s="655">
        <v>100644.098</v>
      </c>
    </row>
    <row r="248" spans="1:13">
      <c r="A248" s="650" t="s">
        <v>596</v>
      </c>
      <c r="B248" s="651" t="s">
        <v>383</v>
      </c>
      <c r="C248" s="652">
        <v>42125</v>
      </c>
      <c r="D248" s="653">
        <v>0</v>
      </c>
      <c r="E248" s="654"/>
      <c r="F248" s="654"/>
      <c r="G248" s="654"/>
      <c r="H248" s="651" t="s">
        <v>591</v>
      </c>
      <c r="I248" s="654">
        <v>0</v>
      </c>
      <c r="J248" s="654">
        <v>4193</v>
      </c>
      <c r="K248" s="654">
        <v>12</v>
      </c>
      <c r="L248" s="654">
        <v>5.9</v>
      </c>
      <c r="M248" s="655">
        <v>100644.098</v>
      </c>
    </row>
    <row r="249" spans="1:13">
      <c r="A249" s="650" t="s">
        <v>597</v>
      </c>
      <c r="B249" s="651" t="s">
        <v>383</v>
      </c>
      <c r="C249" s="652">
        <v>42125</v>
      </c>
      <c r="D249" s="653">
        <v>0</v>
      </c>
      <c r="E249" s="654"/>
      <c r="F249" s="654"/>
      <c r="G249" s="654"/>
      <c r="H249" s="651" t="s">
        <v>591</v>
      </c>
      <c r="I249" s="654">
        <v>0</v>
      </c>
      <c r="J249" s="654">
        <v>4193</v>
      </c>
      <c r="K249" s="654">
        <v>12</v>
      </c>
      <c r="L249" s="654">
        <v>5.9</v>
      </c>
      <c r="M249" s="655">
        <v>100644.098</v>
      </c>
    </row>
    <row r="250" spans="1:13">
      <c r="A250" s="650" t="s">
        <v>598</v>
      </c>
      <c r="B250" s="651" t="s">
        <v>383</v>
      </c>
      <c r="C250" s="652">
        <v>42125</v>
      </c>
      <c r="D250" s="653">
        <v>0</v>
      </c>
      <c r="E250" s="654"/>
      <c r="F250" s="654"/>
      <c r="G250" s="654"/>
      <c r="H250" s="651" t="s">
        <v>591</v>
      </c>
      <c r="I250" s="654">
        <v>0</v>
      </c>
      <c r="J250" s="654">
        <v>4193</v>
      </c>
      <c r="K250" s="654">
        <v>12</v>
      </c>
      <c r="L250" s="654">
        <v>5.9</v>
      </c>
      <c r="M250" s="655">
        <v>100644.098</v>
      </c>
    </row>
    <row r="251" spans="1:13">
      <c r="A251" s="650" t="s">
        <v>599</v>
      </c>
      <c r="B251" s="651" t="s">
        <v>383</v>
      </c>
      <c r="C251" s="652">
        <v>42125</v>
      </c>
      <c r="D251" s="653">
        <v>0</v>
      </c>
      <c r="E251" s="654"/>
      <c r="F251" s="654"/>
      <c r="G251" s="654"/>
      <c r="H251" s="651" t="s">
        <v>591</v>
      </c>
      <c r="I251" s="654">
        <v>0</v>
      </c>
      <c r="J251" s="654">
        <v>4193</v>
      </c>
      <c r="K251" s="654">
        <v>12</v>
      </c>
      <c r="L251" s="654">
        <v>5.9</v>
      </c>
      <c r="M251" s="655">
        <v>100644.098</v>
      </c>
    </row>
    <row r="252" spans="1:13">
      <c r="A252" s="650" t="s">
        <v>600</v>
      </c>
      <c r="B252" s="651" t="s">
        <v>383</v>
      </c>
      <c r="C252" s="652">
        <v>42125</v>
      </c>
      <c r="D252" s="653">
        <v>0</v>
      </c>
      <c r="E252" s="654"/>
      <c r="F252" s="654"/>
      <c r="G252" s="654"/>
      <c r="H252" s="651" t="s">
        <v>591</v>
      </c>
      <c r="I252" s="654">
        <v>0</v>
      </c>
      <c r="J252" s="654">
        <v>4193</v>
      </c>
      <c r="K252" s="654">
        <v>12</v>
      </c>
      <c r="L252" s="654">
        <v>5.9</v>
      </c>
      <c r="M252" s="655">
        <v>100644.098</v>
      </c>
    </row>
    <row r="253" spans="1:13" ht="25.5">
      <c r="A253" s="650" t="s">
        <v>601</v>
      </c>
      <c r="B253" s="651" t="s">
        <v>387</v>
      </c>
      <c r="C253" s="652">
        <v>46314</v>
      </c>
      <c r="D253" s="653">
        <v>0.29166666666666669</v>
      </c>
      <c r="E253" s="654"/>
      <c r="F253" s="654"/>
      <c r="G253" s="654"/>
      <c r="H253" s="651" t="s">
        <v>602</v>
      </c>
      <c r="I253" s="654">
        <v>0</v>
      </c>
      <c r="J253" s="654">
        <v>4</v>
      </c>
      <c r="K253" s="654">
        <v>5</v>
      </c>
      <c r="L253" s="654">
        <v>5.9</v>
      </c>
      <c r="M253" s="655">
        <v>101.098</v>
      </c>
    </row>
    <row r="254" spans="1:13">
      <c r="A254" s="650" t="s">
        <v>365</v>
      </c>
      <c r="B254" s="651" t="s">
        <v>383</v>
      </c>
      <c r="C254" s="652">
        <v>46317</v>
      </c>
      <c r="D254" s="653">
        <v>0.66874999999999996</v>
      </c>
      <c r="E254" s="656">
        <v>46317</v>
      </c>
      <c r="F254" s="653">
        <v>0.69791666666666663</v>
      </c>
      <c r="G254" s="654"/>
      <c r="H254" s="651" t="s">
        <v>603</v>
      </c>
      <c r="I254" s="654">
        <v>0</v>
      </c>
      <c r="J254" s="654">
        <v>0</v>
      </c>
      <c r="K254" s="654">
        <v>0</v>
      </c>
      <c r="L254" s="654">
        <v>42</v>
      </c>
      <c r="M254" s="655">
        <v>0.7</v>
      </c>
    </row>
    <row r="255" spans="1:13">
      <c r="A255" s="650" t="s">
        <v>604</v>
      </c>
      <c r="B255" s="651" t="s">
        <v>383</v>
      </c>
      <c r="C255" s="652">
        <v>46022</v>
      </c>
      <c r="D255" s="653">
        <v>0.91666666666666663</v>
      </c>
      <c r="E255" s="654"/>
      <c r="F255" s="654"/>
      <c r="G255" s="654"/>
      <c r="H255" s="651" t="s">
        <v>394</v>
      </c>
      <c r="I255" s="654">
        <v>0</v>
      </c>
      <c r="J255" s="654">
        <v>295</v>
      </c>
      <c r="K255" s="654">
        <v>14</v>
      </c>
      <c r="L255" s="654">
        <v>5.9</v>
      </c>
      <c r="M255" s="655">
        <v>7094.098</v>
      </c>
    </row>
    <row r="256" spans="1:13">
      <c r="A256" s="650" t="s">
        <v>605</v>
      </c>
      <c r="B256" s="651" t="s">
        <v>383</v>
      </c>
      <c r="C256" s="652">
        <v>46022</v>
      </c>
      <c r="D256" s="653">
        <v>0.91666666666666663</v>
      </c>
      <c r="E256" s="654"/>
      <c r="F256" s="654"/>
      <c r="G256" s="654"/>
      <c r="H256" s="651" t="s">
        <v>394</v>
      </c>
      <c r="I256" s="654">
        <v>0</v>
      </c>
      <c r="J256" s="654">
        <v>295</v>
      </c>
      <c r="K256" s="654">
        <v>14</v>
      </c>
      <c r="L256" s="654">
        <v>5.9</v>
      </c>
      <c r="M256" s="655">
        <v>7094.098</v>
      </c>
    </row>
    <row r="257" spans="1:13">
      <c r="A257" s="650" t="s">
        <v>606</v>
      </c>
      <c r="B257" s="651" t="s">
        <v>383</v>
      </c>
      <c r="C257" s="652">
        <v>45991</v>
      </c>
      <c r="D257" s="653">
        <v>0.91666666666666663</v>
      </c>
      <c r="E257" s="654"/>
      <c r="F257" s="654"/>
      <c r="G257" s="654"/>
      <c r="H257" s="651" t="s">
        <v>394</v>
      </c>
      <c r="I257" s="654">
        <v>0</v>
      </c>
      <c r="J257" s="654">
        <v>326</v>
      </c>
      <c r="K257" s="654">
        <v>14</v>
      </c>
      <c r="L257" s="654">
        <v>5.9</v>
      </c>
      <c r="M257" s="655">
        <v>7838.098</v>
      </c>
    </row>
    <row r="258" spans="1:13">
      <c r="A258" s="650" t="s">
        <v>607</v>
      </c>
      <c r="B258" s="651" t="s">
        <v>383</v>
      </c>
      <c r="C258" s="652">
        <v>46143</v>
      </c>
      <c r="D258" s="653">
        <v>0</v>
      </c>
      <c r="E258" s="654"/>
      <c r="F258" s="654"/>
      <c r="G258" s="654"/>
      <c r="H258" s="651" t="s">
        <v>394</v>
      </c>
      <c r="I258" s="654">
        <v>0</v>
      </c>
      <c r="J258" s="654">
        <v>175</v>
      </c>
      <c r="K258" s="654">
        <v>12</v>
      </c>
      <c r="L258" s="654">
        <v>5.9</v>
      </c>
      <c r="M258" s="655">
        <v>4212.098</v>
      </c>
    </row>
    <row r="259" spans="1:13" ht="25.5">
      <c r="A259" s="650" t="s">
        <v>238</v>
      </c>
      <c r="B259" s="651" t="s">
        <v>387</v>
      </c>
      <c r="C259" s="652">
        <v>46317</v>
      </c>
      <c r="D259" s="653">
        <v>6.9444444444444447E-4</v>
      </c>
      <c r="E259" s="656">
        <v>46317</v>
      </c>
      <c r="F259" s="653">
        <v>0.70763888888888893</v>
      </c>
      <c r="G259" s="654"/>
      <c r="H259" s="651" t="s">
        <v>608</v>
      </c>
      <c r="I259" s="654">
        <v>0</v>
      </c>
      <c r="J259" s="654">
        <v>0</v>
      </c>
      <c r="K259" s="654">
        <v>16</v>
      </c>
      <c r="L259" s="654">
        <v>58</v>
      </c>
      <c r="M259" s="655">
        <v>16.966000000000001</v>
      </c>
    </row>
    <row r="260" spans="1:13">
      <c r="A260" s="650" t="s">
        <v>198</v>
      </c>
      <c r="B260" s="651" t="s">
        <v>383</v>
      </c>
      <c r="C260" s="652">
        <v>41310</v>
      </c>
      <c r="D260" s="653">
        <v>0.79166666666666663</v>
      </c>
      <c r="E260" s="654"/>
      <c r="F260" s="654"/>
      <c r="G260" s="654"/>
      <c r="H260" s="651" t="s">
        <v>609</v>
      </c>
      <c r="I260" s="654">
        <v>0</v>
      </c>
      <c r="J260" s="654">
        <v>5007</v>
      </c>
      <c r="K260" s="654">
        <v>17</v>
      </c>
      <c r="L260" s="654">
        <v>5.9</v>
      </c>
      <c r="M260" s="655">
        <v>120185.098</v>
      </c>
    </row>
    <row r="261" spans="1:13">
      <c r="A261" s="650" t="s">
        <v>199</v>
      </c>
      <c r="B261" s="651" t="s">
        <v>383</v>
      </c>
      <c r="C261" s="652">
        <v>46310</v>
      </c>
      <c r="D261" s="653">
        <v>0.72430555555555554</v>
      </c>
      <c r="E261" s="654"/>
      <c r="F261" s="654"/>
      <c r="G261" s="654"/>
      <c r="H261" s="651" t="s">
        <v>610</v>
      </c>
      <c r="I261" s="654">
        <v>0</v>
      </c>
      <c r="J261" s="654">
        <v>7</v>
      </c>
      <c r="K261" s="654">
        <v>18</v>
      </c>
      <c r="L261" s="654">
        <v>42.9</v>
      </c>
      <c r="M261" s="655">
        <v>186.715</v>
      </c>
    </row>
    <row r="262" spans="1:13">
      <c r="A262" s="650" t="s">
        <v>200</v>
      </c>
      <c r="B262" s="651" t="s">
        <v>439</v>
      </c>
      <c r="C262" s="652">
        <v>46317</v>
      </c>
      <c r="D262" s="653">
        <v>0.95833333333333337</v>
      </c>
      <c r="E262" s="654"/>
      <c r="F262" s="654"/>
      <c r="G262" s="654">
        <v>39.01</v>
      </c>
      <c r="H262" s="651" t="s">
        <v>499</v>
      </c>
      <c r="I262" s="654">
        <v>0</v>
      </c>
      <c r="J262" s="654">
        <v>0</v>
      </c>
      <c r="K262" s="654">
        <v>13</v>
      </c>
      <c r="L262" s="654">
        <v>5.9</v>
      </c>
      <c r="M262" s="655">
        <v>13.098000000000001</v>
      </c>
    </row>
    <row r="263" spans="1:13">
      <c r="A263" s="650" t="s">
        <v>200</v>
      </c>
      <c r="B263" s="651" t="s">
        <v>439</v>
      </c>
      <c r="C263" s="652">
        <v>46317</v>
      </c>
      <c r="D263" s="653">
        <v>0.875</v>
      </c>
      <c r="E263" s="656">
        <v>46317</v>
      </c>
      <c r="F263" s="653">
        <v>0.91597222222222219</v>
      </c>
      <c r="G263" s="654">
        <v>39.01</v>
      </c>
      <c r="H263" s="651" t="s">
        <v>499</v>
      </c>
      <c r="I263" s="654">
        <v>0</v>
      </c>
      <c r="J263" s="654">
        <v>0</v>
      </c>
      <c r="K263" s="654">
        <v>0</v>
      </c>
      <c r="L263" s="654">
        <v>59</v>
      </c>
      <c r="M263" s="655">
        <v>0.98299999999999998</v>
      </c>
    </row>
    <row r="264" spans="1:13">
      <c r="A264" s="650" t="s">
        <v>200</v>
      </c>
      <c r="B264" s="651" t="s">
        <v>439</v>
      </c>
      <c r="C264" s="652">
        <v>46317</v>
      </c>
      <c r="D264" s="653">
        <v>0.83333333333333337</v>
      </c>
      <c r="E264" s="656">
        <v>46317</v>
      </c>
      <c r="F264" s="653">
        <v>0.84305555555555556</v>
      </c>
      <c r="G264" s="654">
        <v>39.01</v>
      </c>
      <c r="H264" s="651" t="s">
        <v>499</v>
      </c>
      <c r="I264" s="654">
        <v>0</v>
      </c>
      <c r="J264" s="654">
        <v>0</v>
      </c>
      <c r="K264" s="654">
        <v>0</v>
      </c>
      <c r="L264" s="654">
        <v>14</v>
      </c>
      <c r="M264" s="655">
        <v>0.23300000000000001</v>
      </c>
    </row>
    <row r="265" spans="1:13" ht="25.5">
      <c r="A265" s="650" t="s">
        <v>200</v>
      </c>
      <c r="B265" s="651" t="s">
        <v>439</v>
      </c>
      <c r="C265" s="652">
        <v>46317</v>
      </c>
      <c r="D265" s="653">
        <v>0.69444444444444442</v>
      </c>
      <c r="E265" s="656">
        <v>46317</v>
      </c>
      <c r="F265" s="653">
        <v>0.70763888888888893</v>
      </c>
      <c r="G265" s="654">
        <v>39</v>
      </c>
      <c r="H265" s="651" t="s">
        <v>611</v>
      </c>
      <c r="I265" s="654">
        <v>0</v>
      </c>
      <c r="J265" s="654">
        <v>0</v>
      </c>
      <c r="K265" s="654">
        <v>0</v>
      </c>
      <c r="L265" s="654">
        <v>19</v>
      </c>
      <c r="M265" s="655">
        <v>0.316</v>
      </c>
    </row>
    <row r="266" spans="1:13">
      <c r="A266" s="650" t="s">
        <v>200</v>
      </c>
      <c r="B266" s="651" t="s">
        <v>439</v>
      </c>
      <c r="C266" s="652">
        <v>46317</v>
      </c>
      <c r="D266" s="653">
        <v>0.33750000000000002</v>
      </c>
      <c r="E266" s="656">
        <v>46317</v>
      </c>
      <c r="F266" s="653">
        <v>0.37430555555555556</v>
      </c>
      <c r="G266" s="654">
        <v>39.5</v>
      </c>
      <c r="H266" s="651" t="s">
        <v>612</v>
      </c>
      <c r="I266" s="654">
        <v>0</v>
      </c>
      <c r="J266" s="654">
        <v>0</v>
      </c>
      <c r="K266" s="654">
        <v>0</v>
      </c>
      <c r="L266" s="654">
        <v>53</v>
      </c>
      <c r="M266" s="655">
        <v>0.88300000000000001</v>
      </c>
    </row>
    <row r="267" spans="1:13">
      <c r="A267" s="650" t="s">
        <v>200</v>
      </c>
      <c r="B267" s="651" t="s">
        <v>439</v>
      </c>
      <c r="C267" s="652">
        <v>46316</v>
      </c>
      <c r="D267" s="653">
        <v>0.86458333333333337</v>
      </c>
      <c r="E267" s="656">
        <v>46317</v>
      </c>
      <c r="F267" s="653">
        <v>0.33680555555555558</v>
      </c>
      <c r="G267" s="654">
        <v>39.01</v>
      </c>
      <c r="H267" s="651" t="s">
        <v>499</v>
      </c>
      <c r="I267" s="654">
        <v>0</v>
      </c>
      <c r="J267" s="654">
        <v>0</v>
      </c>
      <c r="K267" s="654">
        <v>11</v>
      </c>
      <c r="L267" s="654">
        <v>20</v>
      </c>
      <c r="M267" s="655">
        <v>11.333</v>
      </c>
    </row>
    <row r="268" spans="1:13" ht="51">
      <c r="A268" s="650" t="s">
        <v>201</v>
      </c>
      <c r="B268" s="651" t="s">
        <v>387</v>
      </c>
      <c r="C268" s="652">
        <v>46297</v>
      </c>
      <c r="D268" s="653">
        <v>5.4166666666666669E-2</v>
      </c>
      <c r="E268" s="654"/>
      <c r="F268" s="654"/>
      <c r="G268" s="654"/>
      <c r="H268" s="651" t="s">
        <v>613</v>
      </c>
      <c r="I268" s="654">
        <v>0</v>
      </c>
      <c r="J268" s="654">
        <v>21</v>
      </c>
      <c r="K268" s="654">
        <v>10</v>
      </c>
      <c r="L268" s="654">
        <v>47.9</v>
      </c>
      <c r="M268" s="655">
        <v>514.798</v>
      </c>
    </row>
    <row r="269" spans="1:13">
      <c r="A269" s="650" t="s">
        <v>614</v>
      </c>
      <c r="B269" s="651" t="s">
        <v>383</v>
      </c>
      <c r="C269" s="652">
        <v>46161</v>
      </c>
      <c r="D269" s="653">
        <v>0.58333333333333337</v>
      </c>
      <c r="E269" s="654"/>
      <c r="F269" s="654"/>
      <c r="G269" s="654"/>
      <c r="H269" s="651" t="s">
        <v>394</v>
      </c>
      <c r="I269" s="654">
        <v>0</v>
      </c>
      <c r="J269" s="654">
        <v>156</v>
      </c>
      <c r="K269" s="654">
        <v>22</v>
      </c>
      <c r="L269" s="654">
        <v>5.9</v>
      </c>
      <c r="M269" s="655">
        <v>3766.098</v>
      </c>
    </row>
    <row r="270" spans="1:13" ht="25.5">
      <c r="A270" s="650" t="s">
        <v>193</v>
      </c>
      <c r="B270" s="651" t="s">
        <v>383</v>
      </c>
      <c r="C270" s="652">
        <v>38691</v>
      </c>
      <c r="D270" s="653">
        <v>0.54791666666666672</v>
      </c>
      <c r="E270" s="654"/>
      <c r="F270" s="654"/>
      <c r="G270" s="654"/>
      <c r="H270" s="651" t="s">
        <v>615</v>
      </c>
      <c r="I270" s="654">
        <v>0</v>
      </c>
      <c r="J270" s="654">
        <v>7626</v>
      </c>
      <c r="K270" s="654">
        <v>22</v>
      </c>
      <c r="L270" s="654">
        <v>56.9</v>
      </c>
      <c r="M270" s="655">
        <v>183046.948</v>
      </c>
    </row>
    <row r="271" spans="1:13" ht="25.5">
      <c r="A271" s="650" t="s">
        <v>616</v>
      </c>
      <c r="B271" s="651" t="s">
        <v>383</v>
      </c>
      <c r="C271" s="652">
        <v>38691</v>
      </c>
      <c r="D271" s="653">
        <v>0.54791666666666672</v>
      </c>
      <c r="E271" s="654"/>
      <c r="F271" s="654"/>
      <c r="G271" s="654"/>
      <c r="H271" s="651" t="s">
        <v>615</v>
      </c>
      <c r="I271" s="654">
        <v>0</v>
      </c>
      <c r="J271" s="654">
        <v>7626</v>
      </c>
      <c r="K271" s="654">
        <v>22</v>
      </c>
      <c r="L271" s="654">
        <v>56.9</v>
      </c>
      <c r="M271" s="655">
        <v>183046.948</v>
      </c>
    </row>
    <row r="272" spans="1:13">
      <c r="A272" s="650" t="s">
        <v>194</v>
      </c>
      <c r="B272" s="651" t="s">
        <v>439</v>
      </c>
      <c r="C272" s="652">
        <v>46291</v>
      </c>
      <c r="D272" s="653">
        <v>0.5</v>
      </c>
      <c r="E272" s="654"/>
      <c r="F272" s="654"/>
      <c r="G272" s="654">
        <v>4.83</v>
      </c>
      <c r="H272" s="651" t="s">
        <v>499</v>
      </c>
      <c r="I272" s="654">
        <v>0</v>
      </c>
      <c r="J272" s="654">
        <v>27</v>
      </c>
      <c r="K272" s="654">
        <v>0</v>
      </c>
      <c r="L272" s="654">
        <v>5.9</v>
      </c>
      <c r="M272" s="655">
        <v>648.09799999999996</v>
      </c>
    </row>
    <row r="273" spans="1:13" ht="25.5">
      <c r="A273" s="650" t="s">
        <v>617</v>
      </c>
      <c r="B273" s="651" t="s">
        <v>387</v>
      </c>
      <c r="C273" s="652">
        <v>46317</v>
      </c>
      <c r="D273" s="653">
        <v>1.3888888888888889E-3</v>
      </c>
      <c r="E273" s="654"/>
      <c r="F273" s="654"/>
      <c r="G273" s="654"/>
      <c r="H273" s="651" t="s">
        <v>618</v>
      </c>
      <c r="I273" s="654">
        <v>0</v>
      </c>
      <c r="J273" s="654">
        <v>1</v>
      </c>
      <c r="K273" s="654">
        <v>12</v>
      </c>
      <c r="L273" s="654">
        <v>3.9</v>
      </c>
      <c r="M273" s="655">
        <v>36.064</v>
      </c>
    </row>
  </sheetData>
  <mergeCells count="5">
    <mergeCell ref="C5:D5"/>
    <mergeCell ref="E5:F5"/>
    <mergeCell ref="I5:M5"/>
    <mergeCell ref="A2:M2"/>
    <mergeCell ref="A3:M4"/>
  </mergeCells>
  <phoneticPr fontId="11" type="noConversion"/>
  <printOptions horizontalCentered="1"/>
  <pageMargins left="0" right="0" top="0" bottom="0" header="0" footer="0"/>
  <pageSetup scale="45" orientation="landscape" r:id="rId1"/>
  <headerFooter alignWithMargins="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indexed="48"/>
    <pageSetUpPr fitToPage="1"/>
  </sheetPr>
  <dimension ref="A1:L114"/>
  <sheetViews>
    <sheetView zoomScale="75" workbookViewId="0">
      <selection activeCell="E7" sqref="E7:F7"/>
    </sheetView>
  </sheetViews>
  <sheetFormatPr baseColWidth="10" defaultColWidth="0" defaultRowHeight="15" customHeight="1" zeroHeight="1"/>
  <cols>
    <col min="1" max="1" width="23.140625" style="76" customWidth="1"/>
    <col min="2" max="2" width="12.7109375" style="76" customWidth="1"/>
    <col min="3" max="3" width="16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73" customFormat="1" ht="17.25" customHeight="1">
      <c r="A1" s="606" t="s">
        <v>55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</row>
    <row r="2" spans="1:12" s="73" customFormat="1" ht="15" customHeight="1">
      <c r="A2" s="635"/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</row>
    <row r="3" spans="1:12" s="73" customFormat="1" ht="17.25" customHeight="1">
      <c r="D3" s="607" t="s">
        <v>319</v>
      </c>
      <c r="E3" s="607"/>
      <c r="F3" s="607"/>
      <c r="G3" s="607"/>
      <c r="H3" s="607"/>
      <c r="I3" s="607"/>
    </row>
    <row r="4" spans="1:12" s="73" customFormat="1" ht="9" customHeight="1">
      <c r="D4" s="607"/>
      <c r="E4" s="607"/>
      <c r="F4" s="607"/>
      <c r="G4" s="607"/>
      <c r="H4" s="607"/>
      <c r="I4" s="607"/>
    </row>
    <row r="5" spans="1:12" s="73" customFormat="1" ht="15.75">
      <c r="G5" s="357" t="s">
        <v>24</v>
      </c>
    </row>
    <row r="6" spans="1:12" s="73" customFormat="1" ht="15.75">
      <c r="E6" s="640" t="s">
        <v>113</v>
      </c>
      <c r="F6" s="640"/>
      <c r="G6" s="357"/>
    </row>
    <row r="7" spans="1:12" s="73" customFormat="1" ht="27" customHeight="1">
      <c r="E7" s="641">
        <f>MAX('Carga Horaria'!FD8:FD49)</f>
        <v>2291.7199999999998</v>
      </c>
      <c r="F7" s="642"/>
      <c r="G7" s="358">
        <f>VLOOKUP(E7,'Carga Horaria'!FD8:FE49,2,FALSE)</f>
        <v>18.149999999999999</v>
      </c>
    </row>
    <row r="8" spans="1:12" s="73" customFormat="1" ht="27" customHeight="1"/>
    <row r="9" spans="1:12" s="73" customFormat="1" ht="27" customHeight="1"/>
    <row r="10" spans="1:12" s="73" customFormat="1" ht="27" customHeight="1"/>
    <row r="11" spans="1:12" s="73" customFormat="1" ht="27" customHeight="1"/>
    <row r="12" spans="1:12" s="73" customFormat="1" ht="27" customHeight="1"/>
    <row r="13" spans="1:12" s="73" customFormat="1" ht="27" customHeight="1"/>
    <row r="14" spans="1:12" s="73" customFormat="1" ht="27" customHeight="1"/>
    <row r="15" spans="1:12" s="73" customFormat="1" ht="27" customHeight="1"/>
    <row r="16" spans="1:12" s="73" customFormat="1" ht="27" customHeight="1"/>
    <row r="17" spans="7:8" s="73" customFormat="1" ht="27" customHeight="1"/>
    <row r="18" spans="7:8" s="73" customFormat="1" ht="27" customHeight="1"/>
    <row r="19" spans="7:8" s="73" customFormat="1" ht="27" customHeight="1"/>
    <row r="20" spans="7:8" s="73" customFormat="1" ht="27" customHeight="1"/>
    <row r="21" spans="7:8" s="73" customFormat="1" ht="27" customHeight="1"/>
    <row r="22" spans="7:8" s="73" customFormat="1" ht="27" customHeight="1"/>
    <row r="23" spans="7:8" s="73" customFormat="1" ht="27" customHeight="1">
      <c r="G23" s="73">
        <v>1554.67</v>
      </c>
      <c r="H23" s="73">
        <v>1528.76</v>
      </c>
    </row>
    <row r="24" spans="7:8" s="73" customFormat="1" ht="27" customHeight="1">
      <c r="G24" s="73">
        <v>1514.29</v>
      </c>
      <c r="H24" s="73">
        <v>1486.86</v>
      </c>
    </row>
    <row r="25" spans="7:8" s="73" customFormat="1" ht="27" customHeight="1">
      <c r="G25" s="73">
        <v>1427.18</v>
      </c>
      <c r="H25" s="73">
        <v>1420.41</v>
      </c>
    </row>
    <row r="26" spans="7:8" s="73" customFormat="1" ht="27" customHeight="1">
      <c r="G26" s="73">
        <v>1434.91</v>
      </c>
      <c r="H26" s="73">
        <v>1468.34</v>
      </c>
    </row>
    <row r="27" spans="7:8" s="73" customFormat="1" ht="27" customHeight="1">
      <c r="G27" s="73">
        <v>1472.95</v>
      </c>
      <c r="H27" s="73">
        <v>1522.89</v>
      </c>
    </row>
    <row r="28" spans="7:8" s="73" customFormat="1" ht="27" customHeight="1">
      <c r="G28" s="73">
        <v>1665.01</v>
      </c>
      <c r="H28" s="73">
        <v>1679.07</v>
      </c>
    </row>
    <row r="29" spans="7:8" s="73" customFormat="1" ht="27" customHeight="1">
      <c r="G29" s="73">
        <v>1795.48</v>
      </c>
      <c r="H29" s="73">
        <v>1848.58</v>
      </c>
    </row>
    <row r="30" spans="7:8" s="73" customFormat="1" ht="29.25" customHeight="1">
      <c r="G30" s="73">
        <v>1869.2</v>
      </c>
      <c r="H30" s="73">
        <v>1939.36</v>
      </c>
    </row>
    <row r="31" spans="7:8" s="73" customFormat="1" ht="29.25" customHeight="1">
      <c r="G31" s="73">
        <v>1934.9</v>
      </c>
      <c r="H31" s="73">
        <v>1957.15</v>
      </c>
    </row>
    <row r="32" spans="7:8" s="73" customFormat="1" ht="29.25" customHeight="1">
      <c r="G32" s="73">
        <v>1903.51</v>
      </c>
      <c r="H32" s="73">
        <v>1925.26</v>
      </c>
    </row>
    <row r="33" spans="1:12" s="73" customFormat="1" ht="29.25" customHeight="1">
      <c r="G33" s="73">
        <v>1900.8</v>
      </c>
      <c r="H33" s="73">
        <v>1951.69</v>
      </c>
    </row>
    <row r="34" spans="1:12" s="73" customFormat="1" ht="29.25" customHeight="1">
      <c r="G34" s="73">
        <v>1968.22</v>
      </c>
      <c r="H34" s="73">
        <v>1990.88</v>
      </c>
    </row>
    <row r="35" spans="1:12" s="73" customFormat="1" ht="29.25" customHeight="1">
      <c r="G35" s="73">
        <v>1942.89</v>
      </c>
      <c r="H35" s="73">
        <v>1993.35</v>
      </c>
    </row>
    <row r="36" spans="1:12" s="73" customFormat="1" ht="27" customHeight="1">
      <c r="G36" s="73">
        <v>1958.2</v>
      </c>
      <c r="H36" s="73">
        <v>2015.56</v>
      </c>
    </row>
    <row r="37" spans="1:12" s="73" customFormat="1" ht="27" customHeight="1">
      <c r="D37" s="638"/>
      <c r="E37" s="638"/>
      <c r="F37" s="127"/>
      <c r="G37" s="128">
        <v>2000.45</v>
      </c>
      <c r="H37" s="129">
        <v>2069.9699999999998</v>
      </c>
    </row>
    <row r="38" spans="1:12" s="73" customFormat="1" ht="15.75">
      <c r="A38" s="639"/>
      <c r="B38" s="639"/>
      <c r="C38" s="639"/>
      <c r="D38" s="638"/>
      <c r="E38" s="638"/>
      <c r="F38" s="127"/>
      <c r="G38" s="128">
        <v>1970.05</v>
      </c>
      <c r="H38" s="129">
        <v>2048.66</v>
      </c>
    </row>
    <row r="39" spans="1:12" s="73" customFormat="1" ht="15.75">
      <c r="D39" s="638"/>
      <c r="E39" s="638"/>
      <c r="F39" s="127"/>
      <c r="G39" s="128">
        <v>2015.76</v>
      </c>
      <c r="H39" s="129">
        <v>2110.58</v>
      </c>
    </row>
    <row r="40" spans="1:12" s="2" customFormat="1" ht="15.75">
      <c r="A40" s="73"/>
      <c r="B40" s="73"/>
      <c r="C40" s="73"/>
      <c r="D40" s="638"/>
      <c r="E40" s="638"/>
      <c r="F40" s="127"/>
      <c r="G40" s="128">
        <v>2155.61</v>
      </c>
      <c r="H40" s="129">
        <v>2236.1799999999998</v>
      </c>
      <c r="I40" s="73"/>
      <c r="J40" s="73"/>
      <c r="L40" s="130"/>
    </row>
    <row r="41" spans="1:12" s="2" customFormat="1" ht="15.75">
      <c r="A41" s="73"/>
      <c r="B41" s="73"/>
      <c r="C41" s="73"/>
      <c r="D41" s="127"/>
      <c r="E41" s="127"/>
      <c r="F41" s="127"/>
      <c r="G41" s="128">
        <v>2163.79</v>
      </c>
      <c r="H41" s="129">
        <v>2291.7199999999998</v>
      </c>
      <c r="I41" s="73"/>
      <c r="J41" s="73"/>
      <c r="L41" s="130"/>
    </row>
    <row r="42" spans="1:12" s="2" customFormat="1" ht="15.75">
      <c r="A42" s="73"/>
      <c r="B42" s="73"/>
      <c r="C42" s="73"/>
      <c r="D42" s="127"/>
      <c r="E42" s="127"/>
      <c r="F42" s="127"/>
      <c r="G42" s="128">
        <v>2111.86</v>
      </c>
      <c r="H42" s="129">
        <v>2235.42</v>
      </c>
      <c r="I42" s="73"/>
      <c r="J42" s="73"/>
      <c r="L42" s="130"/>
    </row>
    <row r="43" spans="1:12" s="2" customFormat="1" ht="15.75">
      <c r="A43" s="73"/>
      <c r="B43" s="73"/>
      <c r="C43" s="73"/>
      <c r="D43" s="127"/>
      <c r="E43" s="127"/>
      <c r="F43" s="127"/>
      <c r="G43" s="128">
        <v>2081.48</v>
      </c>
      <c r="H43" s="129">
        <v>2159.66</v>
      </c>
      <c r="I43" s="73"/>
      <c r="J43" s="73"/>
      <c r="L43" s="130"/>
    </row>
    <row r="44" spans="1:12" s="2" customFormat="1" ht="15.75">
      <c r="A44" s="73"/>
      <c r="B44" s="73"/>
      <c r="C44" s="73"/>
      <c r="D44" s="127"/>
      <c r="E44" s="127"/>
      <c r="F44" s="127"/>
      <c r="G44" s="128">
        <v>1849.68</v>
      </c>
      <c r="H44" s="129">
        <v>1861.75</v>
      </c>
      <c r="I44" s="73"/>
      <c r="J44" s="73"/>
      <c r="L44" s="130"/>
    </row>
    <row r="45" spans="1:12" s="2" customFormat="1" ht="15.75">
      <c r="A45" s="73"/>
      <c r="B45" s="73"/>
      <c r="C45" s="73"/>
      <c r="D45" s="127"/>
      <c r="E45" s="127"/>
      <c r="F45" s="127"/>
      <c r="G45" s="128">
        <v>1820.06</v>
      </c>
      <c r="H45" s="129">
        <v>1760.24</v>
      </c>
      <c r="I45" s="73"/>
      <c r="J45" s="73"/>
      <c r="L45" s="130"/>
    </row>
    <row r="46" spans="1:12" s="2" customFormat="1" ht="15.75">
      <c r="A46" s="73"/>
      <c r="B46" s="73"/>
      <c r="C46" s="73"/>
      <c r="D46" s="127"/>
      <c r="E46" s="127"/>
      <c r="F46" s="127"/>
      <c r="G46" s="128">
        <v>1595.06</v>
      </c>
      <c r="H46" s="129">
        <v>1585.19</v>
      </c>
      <c r="I46" s="73"/>
      <c r="J46" s="73"/>
      <c r="L46" s="130"/>
    </row>
    <row r="47" spans="1:12" s="2" customFormat="1" ht="15.75">
      <c r="A47" s="73"/>
      <c r="B47" s="73"/>
      <c r="C47" s="73"/>
      <c r="D47" s="127"/>
      <c r="E47" s="127"/>
      <c r="F47" s="127"/>
      <c r="G47" s="128"/>
      <c r="H47" s="129"/>
      <c r="I47" s="73"/>
      <c r="J47" s="73"/>
      <c r="L47" s="130"/>
    </row>
    <row r="48" spans="1:12" s="2" customFormat="1" ht="15.75">
      <c r="A48" s="73"/>
      <c r="B48" s="73"/>
      <c r="C48" s="73"/>
      <c r="D48" s="127"/>
      <c r="E48" s="127"/>
      <c r="F48" s="127"/>
      <c r="G48" s="128"/>
      <c r="H48" s="129"/>
      <c r="I48" s="73"/>
      <c r="J48" s="73"/>
      <c r="L48" s="130"/>
    </row>
    <row r="49" spans="1:12" s="2" customFormat="1" ht="15.75">
      <c r="A49" s="73"/>
      <c r="B49" s="73"/>
      <c r="C49" s="73"/>
      <c r="D49" s="127"/>
      <c r="E49" s="127"/>
      <c r="F49" s="127"/>
      <c r="G49" s="128"/>
      <c r="H49" s="129"/>
      <c r="I49" s="73"/>
      <c r="J49" s="73"/>
      <c r="L49" s="130"/>
    </row>
    <row r="50" spans="1:12" s="2" customFormat="1" ht="15.75">
      <c r="A50" s="73"/>
      <c r="B50" s="73"/>
      <c r="C50" s="73"/>
      <c r="D50" s="127"/>
      <c r="E50" s="127"/>
      <c r="F50" s="127"/>
      <c r="G50" s="128"/>
      <c r="H50" s="129"/>
      <c r="I50" s="73"/>
      <c r="J50" s="73"/>
      <c r="L50" s="130"/>
    </row>
    <row r="51" spans="1:12" s="2" customFormat="1" ht="15.75">
      <c r="A51" s="73"/>
      <c r="B51" s="73"/>
      <c r="C51" s="73"/>
      <c r="D51" s="127"/>
      <c r="E51" s="127"/>
      <c r="F51" s="127"/>
      <c r="G51" s="128"/>
      <c r="H51" s="129"/>
      <c r="I51" s="73"/>
      <c r="J51" s="73"/>
      <c r="L51" s="130"/>
    </row>
    <row r="52" spans="1:12" s="2" customFormat="1" ht="15.75">
      <c r="A52" s="73"/>
      <c r="B52" s="73"/>
      <c r="C52" s="73"/>
      <c r="D52" s="127"/>
      <c r="E52" s="127"/>
      <c r="F52" s="127"/>
      <c r="G52" s="128"/>
      <c r="H52" s="129"/>
      <c r="I52" s="73"/>
      <c r="J52" s="73"/>
      <c r="L52" s="130"/>
    </row>
    <row r="53" spans="1:12" s="2" customFormat="1" ht="15.75">
      <c r="A53" s="73"/>
      <c r="B53" s="73"/>
      <c r="C53" s="73"/>
      <c r="D53" s="127"/>
      <c r="E53" s="127"/>
      <c r="F53" s="127"/>
      <c r="G53" s="128"/>
      <c r="H53" s="129"/>
      <c r="I53" s="73"/>
      <c r="J53" s="73"/>
      <c r="L53" s="130"/>
    </row>
    <row r="54" spans="1:12" s="2" customFormat="1" ht="15.75">
      <c r="A54" s="73"/>
      <c r="B54" s="73"/>
      <c r="C54" s="73"/>
      <c r="D54" s="127"/>
      <c r="E54" s="127"/>
      <c r="F54" s="127"/>
      <c r="G54" s="128"/>
      <c r="H54" s="129"/>
      <c r="I54" s="73"/>
      <c r="J54" s="73"/>
      <c r="L54" s="130"/>
    </row>
    <row r="55" spans="1:12" s="2" customFormat="1" ht="15.75">
      <c r="A55" s="73"/>
      <c r="B55" s="73"/>
      <c r="C55" s="73"/>
      <c r="D55" s="127"/>
      <c r="E55" s="127"/>
      <c r="F55" s="127"/>
      <c r="G55" s="128"/>
      <c r="H55" s="129"/>
      <c r="I55" s="73"/>
      <c r="J55" s="73"/>
      <c r="L55" s="130"/>
    </row>
    <row r="56" spans="1:12" s="2" customFormat="1" ht="15.75">
      <c r="A56" s="73"/>
      <c r="B56" s="73"/>
      <c r="C56" s="73"/>
      <c r="D56" s="127"/>
      <c r="E56" s="127"/>
      <c r="F56" s="127"/>
      <c r="G56" s="128"/>
      <c r="H56" s="129"/>
      <c r="I56" s="73"/>
      <c r="J56" s="73"/>
      <c r="L56" s="130"/>
    </row>
    <row r="57" spans="1:12" s="2" customFormat="1" ht="15.75">
      <c r="A57" s="73"/>
      <c r="B57" s="73"/>
      <c r="C57" s="73"/>
      <c r="D57" s="127"/>
      <c r="E57" s="127"/>
      <c r="F57" s="127"/>
      <c r="G57" s="128"/>
      <c r="H57" s="129"/>
      <c r="I57" s="73"/>
      <c r="J57" s="73"/>
      <c r="L57" s="130"/>
    </row>
    <row r="58" spans="1:12" s="2" customFormat="1" ht="15.75">
      <c r="A58" s="73"/>
      <c r="B58" s="73"/>
      <c r="C58" s="73"/>
      <c r="D58" s="127"/>
      <c r="E58" s="127"/>
      <c r="F58" s="127"/>
      <c r="G58" s="128"/>
      <c r="H58" s="129"/>
      <c r="I58" s="73"/>
      <c r="J58" s="73"/>
      <c r="L58" s="130"/>
    </row>
    <row r="59" spans="1:12" s="2" customFormat="1" ht="15.75">
      <c r="A59" s="73"/>
      <c r="B59" s="73"/>
      <c r="C59" s="73"/>
      <c r="D59" s="127"/>
      <c r="E59" s="127"/>
      <c r="F59" s="127"/>
      <c r="G59" s="128"/>
      <c r="H59" s="129"/>
      <c r="I59" s="73"/>
      <c r="J59" s="73"/>
      <c r="L59" s="130"/>
    </row>
    <row r="60" spans="1:12" s="2" customFormat="1" ht="12.75">
      <c r="A60" s="73"/>
      <c r="B60" s="73"/>
      <c r="C60" s="73"/>
      <c r="D60" s="73"/>
      <c r="E60" s="73"/>
      <c r="F60" s="73"/>
      <c r="G60" s="129"/>
      <c r="H60" s="129"/>
      <c r="I60" s="73"/>
      <c r="J60" s="73"/>
      <c r="K60" s="73"/>
      <c r="L60" s="130"/>
    </row>
    <row r="61" spans="1:12" s="2" customFormat="1" ht="12.75" hidden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2" s="131" customFormat="1" ht="12.75" hidden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spans="1:12" s="131" customFormat="1" hidden="1">
      <c r="A63" s="130"/>
      <c r="B63" s="130"/>
      <c r="C63" s="130"/>
      <c r="D63" s="130"/>
      <c r="E63" s="132"/>
      <c r="F63" s="636"/>
      <c r="G63" s="636"/>
      <c r="H63" s="130"/>
      <c r="I63" s="130"/>
      <c r="J63" s="130"/>
      <c r="K63" s="130"/>
      <c r="L63" s="130"/>
    </row>
    <row r="64" spans="1:12" s="131" customFormat="1" ht="12.75" hidden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spans="1:12" s="131" customFormat="1" ht="12.75" hidden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spans="1:12" s="194" customFormat="1">
      <c r="A66" s="603"/>
      <c r="B66" s="603"/>
      <c r="C66" s="637"/>
      <c r="D66" s="192"/>
      <c r="E66" s="193"/>
      <c r="F66" s="190"/>
      <c r="G66" s="190"/>
      <c r="H66" s="190"/>
      <c r="I66" s="190"/>
      <c r="J66" s="604"/>
      <c r="K66" s="604"/>
    </row>
    <row r="67" spans="1:12" ht="12.75" hidden="1">
      <c r="D67" s="77"/>
      <c r="E67" s="78"/>
    </row>
    <row r="68" spans="1:12" ht="12.75" hidden="1">
      <c r="D68" s="77"/>
      <c r="E68" s="78"/>
    </row>
    <row r="69" spans="1:12" ht="12.75" hidden="1">
      <c r="D69" s="77"/>
      <c r="E69" s="78"/>
    </row>
    <row r="70" spans="1:12" ht="12.75" hidden="1">
      <c r="D70" s="77"/>
      <c r="E70" s="78"/>
    </row>
    <row r="71" spans="1:12" ht="12.75" hidden="1">
      <c r="D71" s="77"/>
      <c r="E71" s="78"/>
    </row>
    <row r="72" spans="1:12" ht="12.75" hidden="1">
      <c r="D72" s="77"/>
      <c r="E72" s="78"/>
    </row>
    <row r="73" spans="1:12" ht="12.75" hidden="1">
      <c r="D73" s="77"/>
      <c r="E73" s="78"/>
    </row>
    <row r="74" spans="1:12" ht="12.75" hidden="1">
      <c r="D74" s="77"/>
      <c r="E74" s="78"/>
    </row>
    <row r="75" spans="1:12" ht="12.75" hidden="1">
      <c r="D75" s="77"/>
      <c r="E75" s="78"/>
    </row>
    <row r="76" spans="1:12" ht="12.75" hidden="1">
      <c r="D76" s="77"/>
      <c r="E76" s="78"/>
    </row>
    <row r="77" spans="1:12" ht="12.75" hidden="1">
      <c r="D77" s="77"/>
      <c r="E77" s="78"/>
    </row>
    <row r="78" spans="1:12" ht="12.75" hidden="1">
      <c r="D78" s="77"/>
      <c r="E78" s="78"/>
    </row>
    <row r="79" spans="1:12" ht="12.75" hidden="1">
      <c r="D79" s="77"/>
      <c r="E79" s="78"/>
    </row>
    <row r="80" spans="1:12" ht="12.75" hidden="1">
      <c r="D80" s="77"/>
      <c r="E80" s="78"/>
    </row>
    <row r="81" spans="4:5" ht="12.75" hidden="1">
      <c r="D81" s="77"/>
      <c r="E81" s="78"/>
    </row>
    <row r="82" spans="4:5" ht="12.75" hidden="1">
      <c r="D82" s="77"/>
      <c r="E82" s="78"/>
    </row>
    <row r="83" spans="4:5" ht="12.75" hidden="1">
      <c r="D83" s="77"/>
      <c r="E83" s="78"/>
    </row>
    <row r="84" spans="4:5" ht="12.75" hidden="1">
      <c r="D84" s="77"/>
      <c r="E84" s="78"/>
    </row>
    <row r="85" spans="4:5" ht="12.75" hidden="1">
      <c r="D85" s="77"/>
      <c r="E85" s="78"/>
    </row>
    <row r="86" spans="4:5" ht="12.75" hidden="1">
      <c r="D86" s="77"/>
      <c r="E86" s="78"/>
    </row>
    <row r="87" spans="4:5" ht="12.75" hidden="1">
      <c r="D87" s="77"/>
      <c r="E87" s="78"/>
    </row>
    <row r="88" spans="4:5" ht="12.75" hidden="1">
      <c r="D88" s="77"/>
      <c r="E88" s="78"/>
    </row>
    <row r="89" spans="4:5" ht="12.75" hidden="1">
      <c r="D89" s="77"/>
      <c r="E89" s="78"/>
    </row>
    <row r="90" spans="4:5" ht="12.75" hidden="1">
      <c r="D90" s="77"/>
      <c r="E90" s="78"/>
    </row>
    <row r="91" spans="4:5" ht="12.75" hidden="1">
      <c r="D91" s="77"/>
      <c r="E91" s="78"/>
    </row>
    <row r="92" spans="4:5" ht="12.75" hidden="1">
      <c r="D92" s="77"/>
      <c r="E92" s="78"/>
    </row>
    <row r="93" spans="4:5" ht="12.75" hidden="1">
      <c r="D93" s="77"/>
      <c r="E93" s="78"/>
    </row>
    <row r="94" spans="4:5" ht="12.75" hidden="1">
      <c r="D94" s="77"/>
      <c r="E94" s="78"/>
    </row>
    <row r="95" spans="4:5" ht="12.75" hidden="1">
      <c r="D95" s="77"/>
      <c r="E95" s="78"/>
    </row>
    <row r="96" spans="4: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12">
    <mergeCell ref="A1:L2"/>
    <mergeCell ref="F63:G63"/>
    <mergeCell ref="A66:C66"/>
    <mergeCell ref="J66:K66"/>
    <mergeCell ref="D37:E37"/>
    <mergeCell ref="A38:C38"/>
    <mergeCell ref="D38:E38"/>
    <mergeCell ref="D39:E39"/>
    <mergeCell ref="D40:E40"/>
    <mergeCell ref="E6:F6"/>
    <mergeCell ref="E7:F7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indexed="48"/>
  </sheetPr>
  <dimension ref="A1:AH97"/>
  <sheetViews>
    <sheetView topLeftCell="A7" zoomScale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45" t="s">
        <v>59</v>
      </c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</row>
    <row r="2" spans="1:19" ht="15" customHeight="1">
      <c r="A2" s="644"/>
      <c r="B2" s="644"/>
      <c r="C2" s="644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</row>
    <row r="3" spans="1:19" ht="17.25" customHeight="1">
      <c r="A3" s="73"/>
      <c r="B3" s="73"/>
      <c r="C3" s="73"/>
      <c r="D3" s="607" t="s">
        <v>319</v>
      </c>
      <c r="E3" s="607"/>
      <c r="F3" s="607"/>
      <c r="G3" s="607"/>
      <c r="H3" s="607"/>
      <c r="I3" s="607"/>
      <c r="J3" s="607"/>
      <c r="K3" s="607"/>
      <c r="L3" s="607"/>
      <c r="M3" s="607"/>
      <c r="N3" s="607"/>
    </row>
    <row r="4" spans="1:19" ht="18.75" customHeight="1">
      <c r="A4" s="73"/>
      <c r="B4" s="73"/>
      <c r="C4" s="73"/>
      <c r="D4" s="607"/>
      <c r="E4" s="607"/>
      <c r="F4" s="607"/>
      <c r="G4" s="607"/>
      <c r="H4" s="607"/>
      <c r="I4" s="607"/>
      <c r="J4" s="607"/>
      <c r="K4" s="607"/>
      <c r="L4" s="607"/>
      <c r="M4" s="607"/>
      <c r="N4" s="607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147.58798716699999</v>
      </c>
      <c r="N7" s="73">
        <v>209.947</v>
      </c>
    </row>
    <row r="8" spans="1:19" ht="27" customHeight="1">
      <c r="A8" s="73"/>
      <c r="B8" s="73"/>
      <c r="C8" s="73"/>
      <c r="D8" s="73"/>
      <c r="E8" s="73"/>
      <c r="L8" s="73">
        <v>148.33877539100001</v>
      </c>
      <c r="N8" s="73">
        <v>210.16900000000001</v>
      </c>
    </row>
    <row r="9" spans="1:19" ht="27" customHeight="1">
      <c r="A9" s="73"/>
      <c r="B9" s="73"/>
      <c r="C9" s="73"/>
      <c r="D9" s="73"/>
      <c r="E9" s="73"/>
      <c r="L9" s="73">
        <v>150.46572314400001</v>
      </c>
      <c r="N9" s="73">
        <v>213.89099999999999</v>
      </c>
    </row>
    <row r="10" spans="1:19" ht="27" customHeight="1">
      <c r="A10" s="73"/>
      <c r="B10" s="73"/>
      <c r="C10" s="73"/>
      <c r="D10" s="73"/>
      <c r="E10" s="73"/>
      <c r="L10" s="73">
        <v>162.33107861299999</v>
      </c>
      <c r="N10" s="73">
        <v>233.34700000000001</v>
      </c>
    </row>
    <row r="11" spans="1:19" ht="33" customHeight="1">
      <c r="A11" s="73"/>
      <c r="B11" s="73"/>
      <c r="C11" s="73"/>
      <c r="D11" s="73"/>
      <c r="E11" s="73"/>
      <c r="L11" s="73">
        <v>150.12512939499999</v>
      </c>
      <c r="N11" s="73">
        <v>221.798</v>
      </c>
    </row>
    <row r="12" spans="1:19" ht="27" customHeight="1">
      <c r="A12" s="73"/>
      <c r="B12" s="73"/>
      <c r="C12" s="73"/>
      <c r="D12" s="73"/>
      <c r="E12" s="73"/>
      <c r="L12" s="73">
        <v>149.76604931599999</v>
      </c>
      <c r="N12" s="73">
        <v>211.60499999999999</v>
      </c>
    </row>
    <row r="13" spans="1:19" ht="27" customHeight="1">
      <c r="A13" s="73"/>
      <c r="B13" s="73"/>
      <c r="C13" s="73"/>
      <c r="D13" s="73"/>
      <c r="E13" s="73"/>
      <c r="L13" s="73">
        <v>128.194628846</v>
      </c>
      <c r="N13" s="73">
        <v>208.88300000000001</v>
      </c>
    </row>
    <row r="14" spans="1:19" ht="27" customHeight="1">
      <c r="A14" s="73"/>
      <c r="B14" s="73"/>
      <c r="C14" s="73"/>
      <c r="D14" s="73"/>
      <c r="E14" s="73"/>
      <c r="L14" s="73">
        <v>139.42084572600001</v>
      </c>
      <c r="N14" s="73">
        <v>212.613</v>
      </c>
    </row>
    <row r="15" spans="1:19" ht="27" customHeight="1">
      <c r="A15" s="73"/>
      <c r="B15" s="73"/>
      <c r="C15" s="73"/>
      <c r="D15" s="73"/>
      <c r="E15" s="73"/>
      <c r="L15" s="73">
        <v>130.335959793</v>
      </c>
      <c r="N15" s="73">
        <v>212.80099999999999</v>
      </c>
    </row>
    <row r="16" spans="1:19" ht="29.25" customHeight="1">
      <c r="A16" s="73"/>
      <c r="B16" s="73"/>
      <c r="C16" s="73"/>
      <c r="D16" s="73"/>
      <c r="E16" s="73"/>
      <c r="L16" s="73">
        <v>116.48702438399999</v>
      </c>
      <c r="N16" s="73">
        <v>208.58699999999999</v>
      </c>
    </row>
    <row r="17" spans="1:18" ht="29.25" customHeight="1">
      <c r="A17" s="73"/>
      <c r="B17" s="73"/>
      <c r="C17" s="73"/>
      <c r="D17" s="73"/>
      <c r="E17" s="73"/>
      <c r="L17" s="73">
        <v>74.513905746999995</v>
      </c>
      <c r="N17" s="73">
        <v>153.858</v>
      </c>
    </row>
    <row r="18" spans="1:18" ht="29.25" customHeight="1">
      <c r="A18" s="73"/>
      <c r="B18" s="73"/>
      <c r="C18" s="73"/>
      <c r="D18" s="73"/>
      <c r="E18" s="73"/>
      <c r="L18" s="73">
        <v>74.624403853999993</v>
      </c>
      <c r="N18" s="73">
        <v>147.059</v>
      </c>
    </row>
    <row r="19" spans="1:18" ht="29.25" customHeight="1">
      <c r="A19" s="73"/>
      <c r="B19" s="73"/>
      <c r="C19" s="73"/>
      <c r="D19" s="73"/>
      <c r="E19" s="73"/>
      <c r="L19" s="73">
        <v>60.518830463</v>
      </c>
      <c r="N19" s="73">
        <v>141.75899999999999</v>
      </c>
    </row>
    <row r="20" spans="1:18" ht="29.25" customHeight="1">
      <c r="A20" s="73"/>
      <c r="B20" s="73"/>
      <c r="C20" s="73"/>
      <c r="D20" s="73"/>
      <c r="E20" s="73"/>
      <c r="L20" s="73">
        <v>69.386195831999999</v>
      </c>
      <c r="N20" s="73">
        <v>148.84299999999999</v>
      </c>
    </row>
    <row r="21" spans="1:18" ht="29.25" customHeight="1">
      <c r="A21" s="73"/>
      <c r="B21" s="73"/>
      <c r="C21" s="73"/>
      <c r="D21" s="73"/>
      <c r="E21" s="73"/>
      <c r="L21" s="73">
        <v>63.801164643</v>
      </c>
      <c r="N21" s="73">
        <v>136.60499999999999</v>
      </c>
    </row>
    <row r="22" spans="1:18" ht="27" customHeight="1">
      <c r="A22" s="73"/>
      <c r="B22" s="73"/>
      <c r="C22" s="73"/>
      <c r="D22" s="73"/>
      <c r="E22" s="73"/>
      <c r="L22" s="73">
        <v>57.365180344000002</v>
      </c>
      <c r="N22" s="73">
        <v>131.38399999999999</v>
      </c>
    </row>
    <row r="23" spans="1:18" ht="27" customHeight="1">
      <c r="A23" s="73"/>
      <c r="B23" s="240"/>
      <c r="C23" s="73"/>
      <c r="D23" s="73"/>
      <c r="E23" s="73"/>
      <c r="L23" s="133">
        <v>44.779931603000001</v>
      </c>
      <c r="M23" s="133"/>
      <c r="N23" s="133">
        <v>282.52999999999997</v>
      </c>
    </row>
    <row r="24" spans="1:18" ht="27" customHeight="1">
      <c r="A24" s="73"/>
      <c r="B24" s="73"/>
      <c r="C24" s="73"/>
      <c r="D24" s="73"/>
      <c r="E24" s="73"/>
      <c r="L24" s="133">
        <v>32.588145019000002</v>
      </c>
      <c r="M24" s="133"/>
      <c r="N24" s="133">
        <v>282.64800000000002</v>
      </c>
    </row>
    <row r="25" spans="1:18" ht="27" customHeight="1">
      <c r="A25" s="73"/>
      <c r="B25" s="73"/>
      <c r="C25" s="73"/>
      <c r="D25" s="73"/>
      <c r="E25" s="73"/>
      <c r="L25" s="133">
        <v>37.322518692999999</v>
      </c>
      <c r="M25" s="133"/>
      <c r="N25" s="133">
        <v>108.976</v>
      </c>
    </row>
    <row r="26" spans="1:18">
      <c r="A26" s="207"/>
      <c r="B26" s="73"/>
      <c r="C26" s="73"/>
      <c r="D26" s="73"/>
      <c r="E26" s="73"/>
      <c r="L26" s="133">
        <v>48.329872680999998</v>
      </c>
      <c r="M26" s="133"/>
      <c r="N26" s="133">
        <v>108.976</v>
      </c>
      <c r="R26" s="205"/>
    </row>
    <row r="27" spans="1:18" ht="27" customHeight="1">
      <c r="A27" s="73"/>
      <c r="B27" s="73"/>
      <c r="C27" s="73"/>
      <c r="D27" s="73"/>
      <c r="E27" s="73"/>
      <c r="L27" s="133">
        <v>62.709159182</v>
      </c>
      <c r="M27" s="133"/>
      <c r="N27" s="133">
        <v>108.976</v>
      </c>
    </row>
    <row r="28" spans="1:18" ht="27" customHeight="1">
      <c r="A28" s="73"/>
      <c r="B28" s="73"/>
      <c r="C28" s="73"/>
      <c r="D28" s="73"/>
      <c r="E28" s="73"/>
      <c r="L28" s="133">
        <v>62.507577896000001</v>
      </c>
      <c r="M28" s="133"/>
      <c r="N28" s="133">
        <v>116.735</v>
      </c>
    </row>
    <row r="29" spans="1:18" ht="27" customHeight="1">
      <c r="A29" s="73"/>
      <c r="B29" s="73"/>
      <c r="C29" s="73"/>
      <c r="D29" s="73"/>
      <c r="E29" s="73"/>
      <c r="L29" s="133">
        <v>172.94519921899999</v>
      </c>
      <c r="M29" s="133"/>
      <c r="N29" s="133">
        <v>227.084</v>
      </c>
    </row>
    <row r="30" spans="1:18" ht="27" customHeight="1">
      <c r="A30" s="73"/>
      <c r="B30" s="73"/>
      <c r="C30" s="73"/>
      <c r="D30" s="73"/>
      <c r="E30" s="73"/>
      <c r="L30" s="133">
        <v>192.501738281</v>
      </c>
      <c r="M30" s="133"/>
      <c r="N30" s="133">
        <v>238.00399999999999</v>
      </c>
    </row>
    <row r="31" spans="1:18" ht="27" customHeight="1">
      <c r="A31" s="73"/>
      <c r="B31" s="339" t="s">
        <v>112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9"/>
      <c r="B32" s="639"/>
      <c r="C32" s="639"/>
      <c r="D32" s="638"/>
      <c r="E32" s="638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8"/>
      <c r="E33" s="638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8"/>
      <c r="E34" s="638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43"/>
      <c r="G49" s="643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8"/>
  </sheetPr>
  <dimension ref="A1:AH97"/>
  <sheetViews>
    <sheetView zoomScale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7"/>
      <c r="B1" s="207"/>
      <c r="C1" s="207"/>
      <c r="D1" s="645" t="s">
        <v>81</v>
      </c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</row>
    <row r="2" spans="1:19" ht="15" customHeight="1">
      <c r="A2" s="644" t="s">
        <v>111</v>
      </c>
      <c r="B2" s="644"/>
      <c r="C2" s="644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</row>
    <row r="3" spans="1:19" ht="17.25" customHeight="1">
      <c r="A3" s="73"/>
      <c r="B3" s="73"/>
      <c r="C3" s="73"/>
      <c r="D3" s="607" t="s">
        <v>319</v>
      </c>
      <c r="E3" s="607"/>
      <c r="F3" s="607"/>
      <c r="G3" s="607"/>
      <c r="H3" s="607"/>
      <c r="I3" s="607"/>
      <c r="J3" s="607"/>
      <c r="K3" s="607"/>
      <c r="L3" s="607"/>
      <c r="M3" s="607"/>
      <c r="N3" s="607"/>
    </row>
    <row r="4" spans="1:19" ht="18.75" customHeight="1">
      <c r="A4" s="73"/>
      <c r="B4" s="73"/>
      <c r="C4" s="73"/>
      <c r="D4" s="607"/>
      <c r="E4" s="607"/>
      <c r="F4" s="607"/>
      <c r="G4" s="607"/>
      <c r="H4" s="607"/>
      <c r="I4" s="607"/>
      <c r="J4" s="607"/>
      <c r="K4" s="607"/>
      <c r="L4" s="607"/>
      <c r="M4" s="607"/>
      <c r="N4" s="607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-110.097139028</v>
      </c>
      <c r="N7" s="73">
        <v>-120</v>
      </c>
    </row>
    <row r="8" spans="1:19" ht="27" customHeight="1">
      <c r="A8" s="73"/>
      <c r="B8" s="73"/>
      <c r="C8" s="73"/>
      <c r="D8" s="73"/>
      <c r="E8" s="73"/>
      <c r="L8" s="73">
        <v>-111.653479004</v>
      </c>
      <c r="N8" s="73">
        <v>-120</v>
      </c>
    </row>
    <row r="9" spans="1:19" ht="27" customHeight="1">
      <c r="A9" s="73"/>
      <c r="B9" s="73"/>
      <c r="C9" s="73"/>
      <c r="D9" s="73"/>
      <c r="E9" s="73"/>
      <c r="L9" s="73">
        <v>-136.252738282</v>
      </c>
      <c r="N9" s="73">
        <v>-137</v>
      </c>
    </row>
    <row r="10" spans="1:19" ht="27" customHeight="1">
      <c r="A10" s="73"/>
      <c r="B10" s="73"/>
      <c r="C10" s="73"/>
      <c r="D10" s="73"/>
      <c r="E10" s="73"/>
      <c r="L10" s="73">
        <v>-166.59952246099999</v>
      </c>
      <c r="N10" s="73">
        <v>-160</v>
      </c>
    </row>
    <row r="11" spans="1:19" ht="33" customHeight="1">
      <c r="A11" s="73"/>
      <c r="B11" s="73"/>
      <c r="C11" s="73"/>
      <c r="D11" s="73"/>
      <c r="E11" s="73"/>
      <c r="L11" s="73">
        <v>-217.771804688</v>
      </c>
      <c r="N11" s="73">
        <v>-220</v>
      </c>
    </row>
    <row r="12" spans="1:19" ht="27" customHeight="1">
      <c r="A12" s="73"/>
      <c r="B12" s="73"/>
      <c r="C12" s="73"/>
      <c r="D12" s="73"/>
      <c r="E12" s="73"/>
      <c r="L12" s="73">
        <v>-162.015625</v>
      </c>
      <c r="N12" s="73">
        <v>-160</v>
      </c>
    </row>
    <row r="13" spans="1:19" ht="27" customHeight="1">
      <c r="A13" s="73"/>
      <c r="B13" s="73"/>
      <c r="C13" s="73"/>
      <c r="D13" s="73"/>
      <c r="E13" s="73"/>
      <c r="L13" s="73">
        <v>-135.92145507800001</v>
      </c>
      <c r="N13" s="73">
        <v>-138</v>
      </c>
    </row>
    <row r="14" spans="1:19" ht="27" customHeight="1">
      <c r="A14" s="73"/>
      <c r="B14" s="73"/>
      <c r="C14" s="73"/>
      <c r="D14" s="73"/>
      <c r="E14" s="73"/>
      <c r="L14" s="73">
        <v>-189.20746972699999</v>
      </c>
      <c r="N14" s="73">
        <v>-174</v>
      </c>
    </row>
    <row r="15" spans="1:19" ht="27" customHeight="1">
      <c r="A15" s="73"/>
      <c r="B15" s="73"/>
      <c r="C15" s="73"/>
      <c r="D15" s="73"/>
      <c r="E15" s="73"/>
      <c r="L15" s="73">
        <v>-150.337036133</v>
      </c>
      <c r="N15" s="73">
        <v>-151</v>
      </c>
    </row>
    <row r="16" spans="1:19" ht="29.25" customHeight="1">
      <c r="A16" s="73"/>
      <c r="B16" s="73"/>
      <c r="C16" s="73"/>
      <c r="D16" s="73"/>
      <c r="E16" s="73"/>
      <c r="L16" s="73">
        <v>-101.576381348</v>
      </c>
      <c r="N16" s="73">
        <v>-120</v>
      </c>
    </row>
    <row r="17" spans="1:18" ht="29.25" customHeight="1">
      <c r="A17" s="73"/>
      <c r="B17" s="73"/>
      <c r="C17" s="73"/>
      <c r="D17" s="73"/>
      <c r="E17" s="73"/>
      <c r="L17" s="73">
        <v>-105.838426758</v>
      </c>
      <c r="N17" s="73">
        <v>-120</v>
      </c>
    </row>
    <row r="18" spans="1:18" ht="29.25" customHeight="1">
      <c r="A18" s="73"/>
      <c r="B18" s="73"/>
      <c r="C18" s="73"/>
      <c r="D18" s="73"/>
      <c r="E18" s="73"/>
      <c r="L18" s="73">
        <v>-110.669785645</v>
      </c>
      <c r="N18" s="73">
        <v>-120</v>
      </c>
    </row>
    <row r="19" spans="1:18" ht="29.25" customHeight="1">
      <c r="A19" s="73"/>
      <c r="B19" s="73"/>
      <c r="C19" s="73"/>
      <c r="D19" s="73"/>
      <c r="E19" s="73"/>
      <c r="L19" s="73">
        <v>-104.77355957</v>
      </c>
      <c r="N19" s="73">
        <v>-120</v>
      </c>
    </row>
    <row r="20" spans="1:18" ht="29.25" customHeight="1">
      <c r="A20" s="73"/>
      <c r="B20" s="73"/>
      <c r="C20" s="73"/>
      <c r="D20" s="73"/>
      <c r="E20" s="73"/>
      <c r="L20" s="73">
        <v>-113.333415515</v>
      </c>
      <c r="N20" s="73">
        <v>-120</v>
      </c>
    </row>
    <row r="21" spans="1:18" ht="29.25" customHeight="1">
      <c r="A21" s="73"/>
      <c r="B21" s="73"/>
      <c r="C21" s="73"/>
      <c r="D21" s="73"/>
      <c r="E21" s="73"/>
      <c r="L21" s="73">
        <v>-111.460779796</v>
      </c>
      <c r="N21" s="73">
        <v>-120</v>
      </c>
    </row>
    <row r="22" spans="1:18" ht="27" customHeight="1">
      <c r="A22" s="73"/>
      <c r="B22" s="73"/>
      <c r="C22" s="73"/>
      <c r="D22" s="73"/>
      <c r="E22" s="73"/>
      <c r="L22" s="73">
        <v>-135.52072070299999</v>
      </c>
      <c r="N22" s="73">
        <v>-150</v>
      </c>
    </row>
    <row r="23" spans="1:18" ht="27" customHeight="1">
      <c r="A23" s="73"/>
      <c r="B23" s="240"/>
      <c r="C23" s="73"/>
      <c r="D23" s="73"/>
      <c r="E23" s="73"/>
      <c r="L23" s="133">
        <v>-132.972685547</v>
      </c>
      <c r="M23" s="133"/>
      <c r="N23" s="133">
        <v>-130</v>
      </c>
    </row>
    <row r="24" spans="1:18" ht="27" customHeight="1">
      <c r="A24" s="73"/>
      <c r="B24" s="73"/>
      <c r="C24" s="73"/>
      <c r="D24" s="73"/>
      <c r="E24" s="73"/>
      <c r="L24" s="133">
        <v>-105.580881699</v>
      </c>
      <c r="M24" s="133"/>
      <c r="N24" s="133">
        <v>-120</v>
      </c>
    </row>
    <row r="25" spans="1:18" ht="27" customHeight="1">
      <c r="A25" s="73"/>
      <c r="B25" s="73"/>
      <c r="C25" s="73"/>
      <c r="D25" s="73"/>
      <c r="E25" s="73"/>
      <c r="L25" s="133">
        <v>-143.17220800800001</v>
      </c>
      <c r="M25" s="133"/>
      <c r="N25" s="133">
        <v>-150</v>
      </c>
    </row>
    <row r="26" spans="1:18">
      <c r="A26" s="207"/>
      <c r="B26" s="73"/>
      <c r="C26" s="73"/>
      <c r="D26" s="73"/>
      <c r="E26" s="73"/>
      <c r="L26" s="133">
        <v>-170.08019531299999</v>
      </c>
      <c r="M26" s="133"/>
      <c r="N26" s="133">
        <v>-168</v>
      </c>
      <c r="R26" s="205"/>
    </row>
    <row r="27" spans="1:18" ht="27" customHeight="1">
      <c r="A27" s="73"/>
      <c r="B27" s="73"/>
      <c r="C27" s="73"/>
      <c r="D27" s="73"/>
      <c r="E27" s="73"/>
      <c r="L27" s="133">
        <v>-137.277006836</v>
      </c>
      <c r="M27" s="133"/>
      <c r="N27" s="133">
        <v>-120</v>
      </c>
    </row>
    <row r="28" spans="1:18" ht="27" customHeight="1">
      <c r="A28" s="73"/>
      <c r="B28" s="73"/>
      <c r="C28" s="73"/>
      <c r="D28" s="73"/>
      <c r="E28" s="73"/>
      <c r="L28" s="133">
        <v>-118.436673828</v>
      </c>
      <c r="M28" s="133"/>
      <c r="N28" s="133">
        <v>-120</v>
      </c>
    </row>
    <row r="29" spans="1:18" ht="27" customHeight="1">
      <c r="A29" s="73"/>
      <c r="B29" s="73"/>
      <c r="C29" s="73"/>
      <c r="D29" s="73"/>
      <c r="E29" s="73"/>
      <c r="L29" s="133">
        <v>-129.28346923800001</v>
      </c>
      <c r="M29" s="133"/>
      <c r="N29" s="133">
        <v>-120</v>
      </c>
    </row>
    <row r="30" spans="1:18" ht="27" customHeight="1">
      <c r="A30" s="73"/>
      <c r="B30" s="73"/>
      <c r="C30" s="73"/>
      <c r="D30" s="73"/>
      <c r="E30" s="73"/>
      <c r="L30" s="133">
        <v>-129.19482324200001</v>
      </c>
      <c r="M30" s="133"/>
      <c r="N30" s="133">
        <v>-120</v>
      </c>
    </row>
    <row r="31" spans="1:18" ht="27" customHeight="1">
      <c r="A31" s="73"/>
      <c r="B31" s="240" t="s">
        <v>82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9"/>
      <c r="B32" s="639"/>
      <c r="C32" s="639"/>
      <c r="D32" s="638"/>
      <c r="E32" s="638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8"/>
      <c r="E33" s="638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8"/>
      <c r="E34" s="638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43"/>
      <c r="G49" s="643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545F73905A264FA0FA3E20E3A1A493" ma:contentTypeVersion="12" ma:contentTypeDescription="Create a new document." ma:contentTypeScope="" ma:versionID="281365c32d8e7fa0c5ae8f7837cb6c13">
  <xsd:schema xmlns:xsd="http://www.w3.org/2001/XMLSchema" xmlns:xs="http://www.w3.org/2001/XMLSchema" xmlns:p="http://schemas.microsoft.com/office/2006/metadata/properties" xmlns:ns3="37e287b6-728f-4ccb-a1c6-6e5d144bb1a2" xmlns:ns4="9b11b536-af7d-4039-836d-b194c0bb16ab" targetNamespace="http://schemas.microsoft.com/office/2006/metadata/properties" ma:root="true" ma:fieldsID="1a3e59e83f4366971489790c5a797b88" ns3:_="" ns4:_="">
    <xsd:import namespace="37e287b6-728f-4ccb-a1c6-6e5d144bb1a2"/>
    <xsd:import namespace="9b11b536-af7d-4039-836d-b194c0bb1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287b6-728f-4ccb-a1c6-6e5d144bb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1b536-af7d-4039-836d-b194c0bb1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CB3F21-FDD7-4424-82C8-FF508D42E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287b6-728f-4ccb-a1c6-6e5d144bb1a2"/>
    <ds:schemaRef ds:uri="9b11b536-af7d-4039-836d-b194c0bb1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3568D8-BF8B-45EB-91A6-EB8DB03ACD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ABE032-5856-4BD5-8B3F-ACF501B388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9</vt:i4>
      </vt:variant>
    </vt:vector>
  </HeadingPairs>
  <TitlesOfParts>
    <vt:vector size="24" baseType="lpstr">
      <vt:lpstr>Índice</vt:lpstr>
      <vt:lpstr>Presentación</vt:lpstr>
      <vt:lpstr>POE</vt:lpstr>
      <vt:lpstr>GF</vt:lpstr>
      <vt:lpstr>SC</vt:lpstr>
      <vt:lpstr>PPOE</vt:lpstr>
      <vt:lpstr>Curvaspot</vt:lpstr>
      <vt:lpstr>RSO1</vt:lpstr>
      <vt:lpstr>RSO2</vt:lpstr>
      <vt:lpstr>RSO3</vt:lpstr>
      <vt:lpstr>Carga Horaria</vt:lpstr>
      <vt:lpstr>Indisponibilidades</vt:lpstr>
      <vt:lpstr>Curva S.N.I.</vt:lpstr>
      <vt:lpstr>Curva MER</vt:lpstr>
      <vt:lpstr>Curva Interconexión México</vt:lpstr>
      <vt:lpstr>'Curva Interconexión México'!Área_de_impresión</vt:lpstr>
      <vt:lpstr>'Curva MER'!Área_de_impresión</vt:lpstr>
      <vt:lpstr>'Curva S.N.I.'!Área_de_impresión</vt:lpstr>
      <vt:lpstr>Curvaspot!Área_de_impresión</vt:lpstr>
      <vt:lpstr>GF!Área_de_impresión</vt:lpstr>
      <vt:lpstr>'RSO1'!Área_de_impresión</vt:lpstr>
      <vt:lpstr>'RSO2'!Área_de_impresión</vt:lpstr>
      <vt:lpstr>'RSO3'!Área_de_impresión</vt:lpstr>
      <vt:lpstr>Indisponibilidades!Títulos_a_imprimir</vt:lpstr>
    </vt:vector>
  </TitlesOfParts>
  <Company>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 Bonilla</dc:creator>
  <cp:lastModifiedBy>Alberto Fajardo</cp:lastModifiedBy>
  <cp:lastPrinted>2009-02-20T17:37:39Z</cp:lastPrinted>
  <dcterms:created xsi:type="dcterms:W3CDTF">2005-11-10T22:00:46Z</dcterms:created>
  <dcterms:modified xsi:type="dcterms:W3CDTF">2026-10-23T18:07:07Z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0x010100AC545F73905A264FA0FA3E20E3A1A493</vt:lpwstr>
  </property>
</Properties>
</file>
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.muralles\Desktop\23-10-2026\"/>
    </mc:Choice>
  </mc:AlternateContent>
  <xr:revisionPtr revIDLastSave="0" documentId="13_ncr:1_{991088CF-6E57-4D62-AD06-DD6CB5CC3998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T112" i="7" l="1"/>
  <c r="C112" i="7"/>
  <c r="AT82" i="7"/>
  <c r="CI51" i="7"/>
  <c r="AR33" i="7"/>
  <c r="AS33" i="7"/>
  <c r="AR31" i="7"/>
  <c r="AS31" i="7"/>
  <c r="AR32" i="7"/>
  <c r="AS32" i="7"/>
  <c r="AS21" i="7" l="1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T52" i="7"/>
  <c r="C52" i="7"/>
  <c r="AR75" i="7" l="1"/>
  <c r="CI75" i="7"/>
  <c r="AS44" i="7"/>
  <c r="AS43" i="7"/>
  <c r="AS42" i="7"/>
  <c r="AS41" i="7"/>
  <c r="AS40" i="7"/>
  <c r="AS39" i="7"/>
  <c r="AS38" i="7"/>
  <c r="AS37" i="7"/>
  <c r="AS36" i="7"/>
  <c r="AS35" i="7"/>
  <c r="AS34" i="7"/>
  <c r="AS30" i="7"/>
  <c r="AS29" i="7"/>
  <c r="AS28" i="7"/>
  <c r="AS27" i="7"/>
  <c r="AS26" i="7"/>
  <c r="AS25" i="7"/>
  <c r="AS24" i="7"/>
  <c r="AS23" i="7"/>
  <c r="AS22" i="7"/>
  <c r="C82" i="7"/>
  <c r="AR44" i="7"/>
  <c r="AR43" i="7"/>
  <c r="AR42" i="7"/>
  <c r="AR41" i="7"/>
  <c r="AR40" i="7"/>
  <c r="AR39" i="7"/>
  <c r="AR38" i="7"/>
  <c r="AR37" i="7"/>
  <c r="AR36" i="7"/>
  <c r="AR35" i="7"/>
  <c r="AR34" i="7"/>
  <c r="AR30" i="7"/>
  <c r="AR29" i="7"/>
  <c r="AR28" i="7"/>
  <c r="AR27" i="7"/>
  <c r="AR26" i="7"/>
  <c r="AR25" i="7"/>
  <c r="AR24" i="7"/>
  <c r="AR23" i="7"/>
  <c r="AR22" i="7"/>
  <c r="C22" i="7"/>
  <c r="AR21" i="7"/>
  <c r="F32" i="18"/>
  <c r="F33" i="18"/>
  <c r="F34" i="18"/>
  <c r="G32" i="15"/>
  <c r="G33" i="15"/>
  <c r="G31" i="15"/>
  <c r="F31" i="15"/>
  <c r="F32" i="15"/>
  <c r="F33" i="15"/>
  <c r="AS45" i="7" l="1"/>
  <c r="AR45" i="7"/>
  <c r="L1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<sst xmlns="http://schemas.openxmlformats.org/spreadsheetml/2006/main" count="1338" uniqueCount="629">
  <si>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</si>
  <si>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</si>
  <si>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</si>
  <si>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</si>
  <si>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</si>
  <si>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</si>
  <si>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</si>
  <si>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</si>
  <si>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</si>
  <si>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</si>
  <si>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</si>
  <si>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</si>
  <si>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</si>
  <si>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</si>
  <si>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</si>
  <si>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</si>
  <si>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</si>
  <si>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</si>
  <si>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</si>
  <si>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</si>
  <si>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</si>
  <si>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</si>
  <si>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</si>
  <si>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</si>
  <si>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</si>
  <si>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</si>
  <si>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</si>
  <si>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</si>
  <si>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</si>
  <si>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</si>
  <si>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</si>
  <si>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</si>
  <si>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</si>
  <si>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</si>
  <si>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</si>
  <si>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</si>
  <si>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</si>
  <si>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</si>
  <si>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</si>
  <si>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</si>
  <si>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</si>
  <si>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</si>
  <si>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</si>
  <si>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</si>
  <si>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</si>
  <si>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</si>
  <si>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</si>
  <si>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</si>
  <si>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</si>
  <si>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</si>
  <si>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</si>
  <si>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</si>
  <si>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</si>
  <si>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</si>
  <si>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</si>
  <si>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</si>
  <si>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</si>
  <si>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</si>
  <si>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</si>
  <si>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</si>
  <si>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</si>
  <si>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</si>
  <si>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</si>
  <si>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</si>
  <si>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</si>
  <si>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</si>
  <si>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</si>
  <si>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</si>
  <si>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</si>
  <si>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</si>
  <si>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</si>
  <si>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</si>
  <si>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</si>
  <si>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</si>
  <si>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</si>
  <si>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</si>
  <si>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</si>
  <si>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</si>
  <si>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</si>
  <si>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</si>
  <si>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</si>
  <si>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</si>
  <si>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</si>
  <si>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</si>
  <si>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</si>
  <si>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</si>
  <si>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</si>
  <si>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</si>
  <si>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</si>
  <si>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</si>
  <si>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</si>
  <si>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</si>
  <si>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</si>
  <si>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</si>
  <si>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</si>
  <si>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</si>
  <si>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</si>
  <si>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</si>
  <si>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</si>
  <si>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</si>
  <si>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</si>
  <si>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</si>
  <si>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</si>
  <si>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</si>
  <si>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</si>
  <si>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</si>
  <si>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</si>
  <si>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</si>
  <si>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</si>
  <si>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</si>
  <si>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</si>
  <si>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</si>
  <si>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</si>
  <si>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</si>
  <si>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</si>
  <si>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</si>
  <si>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</si>
  <si>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</si>
  <si>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</si>
  <si>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</si>
  <si>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</si>
  <si>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</si>
  <si>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</si>
  <si>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</si>
  <si>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</si>
  <si>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</si>
  <si>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</si>
  <si>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</si>
  <si>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</si>
  <si>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</si>
  <si>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</si>
  <si>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</si>
  <si>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</si>
  <si>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</si>
  <si>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</si>
  <si>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</si>
  <si>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</si>
  <si>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</si>
  <si>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</si>
  <si>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</si>
  <si>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</si>
  <si>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</si>
  <si>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</si>
  <si>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</si>
  <si>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</si>
  <si>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</si>
  <si>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</si>
  <si>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</si>
  <si>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</si>
  <si>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</si>
  <si>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</si>
  <si>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</si>
  <si>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</si>
  <si>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</si>
  <si>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</si>
  <si>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</si>
  <si>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</si>
  <si>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</si>
  <si>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</si>
  <si>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</si>
  <si>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</si>
  <si>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</si>
  <si>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</si>
  <si>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</si>
  <si>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</si>
  <si>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</si>
  <si>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</si>
  <si>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</si>
  <si>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</si>
  <si>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</si>
  <si>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</si>
  <si>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</si>
  <si>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</si>
  <si>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</si>
  <si>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</si>
  <si>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</si>
  <si>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</si>
  <si>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</si>
  <si>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</si>
  <si>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</si>
  <si>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</si>
  <si>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</si>
  <si>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</si>
  <si>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</si>
  <si>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</si>
  <si>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</si>
  <si>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</si>
  <si>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</si>
  <si>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</si>
  <si>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</si>
  <si>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</si>
  <si>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</si>
  <si>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</si>
  <si>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</si>
  <si>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</si>
  <si>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</si>
  <si>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</si>
  <si>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</si>
  <si>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</si>
  <si>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</si>
  <si>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</si>
  <si>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</si>
  <si>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</si>
  <si>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</si>
  <si>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</si>
  <si>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</si>
  <si>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</si>
  <si>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</si>
  <si>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</si>
  <si>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</si>
  <si>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</si>
  <si>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</si>
  <si>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</si>
  <si>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</si>
  <si>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</si>
  <si>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</si>
  <si>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</si>
  <si>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</si>
  <si>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</si>
  <si>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</si>
  <si>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</si>
  <si>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</si>
  <si>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</si>
  <si>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</si>
  <si>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</si>
  <si>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</si>
  <si>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</si>
  <si>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</si>
  <si>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</si>
  <si>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</si>
  <si>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</si>
  <si>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</si>
  <si>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</si>
  <si>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</si>
  <si>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</si>
  <si>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</si>
  <si>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</si>
  <si>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</si>
  <si>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</si>
  <si>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</si>
  <si>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</si>
  <si>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</si>
  <si>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</si>
  <si>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</si>
  <si>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</si>
  <si>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</si>
  <si>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</si>
  <si>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</si>
  <si>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</si>
  <si>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</si>
  <si>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</si>
  <si>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</si>
  <si>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</si>
  <si>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</si>
  <si>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</si>
  <si>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</si>
  <si>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</si>
  <si>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</si>
  <si>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</si>
  <si>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</si>
  <si>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</si>
  <si>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</si>
  <si>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</si>
  <si>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</si>
  <si>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</si>
  <si>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</si>
  <si>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</si>
  <si>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</si>
  <si>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</si>
  <si>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</si>
  <si>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</si>
  <si>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</si>
  <si>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</si>
  <si>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</si>
  <si>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</si>
  <si>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</si>
  <si>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</si>
  <si>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</si>
  <si>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</si>
  <si>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</si>
  <si>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</si>
  <si>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</si>
  <si>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</si>
  <si>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</si>
  <si>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</si>
  <si>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</si>
  <si>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</si>
  <si>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</si>
  <si>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</si>
  <si>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</si>
  <si>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</si>
  <si>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</si>
  <si>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</si>
  <si>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</si>
  <si>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</si>
  <si>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</si>
  <si>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</si>
  <si>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</si>
  <si>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</si>
  <si>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</si>
  <si>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</si>
  <si>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</si>
  <si>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</si>
  <si>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</si>
  <si>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</si>
  <si>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</si>
  <si>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</si>
  <si>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</si>
  <si>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</si>
  <si>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</si>
  <si>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</si>
  <si>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</si>
  <si>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</si>
  <si>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</si>
  <si>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</si>
  <si>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</si>
  <si>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</si>
  <si>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</si>
  <si>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viernes 23 de octubre del 2026</t>
  </si>
  <si>
    <t>viernes 23 de octubre del 2026</t>
  </si>
  <si>
    <t>SAN JOSE</t>
  </si>
  <si>
    <t>JAGUAR ENERGY U1</t>
  </si>
  <si>
    <t>LA LIBERTAD</t>
  </si>
  <si>
    <t>GENERADORA SANTA LUCIA</t>
  </si>
  <si>
    <t>GENOR</t>
  </si>
  <si>
    <t>TRINIDAD BLOQUE 4</t>
  </si>
  <si>
    <t>AYP</t>
  </si>
  <si>
    <t>REPRO</t>
  </si>
  <si>
    <t>RRO</t>
  </si>
  <si>
    <t>CHX-H2</t>
  </si>
  <si>
    <t>CHX-H3</t>
  </si>
  <si>
    <t>JUR-H3</t>
  </si>
  <si>
    <t>ARI-O1</t>
  </si>
  <si>
    <t>ARI-O10</t>
  </si>
  <si>
    <t>ARI-O2</t>
  </si>
  <si>
    <t>ARI-O3</t>
  </si>
  <si>
    <t>ARI-O4</t>
  </si>
  <si>
    <t>ARI-O5</t>
  </si>
  <si>
    <t>ARI-O6</t>
  </si>
  <si>
    <t>ARI-O7</t>
  </si>
  <si>
    <t>ARI-O9</t>
  </si>
  <si>
    <t>LVA-H1</t>
  </si>
  <si>
    <t>LVA-H2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</si>
  <si>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</si>
  <si>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</si>
  <si>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</si>
  <si>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</si>
  <si>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</si>
  <si>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</si>
  <si>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</si>
  <si>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</si>
  <si>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</si>
  <si>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</si>
  <si>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</si>
  <si>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</si>
  <si>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</si>
  <si>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</si>
  <si>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</si>
  <si>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</si>
  <si>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</si>
  <si>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</si>
  <si>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</si>
  <si>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</si>
  <si>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</si>
  <si>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</si>
  <si>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</si>
  <si>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</si>
  <si>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</si>
  <si>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TEXTILES DEL LAGO 2</t>
  </si>
  <si>
    <t>LAS PALMAS 5</t>
  </si>
  <si>
    <t>JUR-H1</t>
  </si>
  <si>
    <t>AGU-H1</t>
  </si>
  <si>
    <t>CHX-H1</t>
  </si>
  <si>
    <t>REN-H1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</si>
  <si>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</si>
  <si>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</si>
  <si>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</si>
  <si>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</si>
  <si>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</si>
  <si>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AMM-OCT26-GEN310
26-oct	lun	23:59
</t>
  </si>
  <si>
    <t>AGU-H2</t>
  </si>
  <si>
    <t>AGU-H3</t>
  </si>
  <si>
    <t>AMM-OCT26-GEN304, finaliza hoy 23/10/2026 a las 16:00 h.</t>
  </si>
  <si>
    <t xml:space="preserve">AMM-OCT26-GEN311	24-oct	sáb	06:00	24-oct	sáb	16:00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</si>
  <si>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</si>
  <si>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</si>
  <si>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</si>
  <si>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</si>
  <si>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</si>
  <si>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</si>
  <si>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</si>
  <si>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</si>
  <si>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</si>
  <si>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</si>
  <si>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</si>
  <si>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</si>
  <si>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</si>
  <si>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</si>
  <si>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</si>
  <si>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</si>
  <si>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</si>
  <si>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</si>
  <si>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</si>
  <si>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</si>
  <si>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CBN-H1</t>
  </si>
  <si>
    <t>Disparo de Unidad, disparo de la linea 13.8 kV</t>
  </si>
  <si>
    <t>CBN-H2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</si>
  <si>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</si>
  <si>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</si>
  <si>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</si>
  <si>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</si>
  <si>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</si>
  <si>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</si>
  <si>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</si>
  <si>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</si>
  <si>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</si>
  <si>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</si>
  <si>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</si>
  <si>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</si>
  <si>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</si>
  <si>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</si>
  <si>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</si>
  <si>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</si>
  <si>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</si>
  <si>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</si>
  <si>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</si>
  <si>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</si>
  <si>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</si>
  <si>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</si>
  <si>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</si>
  <si>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</si>
  <si>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</si>
  <si>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</si>
  <si>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</si>
  <si>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</si>
  <si>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</si>
  <si>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</si>
  <si>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</si>
  <si>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</si>
  <si>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</si>
  <si>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</si>
  <si>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</si>
  <si>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</si>
  <si>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</si>
  <si>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</si>
  <si>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</si>
  <si>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</si>
  <si>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</si>
  <si>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</si>
  <si>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</si>
  <si>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</si>
  <si>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</si>
  <si>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</si>
  <si>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Salida Forzada, sin combustible.</t>
  </si>
  <si>
    <t>No atribuible al generador</t>
  </si>
  <si>
    <t>quedó sin tensión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</si>
  <si>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</si>
  <si>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</si>
  <si>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</si>
  <si>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</si>
  <si>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</si>
  <si>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</si>
  <si>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</si>
  <si>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</si>
  <si>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</si>
  <si>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</si>
  <si>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</si>
  <si>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</si>
  <si>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HCR-H1</t>
  </si>
  <si>
    <t>variacion de tension</t>
  </si>
  <si>
    <t>HEL-H1</t>
  </si>
  <si>
    <t>Informo el operador que ya no estarán vendiendo potencia y energia al Mercado Mayorista.</t>
  </si>
  <si>
    <t>HHS-H1</t>
  </si>
  <si>
    <t>Perdida de tension</t>
  </si>
  <si>
    <t>HIX-H1</t>
  </si>
  <si>
    <t>Pérdida de tensión.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</si>
  <si>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</si>
  <si>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</si>
  <si>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HPT-H2</t>
  </si>
  <si>
    <t>Disparo de Unidad,Apertura de recloser principal</t>
  </si>
  <si>
    <t>HSM-H1</t>
  </si>
  <si>
    <t>sin tension</t>
  </si>
  <si>
    <t>Por microcorte</t>
  </si>
  <si>
    <t>sin tensión.</t>
  </si>
  <si>
    <t>Pérdio tension</t>
  </si>
  <si>
    <t>HSM-H2</t>
  </si>
  <si>
    <t>HSM-H3</t>
  </si>
  <si>
    <t>HUV-H1</t>
  </si>
  <si>
    <t>Salida Forzada,Por limpieza de reja</t>
  </si>
  <si>
    <t>HXO-H1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</si>
  <si>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</si>
  <si>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</si>
  <si>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</si>
  <si>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</si>
  <si>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</si>
  <si>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</si>
  <si>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</si>
  <si>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</si>
  <si>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</si>
  <si>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</si>
  <si>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ISI-B1</t>
  </si>
  <si>
    <t>Degradación según registro de carga horaria</t>
  </si>
  <si>
    <t>Por consumos de la unidad JEN-C2.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</si>
  <si>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</si>
  <si>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</si>
  <si>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</si>
  <si>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</si>
  <si>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</si>
  <si>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</si>
  <si>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</si>
  <si>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</si>
  <si>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</si>
  <si>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</si>
  <si>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</si>
  <si>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</si>
  <si>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</si>
  <si>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</si>
  <si>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mantenimiento AMM-OCT26-GEN281 finaliza el 23/10/2026  a las 23:59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</si>
  <si>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</si>
  <si>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</si>
  <si>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</si>
  <si>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</si>
  <si>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</si>
  <si>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</si>
  <si>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</si>
  <si>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</si>
  <si>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</si>
  <si>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OCT-G9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</si>
  <si>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Informan que la unidad no puede entrar por falla en válvula de gas</t>
  </si>
  <si>
    <t>OXL-G1</t>
  </si>
  <si>
    <t>Disparo de Unidad, presion en filtro de aceite</t>
  </si>
  <si>
    <t>OXL-G2</t>
  </si>
  <si>
    <t>Disparo de Unidad,baja presión en sistema de presurización de gas.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</si>
  <si>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</si>
  <si>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</si>
  <si>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</si>
  <si>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</si>
  <si>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</si>
  <si>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</si>
  <si>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</si>
  <si>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</si>
  <si>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</si>
  <si>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</si>
  <si>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</si>
  <si>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</si>
  <si>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</si>
  <si>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</si>
  <si>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</si>
  <si>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</si>
  <si>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</si>
  <si>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</si>
  <si>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</si>
  <si>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</si>
  <si>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</si>
  <si>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</si>
  <si>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</si>
  <si>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</si>
  <si>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</si>
  <si>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</si>
  <si>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</si>
  <si>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</si>
  <si>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</si>
  <si>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</si>
  <si>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</si>
  <si>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</si>
  <si>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</si>
  <si>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</si>
  <si>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</si>
  <si>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</si>
  <si>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</si>
  <si>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</si>
  <si>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</si>
  <si>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</si>
  <si>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</si>
  <si>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</si>
  <si>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</si>
  <si>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</si>
  <si>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</si>
  <si>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</si>
  <si>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</si>
  <si>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</si>
  <si>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</si>
  <si>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SAL-H1</t>
  </si>
  <si>
    <t>Mantenimiento AMM-OCT26-GEN306 que finaliza a las 23:59 h</t>
  </si>
  <si>
    <t>SAL-H2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</si>
  <si>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</si>
  <si>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</si>
  <si>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</si>
  <si>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</si>
  <si>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</si>
  <si>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</si>
  <si>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</si>
  <si>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</si>
  <si>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</si>
  <si>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</si>
  <si>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</si>
  <si>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</si>
  <si>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</si>
  <si>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</si>
  <si>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>por rotura de pin.</t>
  </si>
  <si>
    <t>TAM-I1</t>
  </si>
  <si>
    <t>TAM-I2</t>
  </si>
  <si>
    <t>TAM-I3</t>
  </si>
  <si>
    <t>TAM-I4</t>
  </si>
  <si>
    <t>Por desconexión del trafo elevador del SNI</t>
  </si>
  <si>
    <t>Salida Forzada, problemas en parrilla viajera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</si>
  <si>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</si>
  <si>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</si>
  <si>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</si>
  <si>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</si>
  <si>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</si>
  <si>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</si>
  <si>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>OCULTUN</t>
  </si>
  <si>
    <t>OOXOL</t>
  </si>
  <si>
    <t xml:space="preserve">GENERADORA SANTA LUCIA </t>
  </si>
  <si>
    <t>TÉRMICA B3,B4</t>
  </si>
  <si>
    <t>Menor aporte hidrológico en centrales hidráulicas con embalse de regulación diaria, menor aporte en centrales eólicas y solares.</t>
  </si>
  <si>
    <t>Menor aporte hidrológico en centrales hidráulicas con embalse de regulación diaria.</t>
  </si>
  <si>
    <t>Demanda arriba de lo programado, indisponibilidad de unidades térmicas, ver hoja de indisponibilidades.</t>
  </si>
  <si>
    <t>Demanda debajo de lo programado, mayor aporte hidrológico en centrales hidráulicas con embalse de regulación diaria.</t>
  </si>
  <si>
    <t>Demanda debajo de lo programado, mayor aporte en centrales eólicas y solares.</t>
  </si>
  <si>
    <t>Menor aporte hidrológico en centrales hidráulicas con embalse de regulación diaria, indisponibilidad de unidades térmicas, ver hoja de indisponibilidades.</t>
  </si>
  <si>
    <t>Mayor aporte hidrológico en centrales hidráulicas con embalse de regulación diaria.</t>
  </si>
  <si>
    <t>Menor aporte en centrales eólicas y solares.</t>
  </si>
  <si>
    <t/>
  </si>
  <si>
    <t>Menor aporte hidrológico en centrales hidráulicas con embalse de regulación diaria, menor aporte en centrales eólicas.</t>
  </si>
  <si>
    <t>Demanda arriba de lo programado, menor aporte en centrales eólicas.</t>
  </si>
  <si>
    <t>Demanda debajo de lo programado, mayor aporte en centrales eólicas.</t>
  </si>
  <si>
    <t>Mayor aporte en centrales eólicas.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</si>
</sst>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70.887977219999996</c:v>
                </c:pt>
                <c:pt idx="1">
                  <c:v>52.364418309999998</c:v>
                </c:pt>
                <c:pt idx="2">
                  <c:v>52.364418309999998</c:v>
                </c:pt>
                <c:pt idx="3">
                  <c:v>52.364418309999998</c:v>
                </c:pt>
                <c:pt idx="4">
                  <c:v>52.364418309999998</c:v>
                </c:pt>
                <c:pt idx="5">
                  <c:v>70.887977219999996</c:v>
                </c:pt>
                <c:pt idx="6">
                  <c:v>78.991859300000002</c:v>
                </c:pt>
                <c:pt idx="7">
                  <c:v>78.991859300000002</c:v>
                </c:pt>
                <c:pt idx="8">
                  <c:v>78.991859300000002</c:v>
                </c:pt>
                <c:pt idx="9">
                  <c:v>52.775001830000001</c:v>
                </c:pt>
                <c:pt idx="10">
                  <c:v>77.897139120000006</c:v>
                </c:pt>
                <c:pt idx="11">
                  <c:v>77.897139120000006</c:v>
                </c:pt>
                <c:pt idx="12">
                  <c:v>77.897139120000006</c:v>
                </c:pt>
                <c:pt idx="13">
                  <c:v>80.934990679999999</c:v>
                </c:pt>
                <c:pt idx="14">
                  <c:v>80.934990679999999</c:v>
                </c:pt>
                <c:pt idx="15">
                  <c:v>117.9348195</c:v>
                </c:pt>
                <c:pt idx="16">
                  <c:v>120.11920135</c:v>
                </c:pt>
                <c:pt idx="17">
                  <c:v>201.52343117999999</c:v>
                </c:pt>
                <c:pt idx="18">
                  <c:v>185.78889913</c:v>
                </c:pt>
                <c:pt idx="19">
                  <c:v>165.27736263</c:v>
                </c:pt>
                <c:pt idx="20">
                  <c:v>119.56459689</c:v>
                </c:pt>
                <c:pt idx="21">
                  <c:v>80.408657460000001</c:v>
                </c:pt>
                <c:pt idx="22">
                  <c:v>74.89893103</c:v>
                </c:pt>
                <c:pt idx="23">
                  <c:v>52.364418309999998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80.1668057279377</c:v>
                </c:pt>
                <c:pt idx="1">
                  <c:v>80.1668057279377</c:v>
                </c:pt>
                <c:pt idx="2">
                  <c:v>66.129284501242694</c:v>
                </c:pt>
                <c:pt idx="3">
                  <c:v>70.365360056359805</c:v>
                </c:pt>
                <c:pt idx="4">
                  <c:v>70.365360056359805</c:v>
                </c:pt>
                <c:pt idx="5">
                  <c:v>70.365360056359805</c:v>
                </c:pt>
                <c:pt idx="6">
                  <c:v>66.782480268210193</c:v>
                </c:pt>
                <c:pt idx="7">
                  <c:v>71.060397900434694</c:v>
                </c:pt>
                <c:pt idx="8">
                  <c:v>74.235654185928198</c:v>
                </c:pt>
                <c:pt idx="9">
                  <c:v>74.235654185928198</c:v>
                </c:pt>
                <c:pt idx="10">
                  <c:v>74.151309326717495</c:v>
                </c:pt>
                <c:pt idx="11">
                  <c:v>74.151309326717495</c:v>
                </c:pt>
                <c:pt idx="12">
                  <c:v>74.151309326717495</c:v>
                </c:pt>
                <c:pt idx="13">
                  <c:v>71.060397900434694</c:v>
                </c:pt>
                <c:pt idx="14">
                  <c:v>109.89964844000001</c:v>
                </c:pt>
                <c:pt idx="15">
                  <c:v>141.14507249093401</c:v>
                </c:pt>
                <c:pt idx="16">
                  <c:v>144.05427069000001</c:v>
                </c:pt>
                <c:pt idx="17">
                  <c:v>144.05427069000001</c:v>
                </c:pt>
                <c:pt idx="18">
                  <c:v>157.24373722999999</c:v>
                </c:pt>
                <c:pt idx="19">
                  <c:v>119.564596891951</c:v>
                </c:pt>
                <c:pt idx="20">
                  <c:v>109.81992825</c:v>
                </c:pt>
                <c:pt idx="21">
                  <c:v>80.408657463718896</c:v>
                </c:pt>
                <c:pt idx="22">
                  <c:v>80.408657463718896</c:v>
                </c:pt>
                <c:pt idx="23">
                  <c:v>87.106165819971196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2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1493.88</c:v>
                </c:pt>
                <c:pt idx="1">
                  <c:v>1446.25</c:v>
                </c:pt>
                <c:pt idx="2">
                  <c:v>1419.12</c:v>
                </c:pt>
                <c:pt idx="3">
                  <c:v>1372.42</c:v>
                </c:pt>
                <c:pt idx="4">
                  <c:v>1471.79</c:v>
                </c:pt>
                <c:pt idx="5">
                  <c:v>1583.15</c:v>
                </c:pt>
                <c:pt idx="6">
                  <c:v>1688.91</c:v>
                </c:pt>
                <c:pt idx="7">
                  <c:v>1735.88</c:v>
                </c:pt>
                <c:pt idx="8">
                  <c:v>1760.88</c:v>
                </c:pt>
                <c:pt idx="9">
                  <c:v>1773.15</c:v>
                </c:pt>
                <c:pt idx="10">
                  <c:v>1793.8</c:v>
                </c:pt>
                <c:pt idx="11">
                  <c:v>1828.83</c:v>
                </c:pt>
                <c:pt idx="12">
                  <c:v>1812.41</c:v>
                </c:pt>
                <c:pt idx="13">
                  <c:v>1939.05</c:v>
                </c:pt>
                <c:pt idx="14">
                  <c:v>1999.9</c:v>
                </c:pt>
                <c:pt idx="15">
                  <c:v>1966.56</c:v>
                </c:pt>
                <c:pt idx="16">
                  <c:v>1977.2</c:v>
                </c:pt>
                <c:pt idx="17">
                  <c:v>2082.44</c:v>
                </c:pt>
                <c:pt idx="18">
                  <c:v>2046.06</c:v>
                </c:pt>
                <c:pt idx="19">
                  <c:v>1994.72</c:v>
                </c:pt>
                <c:pt idx="20">
                  <c:v>1918.81</c:v>
                </c:pt>
                <c:pt idx="21">
                  <c:v>1721.31</c:v>
                </c:pt>
                <c:pt idx="22">
                  <c:v>1694.68</c:v>
                </c:pt>
                <c:pt idx="23">
                  <c:v>1570.74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1516.75</c:v>
                </c:pt>
                <c:pt idx="1">
                  <c:v>1489.58</c:v>
                </c:pt>
                <c:pt idx="2">
                  <c:v>1496.42</c:v>
                </c:pt>
                <c:pt idx="3">
                  <c:v>1448.53</c:v>
                </c:pt>
                <c:pt idx="4">
                  <c:v>1566.22</c:v>
                </c:pt>
                <c:pt idx="5">
                  <c:v>1638.66</c:v>
                </c:pt>
                <c:pt idx="6">
                  <c:v>1781.51</c:v>
                </c:pt>
                <c:pt idx="7">
                  <c:v>1846.28</c:v>
                </c:pt>
                <c:pt idx="8">
                  <c:v>1872.64</c:v>
                </c:pt>
                <c:pt idx="9">
                  <c:v>1901.72</c:v>
                </c:pt>
                <c:pt idx="10">
                  <c:v>1942.96</c:v>
                </c:pt>
                <c:pt idx="11">
                  <c:v>2004.95</c:v>
                </c:pt>
                <c:pt idx="12">
                  <c:v>1992.4</c:v>
                </c:pt>
                <c:pt idx="13">
                  <c:v>2042.94</c:v>
                </c:pt>
                <c:pt idx="14">
                  <c:v>2119.54</c:v>
                </c:pt>
                <c:pt idx="15">
                  <c:v>2051.38</c:v>
                </c:pt>
                <c:pt idx="16">
                  <c:v>2114.06</c:v>
                </c:pt>
                <c:pt idx="17">
                  <c:v>2219.84</c:v>
                </c:pt>
                <c:pt idx="18">
                  <c:v>2232.9</c:v>
                </c:pt>
                <c:pt idx="19">
                  <c:v>2200.9899999999998</c:v>
                </c:pt>
                <c:pt idx="20">
                  <c:v>2122.25</c:v>
                </c:pt>
                <c:pt idx="21">
                  <c:v>1817.85</c:v>
                </c:pt>
                <c:pt idx="22">
                  <c:v>1702.97</c:v>
                </c:pt>
                <c:pt idx="23">
                  <c:v>1592.18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196.5904903</c:v>
                </c:pt>
                <c:pt idx="1">
                  <c:v>183.46308590000001</c:v>
                </c:pt>
                <c:pt idx="2">
                  <c:v>182.02031250000002</c:v>
                </c:pt>
                <c:pt idx="3">
                  <c:v>179.23297170000001</c:v>
                </c:pt>
                <c:pt idx="4">
                  <c:v>178.17556540000001</c:v>
                </c:pt>
                <c:pt idx="5">
                  <c:v>184.06897850000001</c:v>
                </c:pt>
                <c:pt idx="6">
                  <c:v>129.94235365</c:v>
                </c:pt>
                <c:pt idx="7">
                  <c:v>147.15034203000002</c:v>
                </c:pt>
                <c:pt idx="8">
                  <c:v>140.32326019999999</c:v>
                </c:pt>
                <c:pt idx="9">
                  <c:v>136.74016449999999</c:v>
                </c:pt>
                <c:pt idx="10">
                  <c:v>88.212000599999996</c:v>
                </c:pt>
                <c:pt idx="11">
                  <c:v>69.409477820000006</c:v>
                </c:pt>
                <c:pt idx="12">
                  <c:v>68.892137600000012</c:v>
                </c:pt>
                <c:pt idx="13">
                  <c:v>132.92989349999999</c:v>
                </c:pt>
                <c:pt idx="14">
                  <c:v>127.21264160000001</c:v>
                </c:pt>
                <c:pt idx="15">
                  <c:v>117.52189331</c:v>
                </c:pt>
                <c:pt idx="16">
                  <c:v>97.832970919999994</c:v>
                </c:pt>
                <c:pt idx="17">
                  <c:v>83.979241209999998</c:v>
                </c:pt>
                <c:pt idx="18">
                  <c:v>43.933746550000002</c:v>
                </c:pt>
                <c:pt idx="19">
                  <c:v>46.641308729999999</c:v>
                </c:pt>
                <c:pt idx="20">
                  <c:v>46.251061149999998</c:v>
                </c:pt>
                <c:pt idx="21">
                  <c:v>68.118629250000012</c:v>
                </c:pt>
                <c:pt idx="22">
                  <c:v>170.14139840000001</c:v>
                </c:pt>
                <c:pt idx="23">
                  <c:v>200.83118839999997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187.33</c:v>
                </c:pt>
                <c:pt idx="1">
                  <c:v>186.81200000000001</c:v>
                </c:pt>
                <c:pt idx="2">
                  <c:v>182.56200000000001</c:v>
                </c:pt>
                <c:pt idx="3">
                  <c:v>185.745</c:v>
                </c:pt>
                <c:pt idx="4">
                  <c:v>182.56200000000001</c:v>
                </c:pt>
                <c:pt idx="5">
                  <c:v>182.84099999999998</c:v>
                </c:pt>
                <c:pt idx="6">
                  <c:v>154.13400000000001</c:v>
                </c:pt>
                <c:pt idx="7">
                  <c:v>140.096</c:v>
                </c:pt>
                <c:pt idx="8">
                  <c:v>139.435</c:v>
                </c:pt>
                <c:pt idx="9">
                  <c:v>138.71899999999999</c:v>
                </c:pt>
                <c:pt idx="10">
                  <c:v>82.176999999999992</c:v>
                </c:pt>
                <c:pt idx="11">
                  <c:v>81.843999999999994</c:v>
                </c:pt>
                <c:pt idx="12">
                  <c:v>70.897000000000006</c:v>
                </c:pt>
                <c:pt idx="13">
                  <c:v>137.846</c:v>
                </c:pt>
                <c:pt idx="14">
                  <c:v>130.4</c:v>
                </c:pt>
                <c:pt idx="15">
                  <c:v>119.33399999999999</c:v>
                </c:pt>
                <c:pt idx="16">
                  <c:v>109.86699999999999</c:v>
                </c:pt>
                <c:pt idx="17">
                  <c:v>92.675999999999988</c:v>
                </c:pt>
                <c:pt idx="18">
                  <c:v>45.295999999999999</c:v>
                </c:pt>
                <c:pt idx="19">
                  <c:v>45.295999999999999</c:v>
                </c:pt>
                <c:pt idx="20">
                  <c:v>45.295999999999999</c:v>
                </c:pt>
                <c:pt idx="21">
                  <c:v>61.355999999999995</c:v>
                </c:pt>
                <c:pt idx="22">
                  <c:v>171.58</c:v>
                </c:pt>
                <c:pt idx="23">
                  <c:v>194.65800000000002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-188.89005800000001</c:v>
                </c:pt>
                <c:pt idx="1">
                  <c:v>-218.961805</c:v>
                </c:pt>
                <c:pt idx="2">
                  <c:v>-231.25752499999999</c:v>
                </c:pt>
                <c:pt idx="3">
                  <c:v>-224.78420299999999</c:v>
                </c:pt>
                <c:pt idx="4">
                  <c:v>-232.91197099999999</c:v>
                </c:pt>
                <c:pt idx="5">
                  <c:v>-242.38293400000001</c:v>
                </c:pt>
                <c:pt idx="6">
                  <c:v>-207.417652</c:v>
                </c:pt>
                <c:pt idx="7">
                  <c:v>-239.63788600000001</c:v>
                </c:pt>
                <c:pt idx="8">
                  <c:v>-231.5539</c:v>
                </c:pt>
                <c:pt idx="9">
                  <c:v>-235.12145100000001</c:v>
                </c:pt>
                <c:pt idx="10">
                  <c:v>-235.47808699999999</c:v>
                </c:pt>
                <c:pt idx="11">
                  <c:v>-216.216656</c:v>
                </c:pt>
                <c:pt idx="12">
                  <c:v>-231.450197</c:v>
                </c:pt>
                <c:pt idx="13">
                  <c:v>-238.18653900000001</c:v>
                </c:pt>
                <c:pt idx="14">
                  <c:v>-233.153355</c:v>
                </c:pt>
                <c:pt idx="15">
                  <c:v>-238.137699</c:v>
                </c:pt>
                <c:pt idx="16">
                  <c:v>-224.890807</c:v>
                </c:pt>
                <c:pt idx="17">
                  <c:v>-225.930981</c:v>
                </c:pt>
                <c:pt idx="18">
                  <c:v>-229.89380700000001</c:v>
                </c:pt>
                <c:pt idx="19">
                  <c:v>-242.90739099999999</c:v>
                </c:pt>
                <c:pt idx="20">
                  <c:v>-236.098758</c:v>
                </c:pt>
                <c:pt idx="21">
                  <c:v>-240.06034399999999</c:v>
                </c:pt>
                <c:pt idx="22">
                  <c:v>-205.74787599999999</c:v>
                </c:pt>
                <c:pt idx="23">
                  <c:v>-238.90723199999999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-180</c:v>
                </c:pt>
                <c:pt idx="1">
                  <c:v>-225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-240</c:v>
                </c:pt>
                <c:pt idx="18">
                  <c:v>-240</c:v>
                </c:pt>
                <c:pt idx="19">
                  <c:v>-240</c:v>
                </c:pt>
                <c:pt idx="20">
                  <c:v>-240</c:v>
                </c:pt>
                <c:pt idx="21">
                  <c:v>-240</c:v>
                </c:pt>
                <c:pt idx="22">
                  <c:v>-207</c:v>
                </c:pt>
                <c:pt idx="23">
                  <c:v>-240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42</xdr:row>
          <xdr:rowOff>171450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1323975</xdr:colOff>
          <xdr:row>26</xdr:row>
          <xdr:rowOff>95250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C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C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C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C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C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D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D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D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E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E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E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23" totalsRowShown="0" headerRowDxfId="28" headerRowBorderDxfId="27" tableBorderDxfId="26" totalsRowBorderDxfId="25" headerRowCellStyle="Normal_Hoja1">
  <autoFilter ref="A6:M223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67" t="s">
        <v>0</v>
      </c>
      <c r="C2" s="467"/>
      <c r="D2" s="467"/>
      <c r="E2" s="467"/>
      <c r="F2" s="467"/>
      <c r="G2" s="467"/>
      <c r="H2" s="467"/>
      <c r="I2" s="218"/>
    </row>
    <row r="3" spans="1:9" ht="16.5" customHeight="1">
      <c r="B3" s="476" t="s">
        <v>47</v>
      </c>
      <c r="C3" s="476"/>
      <c r="D3" s="476"/>
      <c r="E3" s="476"/>
      <c r="F3" s="476"/>
      <c r="G3" s="476"/>
      <c r="H3" s="476"/>
      <c r="I3" s="218"/>
    </row>
    <row r="4" spans="1:9" ht="16.5" customHeight="1">
      <c r="B4" s="468" t="s">
        <v>318</v>
      </c>
      <c r="C4" s="468"/>
      <c r="D4" s="468"/>
      <c r="E4" s="468"/>
      <c r="F4" s="468"/>
      <c r="G4" s="468"/>
      <c r="H4" s="468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72" t="s">
        <v>56</v>
      </c>
      <c r="C6" s="473"/>
      <c r="D6" s="473"/>
      <c r="E6" s="473"/>
      <c r="F6" s="473"/>
      <c r="G6" s="473"/>
      <c r="H6" s="474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69" t="s">
        <v>2</v>
      </c>
      <c r="C8" s="470"/>
      <c r="D8" s="470"/>
      <c r="E8" s="470"/>
      <c r="F8" s="470"/>
      <c r="G8" s="470"/>
      <c r="H8" s="471"/>
    </row>
    <row r="9" spans="1:9" ht="6.75" customHeight="1" thickBot="1">
      <c r="B9" s="475"/>
      <c r="C9" s="475"/>
      <c r="D9" s="475"/>
      <c r="E9" s="475"/>
      <c r="F9" s="475"/>
      <c r="G9" s="475"/>
      <c r="H9" s="475"/>
    </row>
    <row r="10" spans="1:9" ht="30" customHeight="1" thickBot="1">
      <c r="B10" s="478" t="s">
        <v>4</v>
      </c>
      <c r="C10" s="479"/>
      <c r="D10" s="479"/>
      <c r="E10" s="479"/>
      <c r="F10" s="479"/>
      <c r="G10" s="479"/>
      <c r="H10" s="480"/>
    </row>
    <row r="11" spans="1:9" ht="5.25" customHeight="1" thickBot="1">
      <c r="B11" s="475"/>
      <c r="C11" s="475"/>
      <c r="D11" s="475"/>
      <c r="E11" s="475"/>
      <c r="F11" s="475"/>
      <c r="G11" s="475"/>
      <c r="H11" s="475"/>
    </row>
    <row r="12" spans="1:9" ht="30" customHeight="1" thickBot="1">
      <c r="B12" s="481" t="s">
        <v>5</v>
      </c>
      <c r="C12" s="482"/>
      <c r="D12" s="482"/>
      <c r="E12" s="482"/>
      <c r="F12" s="482"/>
      <c r="G12" s="482"/>
      <c r="H12" s="483"/>
    </row>
    <row r="13" spans="1:9" ht="5.25" customHeight="1" thickBot="1">
      <c r="B13" s="475"/>
      <c r="C13" s="475"/>
      <c r="D13" s="475"/>
      <c r="E13" s="475"/>
      <c r="F13" s="475"/>
      <c r="G13" s="475"/>
      <c r="H13" s="475"/>
    </row>
    <row r="14" spans="1:9" ht="30" customHeight="1" thickBot="1">
      <c r="B14" s="469" t="s">
        <v>3</v>
      </c>
      <c r="C14" s="470"/>
      <c r="D14" s="470"/>
      <c r="E14" s="470"/>
      <c r="F14" s="470"/>
      <c r="G14" s="470"/>
      <c r="H14" s="471"/>
    </row>
    <row r="15" spans="1:9" ht="5.25" customHeight="1" thickBot="1">
      <c r="B15" s="475"/>
      <c r="C15" s="475"/>
      <c r="D15" s="475"/>
      <c r="E15" s="475"/>
      <c r="F15" s="475"/>
      <c r="G15" s="475"/>
      <c r="H15" s="475"/>
    </row>
    <row r="16" spans="1:9" ht="30" customHeight="1" thickBot="1">
      <c r="B16" s="464" t="s">
        <v>63</v>
      </c>
      <c r="C16" s="465"/>
      <c r="D16" s="465"/>
      <c r="E16" s="465"/>
      <c r="F16" s="465"/>
      <c r="G16" s="465"/>
      <c r="H16" s="466"/>
    </row>
    <row r="17" spans="2:10" ht="5.25" customHeight="1" thickBot="1">
      <c r="B17" s="487"/>
      <c r="C17" s="487"/>
      <c r="D17" s="487"/>
      <c r="E17" s="487"/>
      <c r="F17" s="487"/>
      <c r="G17" s="487"/>
      <c r="H17" s="487"/>
    </row>
    <row r="18" spans="2:10" ht="30" customHeight="1" thickBot="1">
      <c r="B18" s="488" t="s">
        <v>60</v>
      </c>
      <c r="C18" s="489"/>
      <c r="D18" s="489"/>
      <c r="E18" s="489"/>
      <c r="F18" s="489"/>
      <c r="G18" s="489"/>
      <c r="H18" s="490"/>
      <c r="I18" s="221"/>
      <c r="J18" s="3"/>
    </row>
    <row r="19" spans="2:10" ht="5.25" customHeight="1" thickBot="1">
      <c r="B19" s="487"/>
      <c r="C19" s="487"/>
      <c r="D19" s="487"/>
      <c r="E19" s="487"/>
      <c r="F19" s="487"/>
      <c r="G19" s="487"/>
      <c r="H19" s="487"/>
    </row>
    <row r="20" spans="2:10" ht="30" customHeight="1" thickBot="1">
      <c r="B20" s="461" t="s">
        <v>61</v>
      </c>
      <c r="C20" s="462"/>
      <c r="D20" s="462"/>
      <c r="E20" s="462"/>
      <c r="F20" s="462"/>
      <c r="G20" s="462"/>
      <c r="H20" s="463"/>
    </row>
    <row r="21" spans="2:10" ht="5.25" customHeight="1" thickBot="1">
      <c r="B21" s="475"/>
      <c r="C21" s="475"/>
      <c r="D21" s="475"/>
      <c r="E21" s="475"/>
      <c r="F21" s="475"/>
      <c r="G21" s="475"/>
      <c r="H21" s="475"/>
    </row>
    <row r="22" spans="2:10" ht="30" customHeight="1" thickBot="1">
      <c r="B22" s="461" t="s">
        <v>293</v>
      </c>
      <c r="C22" s="462"/>
      <c r="D22" s="462"/>
      <c r="E22" s="462"/>
      <c r="F22" s="462"/>
      <c r="G22" s="462"/>
      <c r="H22" s="463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91" t="s">
        <v>1</v>
      </c>
      <c r="C24" s="492"/>
      <c r="D24" s="492"/>
      <c r="E24" s="492"/>
      <c r="F24" s="492"/>
      <c r="G24" s="492"/>
      <c r="H24" s="493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84" t="s">
        <v>64</v>
      </c>
      <c r="C26" s="485"/>
      <c r="D26" s="485"/>
      <c r="E26" s="485"/>
      <c r="F26" s="485"/>
      <c r="G26" s="485"/>
      <c r="H26" s="486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64" t="s">
        <v>62</v>
      </c>
      <c r="C28" s="465"/>
      <c r="D28" s="465"/>
      <c r="E28" s="465"/>
      <c r="F28" s="465"/>
      <c r="G28" s="465"/>
      <c r="H28" s="466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64" t="s">
        <v>80</v>
      </c>
      <c r="C30" s="465"/>
      <c r="D30" s="465"/>
      <c r="E30" s="465"/>
      <c r="F30" s="465"/>
      <c r="G30" s="465"/>
      <c r="H30" s="466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64" t="s">
        <v>79</v>
      </c>
      <c r="C32" s="465"/>
      <c r="D32" s="465"/>
      <c r="E32" s="465"/>
      <c r="F32" s="465"/>
      <c r="G32" s="465"/>
      <c r="H32" s="466"/>
    </row>
    <row r="33" spans="2:8" ht="14.25" hidden="1" customHeight="1">
      <c r="B33" s="464"/>
      <c r="C33" s="465"/>
      <c r="D33" s="465"/>
      <c r="E33" s="465"/>
      <c r="F33" s="465"/>
      <c r="G33" s="465"/>
      <c r="H33" s="466"/>
    </row>
    <row r="34" spans="2:8" ht="14.25" hidden="1" customHeight="1">
      <c r="D34" s="477"/>
      <c r="E34" s="477"/>
      <c r="F34" s="477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494" t="s">
        <v>318</v>
      </c>
      <c r="C5" s="495"/>
      <c r="D5" s="495"/>
      <c r="E5" s="495"/>
      <c r="F5" s="495"/>
      <c r="G5" s="495"/>
      <c r="H5" s="495"/>
      <c r="I5" s="495"/>
      <c r="J5" s="496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497" t="s">
        <v>75</v>
      </c>
      <c r="D10" s="497"/>
      <c r="E10" s="497"/>
      <c r="F10" s="497"/>
      <c r="G10" s="497"/>
      <c r="H10" s="497"/>
      <c r="I10" s="497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498" t="s">
        <v>106</v>
      </c>
      <c r="D12" s="498"/>
      <c r="E12" s="498"/>
      <c r="F12" s="498"/>
      <c r="G12" s="498"/>
      <c r="H12" s="498"/>
      <c r="I12" s="498"/>
      <c r="J12" s="280"/>
      <c r="IT12" s="289"/>
    </row>
    <row r="13" spans="1:254" ht="14.25" customHeight="1">
      <c r="A13" s="289"/>
      <c r="B13" s="279"/>
      <c r="C13" s="498"/>
      <c r="D13" s="498"/>
      <c r="E13" s="498"/>
      <c r="F13" s="498"/>
      <c r="G13" s="498"/>
      <c r="H13" s="498"/>
      <c r="I13" s="498"/>
      <c r="J13" s="280"/>
      <c r="IT13" s="289"/>
    </row>
    <row r="14" spans="1:254" ht="14.25" customHeight="1">
      <c r="A14" s="289"/>
      <c r="B14" s="279"/>
      <c r="C14" s="498"/>
      <c r="D14" s="498"/>
      <c r="E14" s="498"/>
      <c r="F14" s="498"/>
      <c r="G14" s="498"/>
      <c r="H14" s="498"/>
      <c r="I14" s="498"/>
      <c r="J14" s="280"/>
      <c r="IT14" s="289"/>
    </row>
    <row r="15" spans="1:254" ht="14.25" customHeight="1">
      <c r="A15" s="289"/>
      <c r="B15" s="279"/>
      <c r="C15" s="498"/>
      <c r="D15" s="498"/>
      <c r="E15" s="498"/>
      <c r="F15" s="498"/>
      <c r="G15" s="498"/>
      <c r="H15" s="498"/>
      <c r="I15" s="498"/>
      <c r="J15" s="280"/>
      <c r="IT15" s="289"/>
    </row>
    <row r="16" spans="1:254" ht="14.25" customHeight="1">
      <c r="A16" s="289"/>
      <c r="B16" s="279"/>
      <c r="C16" s="335"/>
      <c r="D16" s="335"/>
      <c r="E16" s="335"/>
      <c r="F16" s="335"/>
      <c r="G16" s="335"/>
      <c r="H16" s="335"/>
      <c r="I16" s="335"/>
      <c r="J16" s="280"/>
      <c r="IT16" s="289"/>
    </row>
    <row r="17" spans="1:254" ht="14.25" customHeight="1">
      <c r="A17" s="289"/>
      <c r="B17" s="279"/>
      <c r="C17" s="498" t="s">
        <v>76</v>
      </c>
      <c r="D17" s="498"/>
      <c r="E17" s="498"/>
      <c r="F17" s="498"/>
      <c r="G17" s="498"/>
      <c r="H17" s="498"/>
      <c r="I17" s="498"/>
      <c r="J17" s="280"/>
      <c r="IT17" s="289"/>
    </row>
    <row r="18" spans="1:254" ht="14.25" customHeight="1">
      <c r="A18" s="289"/>
      <c r="B18" s="279"/>
      <c r="C18" s="498"/>
      <c r="D18" s="498"/>
      <c r="E18" s="498"/>
      <c r="F18" s="498"/>
      <c r="G18" s="498"/>
      <c r="H18" s="498"/>
      <c r="I18" s="498"/>
      <c r="J18" s="280"/>
      <c r="IT18" s="289"/>
    </row>
    <row r="19" spans="1:254" ht="14.25" customHeight="1">
      <c r="A19" s="289"/>
      <c r="B19" s="279"/>
      <c r="C19" s="335"/>
      <c r="D19" s="335"/>
      <c r="E19" s="335"/>
      <c r="F19" s="335"/>
      <c r="G19" s="335"/>
      <c r="H19" s="335"/>
      <c r="I19" s="335"/>
      <c r="J19" s="280"/>
      <c r="IT19" s="289"/>
    </row>
    <row r="20" spans="1:254" ht="14.25" customHeight="1">
      <c r="A20" s="289"/>
      <c r="B20" s="279"/>
      <c r="C20" s="498" t="s">
        <v>77</v>
      </c>
      <c r="D20" s="498"/>
      <c r="E20" s="498"/>
      <c r="F20" s="498"/>
      <c r="G20" s="498"/>
      <c r="H20" s="498"/>
      <c r="I20" s="498"/>
      <c r="J20" s="280"/>
      <c r="IT20" s="289"/>
    </row>
    <row r="21" spans="1:254" ht="14.25" customHeight="1">
      <c r="A21" s="289"/>
      <c r="B21" s="279"/>
      <c r="C21" s="498"/>
      <c r="D21" s="498"/>
      <c r="E21" s="498"/>
      <c r="F21" s="498"/>
      <c r="G21" s="498"/>
      <c r="H21" s="498"/>
      <c r="I21" s="498"/>
      <c r="J21" s="280"/>
      <c r="IT21" s="289"/>
    </row>
    <row r="22" spans="1:254" ht="14.25" customHeight="1">
      <c r="A22" s="289"/>
      <c r="B22" s="279"/>
      <c r="C22" s="335"/>
      <c r="D22" s="335"/>
      <c r="E22" s="335"/>
      <c r="F22" s="335"/>
      <c r="G22" s="335"/>
      <c r="H22" s="335"/>
      <c r="I22" s="335"/>
      <c r="J22" s="280"/>
      <c r="IT22" s="289"/>
    </row>
    <row r="23" spans="1:254" ht="14.25" customHeight="1">
      <c r="A23" s="289"/>
      <c r="B23" s="279"/>
      <c r="C23" s="498" t="s">
        <v>105</v>
      </c>
      <c r="D23" s="498"/>
      <c r="E23" s="498"/>
      <c r="F23" s="498"/>
      <c r="G23" s="498"/>
      <c r="H23" s="498"/>
      <c r="I23" s="498"/>
      <c r="J23" s="280"/>
      <c r="IT23" s="289"/>
    </row>
    <row r="24" spans="1:254" ht="14.25" customHeight="1">
      <c r="A24" s="289"/>
      <c r="B24" s="279"/>
      <c r="C24" s="498"/>
      <c r="D24" s="498"/>
      <c r="E24" s="498"/>
      <c r="F24" s="498"/>
      <c r="G24" s="498"/>
      <c r="H24" s="498"/>
      <c r="I24" s="498"/>
      <c r="J24" s="280"/>
      <c r="IT24" s="289"/>
    </row>
    <row r="25" spans="1:254" ht="14.25" customHeight="1">
      <c r="A25" s="289"/>
      <c r="B25" s="279"/>
      <c r="C25" s="334"/>
      <c r="D25" s="334"/>
      <c r="E25" s="334"/>
      <c r="F25" s="334"/>
      <c r="G25" s="334"/>
      <c r="H25" s="334"/>
      <c r="I25" s="334"/>
      <c r="J25" s="280"/>
      <c r="IT25" s="289"/>
    </row>
    <row r="26" spans="1:254" ht="14.25" customHeight="1">
      <c r="A26" s="289"/>
      <c r="B26" s="279"/>
      <c r="C26" s="498" t="s">
        <v>107</v>
      </c>
      <c r="D26" s="498"/>
      <c r="E26" s="498"/>
      <c r="F26" s="498"/>
      <c r="G26" s="498"/>
      <c r="H26" s="498"/>
      <c r="I26" s="498"/>
      <c r="J26" s="280"/>
      <c r="IT26" s="289"/>
    </row>
    <row r="27" spans="1:254" ht="14.25" customHeight="1">
      <c r="A27" s="289"/>
      <c r="B27" s="279"/>
      <c r="C27" s="498"/>
      <c r="D27" s="498"/>
      <c r="E27" s="498"/>
      <c r="F27" s="498"/>
      <c r="G27" s="498"/>
      <c r="H27" s="498"/>
      <c r="I27" s="498"/>
      <c r="J27" s="280"/>
      <c r="IT27" s="289"/>
    </row>
    <row r="28" spans="1:254" ht="14.25" customHeight="1">
      <c r="A28" s="289"/>
      <c r="B28" s="279"/>
      <c r="C28" s="498"/>
      <c r="D28" s="498"/>
      <c r="E28" s="498"/>
      <c r="F28" s="498"/>
      <c r="G28" s="498"/>
      <c r="H28" s="498"/>
      <c r="I28" s="498"/>
      <c r="J28" s="280"/>
      <c r="IT28" s="289"/>
    </row>
    <row r="29" spans="1:254" ht="14.25" customHeight="1">
      <c r="A29" s="289"/>
      <c r="B29" s="279"/>
      <c r="C29" s="498"/>
      <c r="D29" s="498"/>
      <c r="E29" s="498"/>
      <c r="F29" s="498"/>
      <c r="G29" s="498"/>
      <c r="H29" s="498"/>
      <c r="I29" s="498"/>
      <c r="J29" s="280"/>
      <c r="IT29" s="289"/>
    </row>
    <row r="30" spans="1:254" ht="15.75" customHeight="1">
      <c r="A30" s="289"/>
      <c r="B30" s="279"/>
      <c r="C30" s="498"/>
      <c r="D30" s="498"/>
      <c r="E30" s="498"/>
      <c r="F30" s="498"/>
      <c r="G30" s="498"/>
      <c r="H30" s="498"/>
      <c r="I30" s="498"/>
      <c r="J30" s="280"/>
      <c r="IT30" s="289"/>
    </row>
    <row r="31" spans="1:254" ht="14.25" customHeight="1">
      <c r="A31" s="289"/>
      <c r="B31" s="279"/>
      <c r="C31" s="335"/>
      <c r="D31" s="335"/>
      <c r="E31" s="335"/>
      <c r="F31" s="335"/>
      <c r="G31" s="335"/>
      <c r="H31" s="335"/>
      <c r="I31" s="335"/>
      <c r="J31" s="280"/>
      <c r="IT31" s="289"/>
    </row>
    <row r="32" spans="1:254" ht="14.25" customHeight="1">
      <c r="A32" s="289"/>
      <c r="B32" s="279"/>
      <c r="C32" s="498" t="s">
        <v>108</v>
      </c>
      <c r="D32" s="498"/>
      <c r="E32" s="498"/>
      <c r="F32" s="498"/>
      <c r="G32" s="498"/>
      <c r="H32" s="498"/>
      <c r="I32" s="498"/>
      <c r="J32" s="280"/>
      <c r="IT32" s="289"/>
    </row>
    <row r="33" spans="1:254" ht="14.25" customHeight="1">
      <c r="A33" s="289"/>
      <c r="B33" s="279"/>
      <c r="C33" s="498"/>
      <c r="D33" s="498"/>
      <c r="E33" s="498"/>
      <c r="F33" s="498"/>
      <c r="G33" s="498"/>
      <c r="H33" s="498"/>
      <c r="I33" s="498"/>
      <c r="J33" s="280"/>
      <c r="IT33" s="289"/>
    </row>
    <row r="34" spans="1:254" ht="14.25" customHeight="1">
      <c r="A34" s="289"/>
      <c r="B34" s="279"/>
      <c r="C34" s="498"/>
      <c r="D34" s="498"/>
      <c r="E34" s="498"/>
      <c r="F34" s="498"/>
      <c r="G34" s="498"/>
      <c r="H34" s="498"/>
      <c r="I34" s="498"/>
      <c r="J34" s="280"/>
      <c r="IT34" s="289"/>
    </row>
    <row r="35" spans="1:254" ht="14.25" customHeight="1">
      <c r="A35" s="289"/>
      <c r="B35" s="279"/>
      <c r="C35" s="335"/>
      <c r="D35" s="335"/>
      <c r="E35" s="335"/>
      <c r="F35" s="335"/>
      <c r="G35" s="335"/>
      <c r="H35" s="335"/>
      <c r="I35" s="335"/>
      <c r="J35" s="280"/>
      <c r="IT35" s="289"/>
    </row>
    <row r="36" spans="1:254" ht="14.25" customHeight="1">
      <c r="A36" s="289"/>
      <c r="B36" s="279"/>
      <c r="C36" s="498" t="s">
        <v>109</v>
      </c>
      <c r="D36" s="498"/>
      <c r="E36" s="498"/>
      <c r="F36" s="498"/>
      <c r="G36" s="498"/>
      <c r="H36" s="498"/>
      <c r="I36" s="498"/>
      <c r="J36" s="280"/>
      <c r="IT36" s="289"/>
    </row>
    <row r="37" spans="1:254" ht="14.25" customHeight="1">
      <c r="A37" s="289"/>
      <c r="B37" s="279"/>
      <c r="C37" s="498"/>
      <c r="D37" s="498"/>
      <c r="E37" s="498"/>
      <c r="F37" s="498"/>
      <c r="G37" s="498"/>
      <c r="H37" s="498"/>
      <c r="I37" s="498"/>
      <c r="J37" s="280"/>
      <c r="IT37" s="289"/>
    </row>
    <row r="38" spans="1:254" ht="14.25" customHeight="1">
      <c r="A38" s="289"/>
      <c r="B38" s="279"/>
      <c r="C38" s="498"/>
      <c r="D38" s="498"/>
      <c r="E38" s="498"/>
      <c r="F38" s="498"/>
      <c r="G38" s="498"/>
      <c r="H38" s="498"/>
      <c r="I38" s="498"/>
      <c r="J38" s="280"/>
      <c r="IT38" s="289"/>
    </row>
    <row r="39" spans="1:254" ht="14.25" customHeight="1">
      <c r="A39" s="289"/>
      <c r="B39" s="279"/>
      <c r="C39" s="498"/>
      <c r="D39" s="498"/>
      <c r="E39" s="498"/>
      <c r="F39" s="498"/>
      <c r="G39" s="498"/>
      <c r="H39" s="498"/>
      <c r="I39" s="498"/>
      <c r="J39" s="280"/>
      <c r="IT39" s="289"/>
    </row>
    <row r="40" spans="1:254" ht="14.25" customHeight="1">
      <c r="A40" s="289"/>
      <c r="B40" s="279"/>
      <c r="C40" s="498"/>
      <c r="D40" s="498"/>
      <c r="E40" s="498"/>
      <c r="F40" s="498"/>
      <c r="G40" s="498"/>
      <c r="H40" s="498"/>
      <c r="I40" s="498"/>
      <c r="J40" s="280"/>
      <c r="IT40" s="289"/>
    </row>
    <row r="41" spans="1:254" ht="14.25" customHeight="1">
      <c r="A41" s="289"/>
      <c r="B41" s="279"/>
      <c r="C41" s="335"/>
      <c r="D41" s="335"/>
      <c r="E41" s="335"/>
      <c r="F41" s="335"/>
      <c r="G41" s="335"/>
      <c r="H41" s="335"/>
      <c r="I41" s="335"/>
      <c r="J41" s="280"/>
      <c r="IT41" s="289"/>
    </row>
    <row r="42" spans="1:254" ht="14.25" customHeight="1">
      <c r="A42" s="289"/>
      <c r="B42" s="279"/>
      <c r="C42" s="498" t="s">
        <v>110</v>
      </c>
      <c r="D42" s="498"/>
      <c r="E42" s="498"/>
      <c r="F42" s="498"/>
      <c r="G42" s="498"/>
      <c r="H42" s="498"/>
      <c r="I42" s="498"/>
      <c r="J42" s="280"/>
      <c r="IT42" s="289"/>
    </row>
    <row r="43" spans="1:254" ht="14.25" customHeight="1">
      <c r="A43" s="289"/>
      <c r="B43" s="279"/>
      <c r="C43" s="498"/>
      <c r="D43" s="498"/>
      <c r="E43" s="498"/>
      <c r="F43" s="498"/>
      <c r="G43" s="498"/>
      <c r="H43" s="498"/>
      <c r="I43" s="498"/>
      <c r="J43" s="280"/>
      <c r="IT43" s="289"/>
    </row>
    <row r="44" spans="1:254" ht="14.25" customHeight="1">
      <c r="A44" s="289"/>
      <c r="B44" s="279"/>
      <c r="C44" s="498"/>
      <c r="D44" s="498"/>
      <c r="E44" s="498"/>
      <c r="F44" s="498"/>
      <c r="G44" s="498"/>
      <c r="H44" s="498"/>
      <c r="I44" s="498"/>
      <c r="J44" s="280"/>
      <c r="IT44" s="289"/>
    </row>
    <row r="45" spans="1:254" ht="14.25" customHeight="1">
      <c r="A45" s="289"/>
      <c r="B45" s="279"/>
      <c r="C45" s="498"/>
      <c r="D45" s="498"/>
      <c r="E45" s="498"/>
      <c r="F45" s="498"/>
      <c r="G45" s="498"/>
      <c r="H45" s="498"/>
      <c r="I45" s="498"/>
      <c r="J45" s="280"/>
      <c r="IT45" s="289"/>
    </row>
    <row r="46" spans="1:254" ht="14.25" customHeight="1">
      <c r="A46" s="289"/>
      <c r="B46" s="279"/>
      <c r="C46" s="498"/>
      <c r="D46" s="498"/>
      <c r="E46" s="498"/>
      <c r="F46" s="498"/>
      <c r="G46" s="498"/>
      <c r="H46" s="498"/>
      <c r="I46" s="498"/>
      <c r="J46" s="280"/>
      <c r="IT46" s="289"/>
    </row>
    <row r="47" spans="1:254" ht="14.25" customHeight="1">
      <c r="A47" s="289"/>
      <c r="B47" s="279"/>
      <c r="C47" s="335"/>
      <c r="D47" s="335"/>
      <c r="E47" s="335"/>
      <c r="F47" s="335"/>
      <c r="G47" s="335"/>
      <c r="H47" s="335"/>
      <c r="I47" s="335"/>
      <c r="J47" s="280"/>
      <c r="IT47" s="289"/>
    </row>
    <row r="48" spans="1:254" ht="14.25" customHeight="1">
      <c r="A48" s="289"/>
      <c r="B48" s="279"/>
      <c r="C48" s="498" t="s">
        <v>78</v>
      </c>
      <c r="D48" s="498"/>
      <c r="E48" s="498"/>
      <c r="F48" s="498"/>
      <c r="G48" s="498"/>
      <c r="H48" s="498"/>
      <c r="I48" s="498"/>
      <c r="J48" s="280"/>
      <c r="IT48" s="289"/>
    </row>
    <row r="49" spans="1:254" ht="14.25" customHeight="1">
      <c r="A49" s="289"/>
      <c r="B49" s="279"/>
      <c r="C49" s="498"/>
      <c r="D49" s="498"/>
      <c r="E49" s="498"/>
      <c r="F49" s="498"/>
      <c r="G49" s="498"/>
      <c r="H49" s="498"/>
      <c r="I49" s="498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29.42578125" style="59" bestFit="1" customWidth="1"/>
    <col min="6" max="6" width="13.28515625" style="60" bestFit="1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99"/>
      <c r="H2" s="499"/>
      <c r="I2" s="499"/>
      <c r="J2" s="499"/>
    </row>
    <row r="3" spans="1:10" ht="15.75" customHeight="1">
      <c r="A3" s="23"/>
      <c r="B3" s="23"/>
      <c r="C3" s="500" t="s">
        <v>319</v>
      </c>
      <c r="D3" s="501"/>
      <c r="E3" s="501"/>
      <c r="F3" s="502"/>
      <c r="G3" s="28"/>
      <c r="H3" s="28"/>
      <c r="I3" s="23"/>
      <c r="J3" s="23"/>
    </row>
    <row r="4" spans="1:10" ht="16.5" thickBot="1">
      <c r="A4" s="23"/>
      <c r="B4" s="23"/>
      <c r="C4" s="503" t="s">
        <v>7</v>
      </c>
      <c r="D4" s="504"/>
      <c r="E4" s="504"/>
      <c r="F4" s="505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509"/>
      <c r="J6" s="509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7">
        <v>80.1668057279377</v>
      </c>
      <c r="G7" s="332"/>
      <c r="H7" s="332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7">
        <v>80.1668057279377</v>
      </c>
      <c r="G8" s="332"/>
      <c r="H8" s="332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321</v>
      </c>
      <c r="F9" s="307">
        <v>66.129284501242694</v>
      </c>
      <c r="G9" s="332"/>
      <c r="H9" s="332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321</v>
      </c>
      <c r="F10" s="307">
        <v>70.365360056359805</v>
      </c>
      <c r="G10" s="332"/>
      <c r="H10" s="332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321</v>
      </c>
      <c r="F11" s="307">
        <v>70.365360056359805</v>
      </c>
      <c r="G11" s="332"/>
      <c r="H11" s="332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321</v>
      </c>
      <c r="F12" s="307">
        <v>70.365360056359805</v>
      </c>
      <c r="G12" s="332"/>
      <c r="H12" s="332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321</v>
      </c>
      <c r="F13" s="308">
        <v>66.782480268210193</v>
      </c>
      <c r="G13" s="332"/>
      <c r="H13" s="332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321</v>
      </c>
      <c r="F14" s="308">
        <v>71.060397900434694</v>
      </c>
      <c r="G14" s="332"/>
      <c r="H14" s="332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321</v>
      </c>
      <c r="F15" s="308">
        <v>74.235654185928198</v>
      </c>
      <c r="G15" s="332"/>
      <c r="H15" s="332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321</v>
      </c>
      <c r="F16" s="308">
        <v>74.235654185928198</v>
      </c>
      <c r="G16" s="332"/>
      <c r="H16" s="332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321</v>
      </c>
      <c r="F17" s="309">
        <v>74.151309326717495</v>
      </c>
      <c r="G17" s="332"/>
      <c r="H17" s="332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321</v>
      </c>
      <c r="F18" s="309">
        <v>74.151309326717495</v>
      </c>
      <c r="G18" s="332"/>
      <c r="H18" s="332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321</v>
      </c>
      <c r="F19" s="309">
        <v>74.151309326717495</v>
      </c>
      <c r="G19" s="332"/>
      <c r="H19" s="332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321</v>
      </c>
      <c r="F20" s="308">
        <v>71.060397900434694</v>
      </c>
      <c r="G20" s="332"/>
      <c r="H20" s="332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322</v>
      </c>
      <c r="F21" s="308">
        <v>109.89964844000001</v>
      </c>
      <c r="G21" s="332"/>
      <c r="H21" s="332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323</v>
      </c>
      <c r="F22" s="308">
        <v>141.14507249093401</v>
      </c>
      <c r="G22" s="332"/>
      <c r="H22" s="332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324</v>
      </c>
      <c r="F23" s="308">
        <v>144.05427069000001</v>
      </c>
      <c r="G23" s="332"/>
      <c r="H23" s="332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324</v>
      </c>
      <c r="F24" s="308">
        <v>144.05427069000001</v>
      </c>
      <c r="G24" s="332"/>
      <c r="H24" s="332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324</v>
      </c>
      <c r="F25" s="309">
        <v>157.24373722999999</v>
      </c>
      <c r="G25" s="332"/>
      <c r="H25" s="332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325</v>
      </c>
      <c r="F26" s="309">
        <v>119.564596891951</v>
      </c>
      <c r="G26" s="332"/>
      <c r="H26" s="332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322</v>
      </c>
      <c r="F27" s="309">
        <v>109.81992825</v>
      </c>
      <c r="G27" s="332"/>
      <c r="H27" s="332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320</v>
      </c>
      <c r="F28" s="308">
        <v>80.408657463718896</v>
      </c>
      <c r="G28" s="332"/>
      <c r="H28" s="332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320</v>
      </c>
      <c r="F29" s="308">
        <v>80.408657463718896</v>
      </c>
      <c r="G29" s="332"/>
      <c r="H29" s="332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320</v>
      </c>
      <c r="F30" s="307">
        <v>87.106165819971196</v>
      </c>
      <c r="G30" s="332"/>
      <c r="H30" s="332"/>
      <c r="I30" s="37"/>
      <c r="J30" s="48"/>
    </row>
    <row r="31" spans="1:10" ht="18">
      <c r="A31" s="23"/>
      <c r="B31" s="23"/>
      <c r="C31" s="510" t="s">
        <v>13</v>
      </c>
      <c r="D31" s="511"/>
      <c r="E31" s="511"/>
      <c r="F31" s="304"/>
      <c r="G31" s="333"/>
      <c r="H31" s="333"/>
      <c r="I31" s="37"/>
      <c r="J31" s="48"/>
    </row>
    <row r="32" spans="1:10" ht="18">
      <c r="A32" s="23"/>
      <c r="B32" s="23"/>
      <c r="C32" s="512" t="s">
        <v>14</v>
      </c>
      <c r="D32" s="513"/>
      <c r="E32" s="513"/>
      <c r="F32" s="310">
        <f>AVERAGE(F7:F30)</f>
        <v>91.295520582399163</v>
      </c>
      <c r="G32" s="36"/>
      <c r="H32" s="36"/>
      <c r="I32" s="37"/>
      <c r="J32" s="48"/>
    </row>
    <row r="33" spans="1:11" ht="18">
      <c r="A33" s="23"/>
      <c r="B33" s="23"/>
      <c r="C33" s="514" t="s">
        <v>15</v>
      </c>
      <c r="D33" s="515"/>
      <c r="E33" s="515"/>
      <c r="F33" s="305">
        <f>+MAX(F7:F30)</f>
        <v>157.24373722999999</v>
      </c>
      <c r="G33" s="51"/>
      <c r="H33" s="51"/>
      <c r="I33" s="23"/>
      <c r="J33" s="23"/>
    </row>
    <row r="34" spans="1:11" ht="18">
      <c r="A34" s="23"/>
      <c r="B34" s="23"/>
      <c r="C34" s="516" t="s">
        <v>16</v>
      </c>
      <c r="D34" s="517"/>
      <c r="E34" s="517"/>
      <c r="F34" s="311">
        <f>+MIN(F7:F30)</f>
        <v>66.129284501242694</v>
      </c>
      <c r="G34" s="51"/>
      <c r="H34" s="51"/>
      <c r="I34" s="23"/>
      <c r="J34" s="23"/>
    </row>
    <row r="35" spans="1:11" ht="18.75" thickBot="1">
      <c r="A35" s="23"/>
      <c r="B35" s="23"/>
      <c r="C35" s="506" t="s">
        <v>17</v>
      </c>
      <c r="D35" s="507"/>
      <c r="E35" s="507"/>
      <c r="F35" s="312">
        <v>94.486814989763502</v>
      </c>
      <c r="G35" s="52"/>
      <c r="H35" s="52"/>
      <c r="I35" s="23"/>
      <c r="J35" s="23"/>
    </row>
    <row r="36" spans="1:11" ht="33.75" customHeight="1">
      <c r="A36" s="23"/>
      <c r="B36" s="23"/>
      <c r="C36" s="520" t="s">
        <v>18</v>
      </c>
      <c r="D36" s="520"/>
      <c r="E36" s="520"/>
      <c r="F36" s="520"/>
      <c r="G36" s="53"/>
      <c r="H36" s="53"/>
      <c r="I36" s="23"/>
      <c r="J36" s="23"/>
    </row>
    <row r="37" spans="1:11" ht="12.75">
      <c r="A37" s="518"/>
      <c r="B37" s="518"/>
      <c r="C37" s="518"/>
      <c r="D37" s="24"/>
      <c r="E37" s="27"/>
      <c r="F37" s="26"/>
      <c r="G37" s="519"/>
      <c r="H37" s="519"/>
      <c r="I37" s="519"/>
      <c r="J37" s="519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508"/>
      <c r="H38" s="508"/>
      <c r="I38" s="508"/>
      <c r="J38" s="508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>
    <tabColor indexed="52"/>
    <pageSetUpPr fitToPage="1"/>
  </sheetPr>
  <dimension ref="A1:AJ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18" width="10" style="120" customWidth="1"/>
    <col min="19" max="20" width="10.5703125" style="120" bestFit="1" customWidth="1"/>
    <col min="21" max="22" width="10" style="120" customWidth="1"/>
    <col min="23" max="29" width="10" style="120" hidden="1" customWidth="1"/>
    <col min="30" max="30" width="10.42578125" style="120" hidden="1" customWidth="1"/>
    <col min="31" max="33" width="10" style="120" hidden="1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445"/>
      <c r="B2" s="445"/>
      <c r="C2" s="445"/>
      <c r="D2" s="445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446" t="s">
        <v>319</v>
      </c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8"/>
      <c r="AI4" s="86"/>
      <c r="AJ4" s="84"/>
    </row>
    <row r="5" spans="1:36" s="87" customFormat="1" ht="24.75" customHeight="1" thickBot="1">
      <c r="A5" s="86"/>
      <c r="B5" s="449" t="s">
        <v>49</v>
      </c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  <c r="AC5" s="450"/>
      <c r="AD5" s="450"/>
      <c r="AE5" s="450"/>
      <c r="AF5" s="450"/>
      <c r="AG5" s="450"/>
      <c r="AH5" s="451"/>
      <c r="AI5" s="86"/>
      <c r="AJ5" s="84"/>
    </row>
    <row r="6" spans="1:36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0"/>
      <c r="AI6" s="290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456" t="s">
        <v>22</v>
      </c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G8" s="88"/>
      <c r="AH8" s="167"/>
      <c r="AI8" s="167"/>
    </row>
    <row r="9" spans="1:36" ht="45" customHeight="1">
      <c r="A9" s="167"/>
      <c r="B9" s="457" t="s">
        <v>50</v>
      </c>
      <c r="C9" s="458"/>
      <c r="D9" s="293" t="s">
        <v>326</v>
      </c>
      <c r="E9" s="293" t="s">
        <v>326</v>
      </c>
      <c r="F9" s="293" t="s">
        <v>326</v>
      </c>
      <c r="G9" s="293" t="s">
        <v>326</v>
      </c>
      <c r="H9" s="293" t="s">
        <v>326</v>
      </c>
      <c r="I9" s="293" t="s">
        <v>326</v>
      </c>
      <c r="J9" s="293" t="s">
        <v>326</v>
      </c>
      <c r="K9" s="293" t="s">
        <v>327</v>
      </c>
      <c r="L9" s="293" t="s">
        <v>328</v>
      </c>
      <c r="M9" s="293" t="s">
        <v>327</v>
      </c>
      <c r="N9" s="293" t="s">
        <v>328</v>
      </c>
      <c r="O9" s="293" t="s">
        <v>327</v>
      </c>
      <c r="P9" s="293" t="s">
        <v>328</v>
      </c>
      <c r="Q9" s="293" t="s">
        <v>327</v>
      </c>
      <c r="R9" s="293" t="s">
        <v>328</v>
      </c>
      <c r="S9" s="293" t="s">
        <v>327</v>
      </c>
      <c r="T9" s="293" t="s">
        <v>327</v>
      </c>
      <c r="U9" s="293" t="s">
        <v>326</v>
      </c>
      <c r="V9" s="293" t="s">
        <v>326</v>
      </c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4"/>
      <c r="AI9" s="167"/>
    </row>
    <row r="10" spans="1:36" ht="24" customHeight="1" thickBot="1">
      <c r="A10" s="167"/>
      <c r="B10" s="459" t="s">
        <v>51</v>
      </c>
      <c r="C10" s="460"/>
      <c r="D10" s="90" t="s">
        <v>185</v>
      </c>
      <c r="E10" s="90" t="s">
        <v>200</v>
      </c>
      <c r="F10" s="90" t="s">
        <v>208</v>
      </c>
      <c r="G10" s="90" t="s">
        <v>209</v>
      </c>
      <c r="H10" s="90" t="s">
        <v>210</v>
      </c>
      <c r="I10" s="90" t="s">
        <v>211</v>
      </c>
      <c r="J10" s="90" t="s">
        <v>213</v>
      </c>
      <c r="K10" s="91" t="s">
        <v>225</v>
      </c>
      <c r="L10" s="92" t="s">
        <v>225</v>
      </c>
      <c r="M10" s="92" t="s">
        <v>226</v>
      </c>
      <c r="N10" s="92" t="s">
        <v>226</v>
      </c>
      <c r="O10" s="92" t="s">
        <v>227</v>
      </c>
      <c r="P10" s="92" t="s">
        <v>227</v>
      </c>
      <c r="Q10" s="92" t="s">
        <v>228</v>
      </c>
      <c r="R10" s="92" t="s">
        <v>236</v>
      </c>
      <c r="S10" s="92" t="s">
        <v>237</v>
      </c>
      <c r="T10" s="92" t="s">
        <v>238</v>
      </c>
      <c r="U10" s="92" t="s">
        <v>307</v>
      </c>
      <c r="V10" s="92" t="s">
        <v>250</v>
      </c>
      <c r="W10" s="92"/>
      <c r="X10" s="92"/>
      <c r="Y10" s="92"/>
      <c r="Z10" s="92"/>
      <c r="AA10" s="92"/>
      <c r="AB10" s="92"/>
      <c r="AC10" s="92"/>
      <c r="AD10" s="92"/>
      <c r="AE10" s="92"/>
      <c r="AF10" s="90"/>
      <c r="AG10" s="90"/>
      <c r="AH10" s="295"/>
      <c r="AI10" s="167"/>
    </row>
    <row r="11" spans="1:36" ht="14.25" customHeight="1">
      <c r="A11" s="167"/>
      <c r="B11" s="93">
        <v>0</v>
      </c>
      <c r="C11" s="168">
        <v>4.1666666666666664E-2</v>
      </c>
      <c r="D11" s="94">
        <v>34.216407135748199</v>
      </c>
      <c r="E11" s="94">
        <v>52.171662511112501</v>
      </c>
      <c r="F11" s="94">
        <v>49.088268632217698</v>
      </c>
      <c r="G11" s="94"/>
      <c r="H11" s="94">
        <v>30.467056016527302</v>
      </c>
      <c r="I11" s="94">
        <v>19.6518871217468</v>
      </c>
      <c r="J11" s="94">
        <v>58.713884503878297</v>
      </c>
      <c r="K11" s="94"/>
      <c r="L11" s="94"/>
      <c r="M11" s="173"/>
      <c r="N11" s="173">
        <v>83.931887121746797</v>
      </c>
      <c r="O11" s="173"/>
      <c r="P11" s="173">
        <v>83.931887121746797</v>
      </c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34.216407135748199</v>
      </c>
      <c r="E12" s="97">
        <v>52.171662511112501</v>
      </c>
      <c r="F12" s="97">
        <v>49.088268632217698</v>
      </c>
      <c r="G12" s="97"/>
      <c r="H12" s="97">
        <v>30.467056016527302</v>
      </c>
      <c r="I12" s="97">
        <v>19.6518871217468</v>
      </c>
      <c r="J12" s="97">
        <v>58.713884503878297</v>
      </c>
      <c r="K12" s="97"/>
      <c r="L12" s="97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48.109760554269798</v>
      </c>
      <c r="E13" s="97">
        <v>66.097365389364498</v>
      </c>
      <c r="F13" s="97">
        <v>61.405363166055203</v>
      </c>
      <c r="G13" s="97">
        <v>20.7369696364661</v>
      </c>
      <c r="H13" s="97">
        <v>44.882104717086598</v>
      </c>
      <c r="I13" s="97">
        <v>33.607318291863102</v>
      </c>
      <c r="J13" s="97">
        <v>72.838816474180305</v>
      </c>
      <c r="K13" s="97"/>
      <c r="L13" s="97"/>
      <c r="M13" s="174"/>
      <c r="N13" s="174"/>
      <c r="O13" s="174"/>
      <c r="P13" s="174"/>
      <c r="Q13" s="174"/>
      <c r="R13" s="174"/>
      <c r="S13" s="174"/>
      <c r="T13" s="174"/>
      <c r="U13" s="174">
        <v>4.3963134947445504</v>
      </c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>
        <v>43.917159705386503</v>
      </c>
      <c r="E14" s="97">
        <v>61.895002435664601</v>
      </c>
      <c r="F14" s="97">
        <v>57.688430367851197</v>
      </c>
      <c r="G14" s="97">
        <v>16.549314634478002</v>
      </c>
      <c r="H14" s="97">
        <v>40.532071748221803</v>
      </c>
      <c r="I14" s="97">
        <v>29.395984223850299</v>
      </c>
      <c r="J14" s="97">
        <v>68.576332105924095</v>
      </c>
      <c r="K14" s="97"/>
      <c r="L14" s="97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>
        <v>43.917159705386503</v>
      </c>
      <c r="E15" s="97">
        <v>61.895002435664601</v>
      </c>
      <c r="F15" s="97">
        <v>57.688430367851197</v>
      </c>
      <c r="G15" s="97">
        <v>16.549314634478002</v>
      </c>
      <c r="H15" s="97">
        <v>40.532071748221803</v>
      </c>
      <c r="I15" s="97">
        <v>29.395984223850299</v>
      </c>
      <c r="J15" s="97">
        <v>68.576332105924095</v>
      </c>
      <c r="K15" s="97">
        <v>93.675984223850307</v>
      </c>
      <c r="L15" s="97"/>
      <c r="M15" s="174">
        <v>93.675984223850307</v>
      </c>
      <c r="N15" s="174"/>
      <c r="O15" s="174">
        <v>93.675984223850307</v>
      </c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>
        <v>43.917159705386503</v>
      </c>
      <c r="E16" s="97">
        <v>61.895002435664601</v>
      </c>
      <c r="F16" s="97">
        <v>57.688430367851197</v>
      </c>
      <c r="G16" s="97">
        <v>16.549314634478002</v>
      </c>
      <c r="H16" s="97">
        <v>40.532071748221803</v>
      </c>
      <c r="I16" s="97">
        <v>29.395984223850299</v>
      </c>
      <c r="J16" s="97">
        <v>68.576332105924095</v>
      </c>
      <c r="K16" s="97"/>
      <c r="L16" s="97">
        <v>93.675984223850307</v>
      </c>
      <c r="M16" s="174"/>
      <c r="N16" s="174">
        <v>93.675984223850307</v>
      </c>
      <c r="O16" s="174"/>
      <c r="P16" s="174">
        <v>93.675984223850307</v>
      </c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>
        <v>48.3170292872693</v>
      </c>
      <c r="E17" s="100">
        <v>65.884441279467595</v>
      </c>
      <c r="F17" s="100">
        <v>61.030921096949697</v>
      </c>
      <c r="G17" s="100">
        <v>20.717849079558398</v>
      </c>
      <c r="H17" s="100">
        <v>44.251125838528502</v>
      </c>
      <c r="I17" s="100">
        <v>33.536788684296702</v>
      </c>
      <c r="J17" s="100">
        <v>73.432640409406602</v>
      </c>
      <c r="K17" s="100"/>
      <c r="L17" s="100">
        <v>97.816788684296696</v>
      </c>
      <c r="M17" s="175"/>
      <c r="N17" s="175">
        <v>97.816788684296696</v>
      </c>
      <c r="O17" s="175"/>
      <c r="P17" s="175">
        <v>97.816788684296696</v>
      </c>
      <c r="Q17" s="175"/>
      <c r="R17" s="175">
        <v>93.659255369443997</v>
      </c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>
        <v>44.1377472236749</v>
      </c>
      <c r="E18" s="100">
        <v>61.668480830988301</v>
      </c>
      <c r="F18" s="100">
        <v>57.290039583987998</v>
      </c>
      <c r="G18" s="100">
        <v>16.529010949471001</v>
      </c>
      <c r="H18" s="100">
        <v>39.860717426514</v>
      </c>
      <c r="I18" s="100">
        <v>29.3209786039995</v>
      </c>
      <c r="J18" s="100">
        <v>69.208237166152699</v>
      </c>
      <c r="K18" s="100"/>
      <c r="L18" s="100">
        <v>93.600978603999494</v>
      </c>
      <c r="M18" s="175"/>
      <c r="N18" s="175">
        <v>93.600978603999494</v>
      </c>
      <c r="O18" s="175"/>
      <c r="P18" s="175">
        <v>93.600978603999494</v>
      </c>
      <c r="Q18" s="175"/>
      <c r="R18" s="175">
        <v>89.449368446147403</v>
      </c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>
        <v>41.035647049166101</v>
      </c>
      <c r="E19" s="100">
        <v>58.539155879012803</v>
      </c>
      <c r="F19" s="100">
        <v>54.513345161933501</v>
      </c>
      <c r="G19" s="100">
        <v>13.4198177204413</v>
      </c>
      <c r="H19" s="100">
        <v>36.601907302231098</v>
      </c>
      <c r="I19" s="100">
        <v>26.191765263816801</v>
      </c>
      <c r="J19" s="100">
        <v>66.072645493064499</v>
      </c>
      <c r="K19" s="100"/>
      <c r="L19" s="100">
        <v>90.471765263816806</v>
      </c>
      <c r="M19" s="175"/>
      <c r="N19" s="175">
        <v>90.471765263816806</v>
      </c>
      <c r="O19" s="175"/>
      <c r="P19" s="175">
        <v>90.471765263816806</v>
      </c>
      <c r="Q19" s="175"/>
      <c r="R19" s="175">
        <v>86.324551609020801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>
        <v>41.035647049166101</v>
      </c>
      <c r="E20" s="100">
        <v>58.539155879012803</v>
      </c>
      <c r="F20" s="100">
        <v>54.513345161933501</v>
      </c>
      <c r="G20" s="100">
        <v>13.4198177204413</v>
      </c>
      <c r="H20" s="100">
        <v>36.601907302231098</v>
      </c>
      <c r="I20" s="100">
        <v>26.191765263816801</v>
      </c>
      <c r="J20" s="100">
        <v>66.072645493064499</v>
      </c>
      <c r="K20" s="100"/>
      <c r="L20" s="100"/>
      <c r="M20" s="175"/>
      <c r="N20" s="175"/>
      <c r="O20" s="175"/>
      <c r="P20" s="175">
        <v>90.471765263816806</v>
      </c>
      <c r="Q20" s="175"/>
      <c r="R20" s="175"/>
      <c r="S20" s="175">
        <v>143.37193983685401</v>
      </c>
      <c r="T20" s="175">
        <v>134.92193983685399</v>
      </c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>
        <v>41.004350206291498</v>
      </c>
      <c r="E21" s="103">
        <v>58.3714297842265</v>
      </c>
      <c r="F21" s="103">
        <v>53.852908612917297</v>
      </c>
      <c r="G21" s="103">
        <v>13.329497647223199</v>
      </c>
      <c r="H21" s="103">
        <v>36.652253813237103</v>
      </c>
      <c r="I21" s="103">
        <v>26.073577678710901</v>
      </c>
      <c r="J21" s="103">
        <v>66.653608384613307</v>
      </c>
      <c r="K21" s="103"/>
      <c r="L21" s="103"/>
      <c r="M21" s="103"/>
      <c r="N21" s="103"/>
      <c r="O21" s="103"/>
      <c r="P21" s="103"/>
      <c r="Q21" s="103"/>
      <c r="R21" s="103"/>
      <c r="S21" s="103">
        <v>144.46111205104</v>
      </c>
      <c r="T21" s="103">
        <v>136.01111205103999</v>
      </c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>
        <v>41.004350206291498</v>
      </c>
      <c r="E22" s="103">
        <v>58.3714297842265</v>
      </c>
      <c r="F22" s="103">
        <v>53.852908612917297</v>
      </c>
      <c r="G22" s="103">
        <v>13.329497647223199</v>
      </c>
      <c r="H22" s="103">
        <v>36.652253813237103</v>
      </c>
      <c r="I22" s="103">
        <v>26.073577678710901</v>
      </c>
      <c r="J22" s="103">
        <v>66.653608384613307</v>
      </c>
      <c r="K22" s="103"/>
      <c r="L22" s="103"/>
      <c r="M22" s="103"/>
      <c r="N22" s="103"/>
      <c r="O22" s="103"/>
      <c r="P22" s="103"/>
      <c r="Q22" s="103"/>
      <c r="R22" s="103"/>
      <c r="S22" s="103">
        <v>144.46111205104</v>
      </c>
      <c r="T22" s="103">
        <v>136.01111205103999</v>
      </c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>
        <v>41.004350206291498</v>
      </c>
      <c r="E23" s="103">
        <v>58.3714297842265</v>
      </c>
      <c r="F23" s="103">
        <v>53.852908612917297</v>
      </c>
      <c r="G23" s="103">
        <v>13.329497647223199</v>
      </c>
      <c r="H23" s="103">
        <v>36.652253813237103</v>
      </c>
      <c r="I23" s="103">
        <v>26.073577678710901</v>
      </c>
      <c r="J23" s="103">
        <v>66.653608384613307</v>
      </c>
      <c r="K23" s="103"/>
      <c r="L23" s="103"/>
      <c r="M23" s="103"/>
      <c r="N23" s="103"/>
      <c r="O23" s="103"/>
      <c r="P23" s="103"/>
      <c r="Q23" s="103"/>
      <c r="R23" s="103"/>
      <c r="S23" s="103">
        <v>144.46111205104</v>
      </c>
      <c r="T23" s="103">
        <v>136.01111205103999</v>
      </c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44.1377472236749</v>
      </c>
      <c r="E24" s="100">
        <v>61.668480830988301</v>
      </c>
      <c r="F24" s="100">
        <v>57.290039583987998</v>
      </c>
      <c r="G24" s="100">
        <v>16.529010949471001</v>
      </c>
      <c r="H24" s="100">
        <v>39.860717426514</v>
      </c>
      <c r="I24" s="100">
        <v>29.3209786039995</v>
      </c>
      <c r="J24" s="100">
        <v>69.208237166152699</v>
      </c>
      <c r="K24" s="100"/>
      <c r="L24" s="100">
        <v>93.600978603999494</v>
      </c>
      <c r="M24" s="175"/>
      <c r="N24" s="175">
        <v>93.600978603999494</v>
      </c>
      <c r="O24" s="175"/>
      <c r="P24" s="175">
        <v>93.600978603999494</v>
      </c>
      <c r="Q24" s="175"/>
      <c r="R24" s="175">
        <v>89.449368446147403</v>
      </c>
      <c r="S24" s="175">
        <v>146.73768162195299</v>
      </c>
      <c r="T24" s="175">
        <v>138.287681621953</v>
      </c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>
        <v>6.1939028317176703</v>
      </c>
      <c r="E25" s="100">
        <v>23.3916321317258</v>
      </c>
      <c r="F25" s="100">
        <v>23.3264487431038</v>
      </c>
      <c r="G25" s="100"/>
      <c r="H25" s="100"/>
      <c r="I25" s="100"/>
      <c r="J25" s="100">
        <v>30.854736045185799</v>
      </c>
      <c r="K25" s="100"/>
      <c r="L25" s="100">
        <v>55.325495102590303</v>
      </c>
      <c r="M25" s="175"/>
      <c r="N25" s="175">
        <v>55.325495102590303</v>
      </c>
      <c r="O25" s="175"/>
      <c r="P25" s="175">
        <v>55.325495102590303</v>
      </c>
      <c r="Q25" s="175"/>
      <c r="R25" s="175">
        <v>51.227661489158798</v>
      </c>
      <c r="S25" s="175">
        <v>105.569061856955</v>
      </c>
      <c r="T25" s="175">
        <v>97.119061856955696</v>
      </c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/>
      <c r="F26" s="100"/>
      <c r="G26" s="100"/>
      <c r="H26" s="100"/>
      <c r="I26" s="100"/>
      <c r="J26" s="100"/>
      <c r="K26" s="100"/>
      <c r="L26" s="100">
        <v>24.533495788925698</v>
      </c>
      <c r="M26" s="175"/>
      <c r="N26" s="175">
        <v>24.533495788925698</v>
      </c>
      <c r="O26" s="175"/>
      <c r="P26" s="175">
        <v>24.533495788925698</v>
      </c>
      <c r="Q26" s="175"/>
      <c r="R26" s="175">
        <v>20.4789245243247</v>
      </c>
      <c r="S26" s="175">
        <v>72.449581824740093</v>
      </c>
      <c r="T26" s="175">
        <v>63.999581824740098</v>
      </c>
      <c r="U26" s="175"/>
      <c r="V26" s="175">
        <v>3.1552610484764401</v>
      </c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>
        <v>21.6665202435411</v>
      </c>
      <c r="M27" s="175"/>
      <c r="N27" s="175">
        <v>21.6665202435411</v>
      </c>
      <c r="O27" s="175"/>
      <c r="P27" s="175">
        <v>21.6665202435411</v>
      </c>
      <c r="Q27" s="175">
        <v>21.6665202435411</v>
      </c>
      <c r="R27" s="175">
        <v>17.615977041388099</v>
      </c>
      <c r="S27" s="175">
        <v>69.365899652596198</v>
      </c>
      <c r="T27" s="175">
        <v>60.915899652596202</v>
      </c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>
        <v>21.6665202435411</v>
      </c>
      <c r="M28" s="175"/>
      <c r="N28" s="175">
        <v>21.6665202435411</v>
      </c>
      <c r="O28" s="175"/>
      <c r="P28" s="175">
        <v>21.6665202435411</v>
      </c>
      <c r="Q28" s="175">
        <v>21.6665202435411</v>
      </c>
      <c r="R28" s="175">
        <v>17.615977041388099</v>
      </c>
      <c r="S28" s="175">
        <v>69.365899652596198</v>
      </c>
      <c r="T28" s="175">
        <v>60.915899652596202</v>
      </c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>
        <v>7.9535890175795103</v>
      </c>
      <c r="M29" s="176"/>
      <c r="N29" s="176">
        <v>7.9535890175795103</v>
      </c>
      <c r="O29" s="176"/>
      <c r="P29" s="176">
        <v>7.9535890175795103</v>
      </c>
      <c r="Q29" s="176"/>
      <c r="R29" s="176">
        <v>4.6533146294012697</v>
      </c>
      <c r="S29" s="176">
        <v>48.584344911373499</v>
      </c>
      <c r="T29" s="176">
        <v>40.134344911373503</v>
      </c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>
        <v>9.9813856433737804</v>
      </c>
      <c r="G30" s="103"/>
      <c r="H30" s="103"/>
      <c r="I30" s="103"/>
      <c r="J30" s="103"/>
      <c r="K30" s="103"/>
      <c r="L30" s="103">
        <v>45.257131589063903</v>
      </c>
      <c r="M30" s="176"/>
      <c r="N30" s="176">
        <v>45.257131589063903</v>
      </c>
      <c r="O30" s="176">
        <v>45.257131589063903</v>
      </c>
      <c r="P30" s="176"/>
      <c r="Q30" s="176"/>
      <c r="R30" s="176">
        <v>41.729281747621698</v>
      </c>
      <c r="S30" s="176">
        <v>90.152983627263893</v>
      </c>
      <c r="T30" s="176">
        <v>81.702983627263905</v>
      </c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>
        <v>22.9681504396465</v>
      </c>
      <c r="F31" s="103">
        <v>18.901617152708599</v>
      </c>
      <c r="G31" s="103"/>
      <c r="H31" s="103"/>
      <c r="I31" s="103"/>
      <c r="J31" s="103">
        <v>5.9694910146197797</v>
      </c>
      <c r="K31" s="103"/>
      <c r="L31" s="103">
        <v>54.904703619615098</v>
      </c>
      <c r="M31" s="176"/>
      <c r="N31" s="176">
        <v>54.904703619615098</v>
      </c>
      <c r="O31" s="176"/>
      <c r="P31" s="176">
        <v>54.904703619615098</v>
      </c>
      <c r="Q31" s="176"/>
      <c r="R31" s="176">
        <v>51.3179974222775</v>
      </c>
      <c r="S31" s="176">
        <v>100.903609669147</v>
      </c>
      <c r="T31" s="176">
        <v>92.453609669147596</v>
      </c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>
        <v>34.570336090330798</v>
      </c>
      <c r="E32" s="100">
        <v>51.918432762841498</v>
      </c>
      <c r="F32" s="100">
        <v>48.611765373562498</v>
      </c>
      <c r="G32" s="100"/>
      <c r="H32" s="100">
        <v>30.623038890845599</v>
      </c>
      <c r="I32" s="100">
        <v>19.556565813995402</v>
      </c>
      <c r="J32" s="100">
        <v>57.978809576991999</v>
      </c>
      <c r="K32" s="100"/>
      <c r="L32" s="100">
        <v>83.836565813995406</v>
      </c>
      <c r="M32" s="175"/>
      <c r="N32" s="175">
        <v>83.836565813995406</v>
      </c>
      <c r="O32" s="175"/>
      <c r="P32" s="175">
        <v>83.836565813995406</v>
      </c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>
        <v>34.570336090330798</v>
      </c>
      <c r="E33" s="100">
        <v>51.918432762841498</v>
      </c>
      <c r="F33" s="100">
        <v>48.611765373562498</v>
      </c>
      <c r="G33" s="100"/>
      <c r="H33" s="100">
        <v>30.623038890845599</v>
      </c>
      <c r="I33" s="100">
        <v>19.556565813995402</v>
      </c>
      <c r="J33" s="100">
        <v>57.978809576991999</v>
      </c>
      <c r="K33" s="100"/>
      <c r="L33" s="100">
        <v>83.836565813995406</v>
      </c>
      <c r="M33" s="175"/>
      <c r="N33" s="175">
        <v>83.836565813995406</v>
      </c>
      <c r="O33" s="175"/>
      <c r="P33" s="175">
        <v>83.836565813995406</v>
      </c>
      <c r="Q33" s="175"/>
      <c r="R33" s="175">
        <v>79.681520214444802</v>
      </c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7">
        <v>0.95833333333333404</v>
      </c>
      <c r="C34" s="172" t="s">
        <v>23</v>
      </c>
      <c r="D34" s="105">
        <v>27.348265606808699</v>
      </c>
      <c r="E34" s="105">
        <v>45.287529114614301</v>
      </c>
      <c r="F34" s="105">
        <v>42.999346401898102</v>
      </c>
      <c r="G34" s="105"/>
      <c r="H34" s="105">
        <v>23.341015841805199</v>
      </c>
      <c r="I34" s="105">
        <v>12.7530576249058</v>
      </c>
      <c r="J34" s="105">
        <v>51.731262746819397</v>
      </c>
      <c r="K34" s="105">
        <v>77.033057624905794</v>
      </c>
      <c r="L34" s="105"/>
      <c r="M34" s="177">
        <v>77.033057624905794</v>
      </c>
      <c r="N34" s="177"/>
      <c r="O34" s="177"/>
      <c r="P34" s="177">
        <v>77.033057624905794</v>
      </c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452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453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25"/>
      <c r="E61" s="326"/>
      <c r="F61" s="326"/>
      <c r="G61" s="326"/>
      <c r="H61" s="325"/>
      <c r="I61" s="325"/>
      <c r="J61" s="162" t="s">
        <v>91</v>
      </c>
      <c r="K61" s="326"/>
      <c r="L61" s="326"/>
      <c r="M61" s="343"/>
      <c r="N61" s="162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6"/>
      <c r="AD61" s="162"/>
      <c r="AE61" s="326"/>
      <c r="AF61" s="326"/>
      <c r="AG61" s="326"/>
      <c r="AH61" s="342"/>
      <c r="AI61" s="167"/>
    </row>
    <row r="62" spans="1:35" ht="18" customHeight="1">
      <c r="A62" s="167"/>
      <c r="B62" s="89"/>
      <c r="C62" s="163" t="s">
        <v>98</v>
      </c>
      <c r="D62" s="328"/>
      <c r="E62" s="327"/>
      <c r="F62" s="327"/>
      <c r="G62" s="327"/>
      <c r="H62" s="328"/>
      <c r="I62" s="328"/>
      <c r="J62" s="164" t="s">
        <v>92</v>
      </c>
      <c r="K62" s="327"/>
      <c r="L62" s="327"/>
      <c r="M62" s="344"/>
      <c r="N62" s="164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164"/>
      <c r="AE62" s="327"/>
      <c r="AF62" s="327"/>
      <c r="AG62" s="327"/>
      <c r="AH62" s="342"/>
      <c r="AI62" s="167"/>
    </row>
    <row r="63" spans="1:35" ht="18" customHeight="1">
      <c r="A63" s="167"/>
      <c r="B63" s="89"/>
      <c r="C63" s="163" t="s">
        <v>99</v>
      </c>
      <c r="D63" s="328"/>
      <c r="E63" s="327"/>
      <c r="F63" s="327"/>
      <c r="G63" s="327"/>
      <c r="H63" s="328"/>
      <c r="I63" s="328"/>
      <c r="J63" s="164" t="s">
        <v>92</v>
      </c>
      <c r="K63" s="327"/>
      <c r="L63" s="327"/>
      <c r="M63" s="344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7"/>
      <c r="AF63" s="327"/>
      <c r="AG63" s="327"/>
      <c r="AH63" s="342"/>
      <c r="AI63" s="167"/>
    </row>
    <row r="64" spans="1:35" ht="18" customHeight="1">
      <c r="A64" s="167"/>
      <c r="B64" s="89"/>
      <c r="C64" s="163" t="s">
        <v>100</v>
      </c>
      <c r="D64" s="328"/>
      <c r="E64" s="327"/>
      <c r="F64" s="327"/>
      <c r="G64" s="327"/>
      <c r="H64" s="328"/>
      <c r="I64" s="328"/>
      <c r="J64" s="164" t="s">
        <v>93</v>
      </c>
      <c r="K64" s="327"/>
      <c r="L64" s="327"/>
      <c r="M64" s="344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7"/>
      <c r="AF64" s="327"/>
      <c r="AG64" s="327"/>
      <c r="AH64" s="342"/>
      <c r="AI64" s="167"/>
    </row>
    <row r="65" spans="1:35" ht="18" customHeight="1">
      <c r="A65" s="167"/>
      <c r="B65" s="89"/>
      <c r="C65" s="163" t="s">
        <v>101</v>
      </c>
      <c r="D65" s="328"/>
      <c r="E65" s="327"/>
      <c r="F65" s="327"/>
      <c r="G65" s="327"/>
      <c r="H65" s="328"/>
      <c r="I65" s="328"/>
      <c r="J65" s="164" t="s">
        <v>94</v>
      </c>
      <c r="K65" s="327"/>
      <c r="L65" s="327"/>
      <c r="M65" s="344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89"/>
    </row>
    <row r="66" spans="1:35" ht="18" customHeight="1">
      <c r="A66" s="167"/>
      <c r="B66" s="89"/>
      <c r="C66" s="163" t="s">
        <v>305</v>
      </c>
      <c r="D66" s="328"/>
      <c r="E66" s="327"/>
      <c r="F66" s="327"/>
      <c r="G66" s="327"/>
      <c r="H66" s="328"/>
      <c r="I66" s="328"/>
      <c r="J66" s="164" t="s">
        <v>306</v>
      </c>
      <c r="K66" s="327"/>
      <c r="L66" s="327"/>
      <c r="M66" s="344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89"/>
    </row>
    <row r="67" spans="1:35" ht="18" customHeight="1">
      <c r="A67" s="167"/>
      <c r="B67" s="89"/>
      <c r="C67" s="163" t="s">
        <v>102</v>
      </c>
      <c r="D67" s="328"/>
      <c r="E67" s="328"/>
      <c r="F67" s="328"/>
      <c r="G67" s="328"/>
      <c r="H67" s="327"/>
      <c r="I67" s="164"/>
      <c r="J67" s="164" t="s">
        <v>95</v>
      </c>
      <c r="K67" s="327"/>
      <c r="L67" s="327"/>
      <c r="M67" s="345"/>
      <c r="N67" s="164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7"/>
      <c r="AD67" s="164"/>
      <c r="AE67" s="327"/>
      <c r="AF67" s="327"/>
      <c r="AG67" s="327"/>
      <c r="AH67" s="342"/>
      <c r="AI67" s="167"/>
    </row>
    <row r="68" spans="1:35" ht="18" customHeight="1">
      <c r="A68" s="167"/>
      <c r="B68" s="89"/>
      <c r="C68" s="163" t="s">
        <v>44</v>
      </c>
      <c r="D68" s="327"/>
      <c r="E68" s="327"/>
      <c r="F68" s="327"/>
      <c r="G68" s="327"/>
      <c r="H68" s="327"/>
      <c r="I68" s="164"/>
      <c r="J68" s="164" t="s">
        <v>95</v>
      </c>
      <c r="K68" s="327"/>
      <c r="L68" s="327"/>
      <c r="M68" s="345"/>
      <c r="N68" s="164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164"/>
      <c r="AE68" s="327"/>
      <c r="AF68" s="327"/>
      <c r="AG68" s="327"/>
      <c r="AH68" s="342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7"/>
      <c r="L69" s="327"/>
      <c r="M69" s="345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7"/>
      <c r="AF69" s="327"/>
      <c r="AG69" s="327"/>
      <c r="AH69" s="342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7"/>
      <c r="L70" s="327"/>
      <c r="M70" s="345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7"/>
      <c r="AF70" s="327"/>
      <c r="AG70" s="327"/>
      <c r="AH70" s="342"/>
      <c r="AI70" s="167"/>
    </row>
    <row r="71" spans="1:35" ht="18" customHeight="1" thickBot="1">
      <c r="A71" s="292"/>
      <c r="B71" s="330"/>
      <c r="C71" s="341"/>
      <c r="D71" s="329"/>
      <c r="E71" s="329"/>
      <c r="F71" s="329"/>
      <c r="G71" s="329"/>
      <c r="H71" s="329"/>
      <c r="I71" s="329"/>
      <c r="J71" s="329"/>
      <c r="K71" s="329"/>
      <c r="L71" s="329"/>
      <c r="M71" s="346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165"/>
    </row>
    <row r="72" spans="1:35" ht="24.75" customHeight="1">
      <c r="A72" s="82"/>
      <c r="B72" s="82"/>
      <c r="C72" s="455"/>
      <c r="D72" s="455"/>
      <c r="E72" s="455"/>
      <c r="F72" s="455"/>
      <c r="G72" s="455"/>
      <c r="H72" s="455"/>
      <c r="I72" s="455"/>
      <c r="J72" s="455"/>
      <c r="K72" s="455"/>
      <c r="L72" s="455"/>
      <c r="M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  <c r="Y72" s="455"/>
      <c r="Z72" s="455"/>
      <c r="AA72" s="455"/>
      <c r="AB72" s="455"/>
      <c r="AC72" s="455"/>
      <c r="AD72" s="455"/>
      <c r="AE72" s="455"/>
      <c r="AF72" s="455"/>
      <c r="AG72" s="455"/>
      <c r="AH72" s="117"/>
      <c r="AI72" s="82"/>
    </row>
    <row r="73" spans="1:35" ht="15">
      <c r="A73" s="445"/>
      <c r="B73" s="445"/>
      <c r="C73" s="445"/>
      <c r="D73" s="445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P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3" width="9.140625" customWidth="1"/>
    <col min="44" max="45" width="14.7109375" customWidth="1"/>
    <col min="46" max="47" width="9.5703125" customWidth="1"/>
    <col min="48" max="86" width="9.28515625" customWidth="1"/>
    <col min="87" max="87" width="14.85546875" customWidth="1"/>
  </cols>
  <sheetData>
    <row r="1" spans="1:120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9">
        <v>31.390999999999998</v>
      </c>
      <c r="AF1" s="349">
        <v>8.9</v>
      </c>
      <c r="AG1" s="350">
        <v>9012.25</v>
      </c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350"/>
      <c r="DD1" s="350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69"/>
    </row>
    <row r="2" spans="1:120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9">
        <v>32.320999999999998</v>
      </c>
      <c r="AF2" s="349">
        <v>8.9</v>
      </c>
      <c r="AG2" s="350">
        <v>9279.25</v>
      </c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269"/>
      <c r="DF2" s="269"/>
      <c r="DG2" s="269"/>
      <c r="DH2" s="269"/>
      <c r="DI2" s="269"/>
      <c r="DJ2" s="269"/>
      <c r="DK2" s="269"/>
      <c r="DL2" s="269"/>
      <c r="DM2" s="269"/>
      <c r="DN2" s="269"/>
      <c r="DO2" s="269"/>
      <c r="DP2" s="269"/>
    </row>
    <row r="3" spans="1:120" ht="15">
      <c r="A3" s="445"/>
      <c r="B3" s="445"/>
      <c r="C3" s="445"/>
      <c r="D3" s="445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8"/>
      <c r="AE3" s="351">
        <v>15.9819</v>
      </c>
      <c r="AF3" s="351">
        <v>8.9</v>
      </c>
      <c r="AG3" s="350">
        <v>4588.3500000000004</v>
      </c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350"/>
      <c r="DD3" s="350"/>
      <c r="DE3" s="269"/>
      <c r="DF3" s="269"/>
      <c r="DG3" s="269"/>
      <c r="DH3" s="269"/>
      <c r="DI3" s="269"/>
      <c r="DJ3" s="269"/>
      <c r="DK3" s="269"/>
      <c r="DL3" s="269"/>
      <c r="DM3" s="269"/>
      <c r="DN3" s="269"/>
      <c r="DO3" s="269"/>
      <c r="DP3" s="269"/>
    </row>
    <row r="4" spans="1:120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2"/>
      <c r="AF4" s="351">
        <v>0</v>
      </c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350"/>
      <c r="DD4" s="350"/>
      <c r="DE4" s="269"/>
      <c r="DF4" s="269"/>
      <c r="DG4" s="269"/>
      <c r="DH4" s="269"/>
      <c r="DI4" s="269"/>
      <c r="DJ4" s="269"/>
      <c r="DK4" s="269"/>
      <c r="DL4" s="269"/>
      <c r="DM4" s="269"/>
      <c r="DN4" s="269"/>
      <c r="DO4" s="269"/>
      <c r="DP4" s="269"/>
    </row>
    <row r="5" spans="1:120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2"/>
      <c r="AF5" s="351">
        <v>0</v>
      </c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350"/>
      <c r="DD5" s="350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</row>
    <row r="6" spans="1:120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9"/>
      <c r="AF6" s="349">
        <v>0</v>
      </c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269"/>
      <c r="DF6" s="269"/>
      <c r="DG6" s="269"/>
      <c r="DH6" s="269"/>
      <c r="DI6" s="269"/>
      <c r="DJ6" s="269"/>
      <c r="DK6" s="269"/>
      <c r="DL6" s="269"/>
      <c r="DM6" s="269"/>
      <c r="DN6" s="269"/>
      <c r="DO6" s="269"/>
      <c r="DP6" s="269"/>
    </row>
    <row r="7" spans="1:120" ht="20.25">
      <c r="A7" s="82"/>
      <c r="B7" s="86"/>
      <c r="C7" s="532" t="s">
        <v>319</v>
      </c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3"/>
      <c r="T7" s="533"/>
      <c r="U7" s="533"/>
      <c r="V7" s="533"/>
      <c r="W7" s="533"/>
      <c r="X7" s="533"/>
      <c r="Y7" s="533"/>
      <c r="Z7" s="533"/>
      <c r="AA7" s="533"/>
      <c r="AB7" s="533"/>
      <c r="AC7" s="533"/>
      <c r="AD7" s="534"/>
      <c r="AE7" s="349"/>
      <c r="AF7" s="349">
        <v>0</v>
      </c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269"/>
      <c r="DF7" s="269"/>
      <c r="DG7" s="269"/>
      <c r="DH7" s="269"/>
      <c r="DI7" s="269"/>
      <c r="DJ7" s="269"/>
      <c r="DK7" s="269"/>
      <c r="DL7" s="269"/>
      <c r="DM7" s="269"/>
      <c r="DN7" s="269"/>
      <c r="DO7" s="269"/>
      <c r="DP7" s="269"/>
    </row>
    <row r="8" spans="1:120" ht="21" thickBot="1">
      <c r="A8" s="82"/>
      <c r="B8" s="86"/>
      <c r="C8" s="535" t="s">
        <v>73</v>
      </c>
      <c r="D8" s="536"/>
      <c r="E8" s="536"/>
      <c r="F8" s="536"/>
      <c r="G8" s="536"/>
      <c r="H8" s="536"/>
      <c r="I8" s="536"/>
      <c r="J8" s="536"/>
      <c r="K8" s="53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6"/>
      <c r="X8" s="536"/>
      <c r="Y8" s="536"/>
      <c r="Z8" s="536"/>
      <c r="AA8" s="536"/>
      <c r="AB8" s="536"/>
      <c r="AC8" s="536"/>
      <c r="AD8" s="537"/>
      <c r="AE8" s="349"/>
      <c r="AF8" s="349">
        <v>0</v>
      </c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269"/>
      <c r="DF8" s="269"/>
      <c r="DG8" s="269"/>
      <c r="DH8" s="269"/>
      <c r="DI8" s="269"/>
      <c r="DJ8" s="269"/>
      <c r="DK8" s="269"/>
      <c r="DL8" s="269"/>
      <c r="DM8" s="269"/>
      <c r="DN8" s="269"/>
      <c r="DO8" s="269"/>
      <c r="DP8" s="269"/>
    </row>
    <row r="9" spans="1:120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9"/>
      <c r="AF9" s="349">
        <v>0</v>
      </c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0"/>
      <c r="BM9" s="350"/>
      <c r="BN9" s="350"/>
      <c r="BO9" s="350"/>
      <c r="BP9" s="350"/>
      <c r="BQ9" s="350"/>
      <c r="BR9" s="350"/>
      <c r="BS9" s="350"/>
      <c r="BT9" s="350"/>
      <c r="BU9" s="350"/>
      <c r="BV9" s="350"/>
      <c r="BW9" s="350"/>
      <c r="BX9" s="350"/>
      <c r="BY9" s="350"/>
      <c r="BZ9" s="350"/>
      <c r="CA9" s="350"/>
      <c r="CB9" s="350"/>
      <c r="CC9" s="350"/>
      <c r="CD9" s="350"/>
      <c r="CE9" s="350"/>
      <c r="CF9" s="350"/>
      <c r="CG9" s="350"/>
      <c r="CH9" s="350"/>
      <c r="CI9" s="350"/>
      <c r="CJ9" s="350"/>
      <c r="CK9" s="350"/>
      <c r="CL9" s="350"/>
      <c r="CM9" s="350"/>
      <c r="CN9" s="350"/>
      <c r="CO9" s="350"/>
      <c r="CP9" s="350"/>
      <c r="CQ9" s="350"/>
      <c r="CR9" s="350"/>
      <c r="CS9" s="350"/>
      <c r="CT9" s="350"/>
      <c r="CU9" s="350"/>
      <c r="CV9" s="350"/>
      <c r="CW9" s="350"/>
      <c r="CX9" s="350"/>
      <c r="CY9" s="350"/>
      <c r="CZ9" s="350"/>
      <c r="DA9" s="350"/>
      <c r="DB9" s="350"/>
      <c r="DC9" s="350"/>
      <c r="DD9" s="350"/>
      <c r="DE9" s="269"/>
      <c r="DF9" s="269"/>
      <c r="DG9" s="269"/>
      <c r="DH9" s="269"/>
      <c r="DI9" s="269"/>
      <c r="DJ9" s="269"/>
      <c r="DK9" s="269"/>
      <c r="DL9" s="269"/>
      <c r="DM9" s="269"/>
      <c r="DN9" s="269"/>
      <c r="DO9" s="269"/>
      <c r="DP9" s="269"/>
    </row>
    <row r="10" spans="1:120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9"/>
      <c r="AF10" s="349">
        <v>0</v>
      </c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0"/>
      <c r="CI10" s="350"/>
      <c r="CJ10" s="350"/>
      <c r="CK10" s="350"/>
      <c r="CL10" s="350"/>
      <c r="CM10" s="350"/>
      <c r="CN10" s="350"/>
      <c r="CO10" s="350"/>
      <c r="CP10" s="350"/>
      <c r="CQ10" s="350"/>
      <c r="CR10" s="350"/>
      <c r="CS10" s="350"/>
      <c r="CT10" s="350"/>
      <c r="CU10" s="350"/>
      <c r="CV10" s="350"/>
      <c r="CW10" s="350"/>
      <c r="CX10" s="350"/>
      <c r="CY10" s="350"/>
      <c r="CZ10" s="350"/>
      <c r="DA10" s="350"/>
      <c r="DB10" s="350"/>
      <c r="DC10" s="350"/>
      <c r="DD10" s="350"/>
      <c r="DE10" s="269"/>
      <c r="DF10" s="269"/>
      <c r="DG10" s="269"/>
      <c r="DH10" s="269"/>
      <c r="DI10" s="269"/>
      <c r="DJ10" s="269"/>
      <c r="DK10" s="269"/>
      <c r="DL10" s="269"/>
      <c r="DM10" s="269"/>
      <c r="DN10" s="269"/>
      <c r="DO10" s="269"/>
      <c r="DP10" s="269"/>
    </row>
    <row r="11" spans="1:120" ht="45" customHeight="1">
      <c r="A11" s="82"/>
      <c r="B11" s="82"/>
      <c r="C11" s="540" t="s">
        <v>72</v>
      </c>
      <c r="D11" s="556"/>
      <c r="E11" s="556"/>
      <c r="F11" s="556"/>
      <c r="G11" s="556"/>
      <c r="H11" s="531" t="s">
        <v>53</v>
      </c>
      <c r="I11" s="531"/>
      <c r="J11" s="531" t="s">
        <v>27</v>
      </c>
      <c r="K11" s="531"/>
      <c r="L11" s="531" t="s">
        <v>26</v>
      </c>
      <c r="M11" s="555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9"/>
      <c r="AF11" s="349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350"/>
      <c r="DD11" s="350"/>
      <c r="DE11" s="269"/>
      <c r="DF11" s="269"/>
      <c r="DG11" s="269"/>
      <c r="DH11" s="269"/>
      <c r="DI11" s="269"/>
      <c r="DJ11" s="269"/>
      <c r="DK11" s="269"/>
      <c r="DL11" s="269"/>
      <c r="DM11" s="269"/>
      <c r="DN11" s="269"/>
      <c r="DO11" s="269"/>
      <c r="DP11" s="269"/>
    </row>
    <row r="12" spans="1:120" ht="15">
      <c r="A12" s="82"/>
      <c r="B12" s="82"/>
      <c r="C12" s="557" t="s">
        <v>365</v>
      </c>
      <c r="D12" s="558"/>
      <c r="E12" s="558"/>
      <c r="F12" s="558"/>
      <c r="G12" s="558"/>
      <c r="H12" s="550">
        <v>31.390999999999998</v>
      </c>
      <c r="I12" s="550"/>
      <c r="J12" s="551">
        <v>8.9</v>
      </c>
      <c r="K12" s="551"/>
      <c r="L12" s="548">
        <v>9012.25</v>
      </c>
      <c r="M12" s="5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9"/>
      <c r="AF12" s="349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350"/>
      <c r="DD12" s="350"/>
      <c r="DE12" s="269"/>
      <c r="DF12" s="269"/>
      <c r="DG12" s="269"/>
      <c r="DH12" s="269"/>
      <c r="DI12" s="269"/>
      <c r="DJ12" s="269"/>
      <c r="DK12" s="269"/>
      <c r="DL12" s="269"/>
      <c r="DM12" s="269"/>
      <c r="DN12" s="269"/>
      <c r="DO12" s="269"/>
      <c r="DP12" s="269"/>
    </row>
    <row r="13" spans="1:120" ht="15">
      <c r="A13" s="82"/>
      <c r="B13" s="82"/>
      <c r="C13" s="552" t="s">
        <v>366</v>
      </c>
      <c r="D13" s="553"/>
      <c r="E13" s="553"/>
      <c r="F13" s="553"/>
      <c r="G13" s="554"/>
      <c r="H13" s="550">
        <v>32.320999999999998</v>
      </c>
      <c r="I13" s="550"/>
      <c r="J13" s="551">
        <v>8.9</v>
      </c>
      <c r="K13" s="551"/>
      <c r="L13" s="548">
        <v>9279.25</v>
      </c>
      <c r="M13" s="5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9"/>
      <c r="AF13" s="349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50"/>
      <c r="BO13" s="350"/>
      <c r="BP13" s="350"/>
      <c r="BQ13" s="350"/>
      <c r="BR13" s="350"/>
      <c r="BS13" s="350"/>
      <c r="BT13" s="350"/>
      <c r="BU13" s="350"/>
      <c r="BV13" s="350"/>
      <c r="BW13" s="350"/>
      <c r="BX13" s="350"/>
      <c r="BY13" s="350"/>
      <c r="BZ13" s="350"/>
      <c r="CA13" s="350"/>
      <c r="CB13" s="350"/>
      <c r="CC13" s="350"/>
      <c r="CD13" s="350"/>
      <c r="CE13" s="350"/>
      <c r="CF13" s="350"/>
      <c r="CG13" s="350"/>
      <c r="CH13" s="350"/>
      <c r="CI13" s="350"/>
      <c r="CJ13" s="350"/>
      <c r="CK13" s="350"/>
      <c r="CL13" s="350"/>
      <c r="CM13" s="350"/>
      <c r="CN13" s="350"/>
      <c r="CO13" s="350"/>
      <c r="CP13" s="350"/>
      <c r="CQ13" s="350"/>
      <c r="CR13" s="350"/>
      <c r="CS13" s="350"/>
      <c r="CT13" s="350"/>
      <c r="CU13" s="350"/>
      <c r="CV13" s="350"/>
      <c r="CW13" s="350"/>
      <c r="CX13" s="350"/>
      <c r="CY13" s="350"/>
      <c r="CZ13" s="350"/>
      <c r="DA13" s="350"/>
      <c r="DB13" s="350"/>
      <c r="DC13" s="350"/>
      <c r="DD13" s="350"/>
      <c r="DE13" s="269"/>
      <c r="DF13" s="269"/>
      <c r="DG13" s="269"/>
      <c r="DH13" s="269"/>
      <c r="DI13" s="269"/>
      <c r="DJ13" s="269"/>
      <c r="DK13" s="269"/>
      <c r="DL13" s="269"/>
      <c r="DM13" s="269"/>
      <c r="DN13" s="269"/>
      <c r="DO13" s="269"/>
      <c r="DP13" s="269"/>
    </row>
    <row r="14" spans="1:120" ht="15">
      <c r="A14" s="82"/>
      <c r="B14" s="82"/>
      <c r="C14" s="552" t="s">
        <v>367</v>
      </c>
      <c r="D14" s="553"/>
      <c r="E14" s="553"/>
      <c r="F14" s="553"/>
      <c r="G14" s="554"/>
      <c r="H14" s="550">
        <v>15.9819</v>
      </c>
      <c r="I14" s="550"/>
      <c r="J14" s="551">
        <v>8.9</v>
      </c>
      <c r="K14" s="551"/>
      <c r="L14" s="548">
        <v>4588.3500000000004</v>
      </c>
      <c r="M14" s="5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9"/>
      <c r="AF14" s="349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0"/>
      <c r="CJ14" s="350"/>
      <c r="CK14" s="350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350"/>
      <c r="DD14" s="350"/>
      <c r="DE14" s="269"/>
      <c r="DF14" s="269"/>
      <c r="DG14" s="269"/>
      <c r="DH14" s="269"/>
      <c r="DI14" s="269"/>
      <c r="DJ14" s="269"/>
      <c r="DK14" s="269"/>
      <c r="DL14" s="269"/>
      <c r="DM14" s="269"/>
      <c r="DN14" s="269"/>
      <c r="DO14" s="269"/>
      <c r="DP14" s="269"/>
    </row>
    <row r="15" spans="1:120" ht="16.5" thickBot="1">
      <c r="A15" s="82"/>
      <c r="B15" s="82"/>
      <c r="C15" s="569" t="s">
        <v>13</v>
      </c>
      <c r="D15" s="570"/>
      <c r="E15" s="570"/>
      <c r="F15" s="570"/>
      <c r="G15" s="570"/>
      <c r="H15" s="565">
        <f>SUM(H12:I14)</f>
        <v>79.693899999999999</v>
      </c>
      <c r="I15" s="566"/>
      <c r="J15" s="565"/>
      <c r="K15" s="566"/>
      <c r="L15" s="567">
        <f>SUM(L12:M14)</f>
        <v>22879.85</v>
      </c>
      <c r="M15" s="568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82"/>
      <c r="AF15" s="82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269"/>
      <c r="CU15" s="269"/>
      <c r="CV15" s="269"/>
      <c r="CW15" s="269"/>
      <c r="CX15" s="269"/>
      <c r="CY15" s="269"/>
      <c r="CZ15" s="269"/>
      <c r="DA15" s="269"/>
      <c r="DB15" s="269"/>
      <c r="DC15" s="269"/>
      <c r="DD15" s="269"/>
      <c r="DE15" s="269"/>
      <c r="DF15" s="269"/>
      <c r="DG15" s="269"/>
      <c r="DH15" s="269"/>
      <c r="DI15" s="269"/>
      <c r="DJ15" s="269"/>
      <c r="DK15" s="269"/>
      <c r="DL15" s="269"/>
      <c r="DM15" s="269"/>
      <c r="DN15" s="269"/>
      <c r="DO15" s="269"/>
      <c r="DP15" s="269"/>
    </row>
    <row r="16" spans="1:120" ht="15" customHeight="1">
      <c r="A16" s="82"/>
      <c r="B16" s="82"/>
      <c r="C16" s="250"/>
      <c r="D16" s="249"/>
      <c r="E16" s="249"/>
      <c r="F16" s="251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82"/>
      <c r="AF16" s="82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269"/>
      <c r="CF16" s="269"/>
      <c r="CG16" s="269"/>
      <c r="CH16" s="269"/>
      <c r="CI16" s="269"/>
      <c r="CJ16" s="269"/>
      <c r="CK16" s="269"/>
      <c r="CL16" s="269"/>
      <c r="CM16" s="269"/>
      <c r="CN16" s="269"/>
      <c r="CO16" s="269"/>
      <c r="CP16" s="269"/>
      <c r="CQ16" s="269"/>
      <c r="CR16" s="269"/>
      <c r="CS16" s="269"/>
      <c r="CT16" s="269"/>
      <c r="CU16" s="269"/>
      <c r="CV16" s="269"/>
      <c r="CW16" s="269"/>
      <c r="CX16" s="269"/>
      <c r="CY16" s="269"/>
      <c r="CZ16" s="269"/>
      <c r="DA16" s="269"/>
      <c r="DB16" s="269"/>
      <c r="DC16" s="269"/>
      <c r="DD16" s="269"/>
      <c r="DE16" s="269"/>
      <c r="DF16" s="269"/>
      <c r="DG16" s="269"/>
      <c r="DH16" s="269"/>
      <c r="DI16" s="269"/>
      <c r="DJ16" s="269"/>
      <c r="DK16" s="269"/>
      <c r="DL16" s="269"/>
      <c r="DM16" s="269"/>
      <c r="DN16" s="269"/>
      <c r="DO16" s="269"/>
      <c r="DP16" s="269"/>
    </row>
    <row r="17" spans="1:120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  <c r="CH17" s="269"/>
      <c r="CI17" s="269"/>
      <c r="CJ17" s="269"/>
      <c r="CK17" s="269"/>
      <c r="CL17" s="269"/>
      <c r="CM17" s="269"/>
      <c r="CN17" s="269"/>
      <c r="CO17" s="269"/>
      <c r="CP17" s="269"/>
      <c r="CQ17" s="269"/>
      <c r="CR17" s="269"/>
      <c r="CS17" s="269"/>
      <c r="CT17" s="269"/>
      <c r="CU17" s="269"/>
      <c r="CV17" s="269"/>
      <c r="CW17" s="269"/>
      <c r="CX17" s="269"/>
      <c r="CY17" s="269"/>
      <c r="CZ17" s="269"/>
      <c r="DA17" s="269"/>
      <c r="DB17" s="269"/>
      <c r="DC17" s="269"/>
      <c r="DD17" s="269"/>
      <c r="DE17" s="269"/>
      <c r="DF17" s="269"/>
      <c r="DG17" s="269"/>
      <c r="DH17" s="269"/>
      <c r="DI17" s="269"/>
      <c r="DJ17" s="269"/>
      <c r="DK17" s="269"/>
      <c r="DL17" s="269"/>
      <c r="DM17" s="269"/>
      <c r="DN17" s="269"/>
      <c r="DO17" s="269"/>
      <c r="DP17" s="269"/>
    </row>
    <row r="18" spans="1:120" ht="21" thickBot="1">
      <c r="A18" s="82"/>
      <c r="B18" s="82"/>
      <c r="C18" s="561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2"/>
      <c r="AG18" s="562"/>
      <c r="AH18" s="562"/>
      <c r="AI18" s="562"/>
      <c r="AJ18" s="562"/>
      <c r="AK18" s="562"/>
      <c r="AL18" s="562"/>
      <c r="AM18" s="562"/>
      <c r="AN18" s="562"/>
      <c r="AO18" s="562"/>
      <c r="AP18" s="562"/>
      <c r="AQ18" s="562"/>
      <c r="AR18" s="563"/>
      <c r="AS18" s="564"/>
      <c r="AT18" s="269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69"/>
      <c r="BL18" s="269"/>
      <c r="BM18" s="269"/>
      <c r="BN18" s="269"/>
      <c r="BO18" s="269"/>
      <c r="BP18" s="269"/>
      <c r="BQ18" s="269"/>
      <c r="BR18" s="269"/>
      <c r="BS18" s="269"/>
      <c r="BT18" s="269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69"/>
      <c r="CH18" s="269"/>
      <c r="CI18" s="269"/>
      <c r="CJ18" s="269"/>
      <c r="CK18" s="269"/>
      <c r="CL18" s="269"/>
      <c r="CM18" s="269"/>
      <c r="CN18" s="269"/>
      <c r="CO18" s="269"/>
      <c r="CP18" s="269"/>
      <c r="CQ18" s="269"/>
      <c r="CR18" s="269"/>
      <c r="CS18" s="269"/>
      <c r="CT18" s="269"/>
      <c r="CU18" s="269"/>
      <c r="CV18" s="269"/>
      <c r="CW18" s="269"/>
      <c r="CX18" s="269"/>
      <c r="CY18" s="269"/>
      <c r="CZ18" s="269"/>
      <c r="DA18" s="269"/>
      <c r="DB18" s="269"/>
      <c r="DC18" s="269"/>
      <c r="DD18" s="269"/>
      <c r="DE18" s="269"/>
      <c r="DF18" s="269"/>
      <c r="DG18" s="269"/>
      <c r="DH18" s="269"/>
      <c r="DI18" s="269"/>
      <c r="DJ18" s="269"/>
      <c r="DK18" s="269"/>
      <c r="DL18" s="269"/>
      <c r="DM18" s="269"/>
      <c r="DN18" s="269"/>
      <c r="DO18" s="269"/>
      <c r="DP18" s="269"/>
    </row>
    <row r="19" spans="1:120" ht="15.75" customHeight="1" thickBot="1">
      <c r="A19" s="82"/>
      <c r="B19" s="82"/>
      <c r="C19" s="540" t="s">
        <v>74</v>
      </c>
      <c r="D19" s="546"/>
      <c r="E19" s="547" t="s">
        <v>52</v>
      </c>
      <c r="F19" s="545"/>
      <c r="G19" s="545"/>
      <c r="H19" s="545"/>
      <c r="I19" s="545"/>
      <c r="J19" s="545"/>
      <c r="K19" s="545"/>
      <c r="L19" s="545"/>
      <c r="M19" s="545"/>
      <c r="N19" s="545"/>
      <c r="O19" s="545"/>
      <c r="P19" s="545"/>
      <c r="Q19" s="545"/>
      <c r="R19" s="545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  <c r="AC19" s="545"/>
      <c r="AD19" s="545"/>
      <c r="AE19" s="545"/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75" t="s">
        <v>25</v>
      </c>
      <c r="AS19" s="559" t="s">
        <v>26</v>
      </c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/>
      <c r="CG19" s="269"/>
      <c r="CH19" s="269"/>
      <c r="CI19" s="269"/>
      <c r="CJ19" s="269"/>
      <c r="CK19" s="269"/>
      <c r="CL19" s="269"/>
      <c r="CM19" s="269"/>
      <c r="CN19" s="269"/>
      <c r="CO19" s="269"/>
      <c r="CP19" s="269"/>
      <c r="CQ19" s="269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69"/>
      <c r="DE19" s="269"/>
      <c r="DF19" s="269"/>
      <c r="DG19" s="269"/>
      <c r="DH19" s="269"/>
      <c r="DI19" s="269"/>
      <c r="DJ19" s="269"/>
      <c r="DK19" s="269"/>
      <c r="DL19" s="269"/>
      <c r="DM19" s="269"/>
      <c r="DN19" s="269"/>
      <c r="DO19" s="269"/>
      <c r="DP19" s="269"/>
    </row>
    <row r="20" spans="1:120" ht="15.75" thickBot="1">
      <c r="A20" s="82"/>
      <c r="B20" s="82"/>
      <c r="C20" s="573"/>
      <c r="D20" s="574"/>
      <c r="E20" s="427" t="s">
        <v>329</v>
      </c>
      <c r="F20" s="428" t="s">
        <v>330</v>
      </c>
      <c r="G20" s="428" t="s">
        <v>331</v>
      </c>
      <c r="H20" s="429" t="s">
        <v>332</v>
      </c>
      <c r="I20" s="428" t="s">
        <v>333</v>
      </c>
      <c r="J20" s="428" t="s">
        <v>334</v>
      </c>
      <c r="K20" s="428" t="s">
        <v>335</v>
      </c>
      <c r="L20" s="428" t="s">
        <v>336</v>
      </c>
      <c r="M20" s="429" t="s">
        <v>337</v>
      </c>
      <c r="N20" s="428" t="s">
        <v>338</v>
      </c>
      <c r="O20" s="430" t="s">
        <v>339</v>
      </c>
      <c r="P20" s="428" t="s">
        <v>340</v>
      </c>
      <c r="Q20" s="428" t="s">
        <v>225</v>
      </c>
      <c r="R20" s="428" t="s">
        <v>226</v>
      </c>
      <c r="S20" s="428" t="s">
        <v>227</v>
      </c>
      <c r="T20" s="428" t="s">
        <v>341</v>
      </c>
      <c r="U20" s="428" t="s">
        <v>342</v>
      </c>
      <c r="V20" s="428" t="s">
        <v>343</v>
      </c>
      <c r="W20" s="428" t="s">
        <v>344</v>
      </c>
      <c r="X20" s="428" t="s">
        <v>345</v>
      </c>
      <c r="Y20" s="428" t="s">
        <v>346</v>
      </c>
      <c r="Z20" s="428" t="s">
        <v>347</v>
      </c>
      <c r="AA20" s="428" t="s">
        <v>348</v>
      </c>
      <c r="AB20" s="428" t="s">
        <v>349</v>
      </c>
      <c r="AC20" s="428" t="s">
        <v>350</v>
      </c>
      <c r="AD20" s="428" t="s">
        <v>351</v>
      </c>
      <c r="AE20" s="428" t="s">
        <v>352</v>
      </c>
      <c r="AF20" s="428" t="s">
        <v>353</v>
      </c>
      <c r="AG20" s="428" t="s">
        <v>354</v>
      </c>
      <c r="AH20" s="428" t="s">
        <v>355</v>
      </c>
      <c r="AI20" s="429" t="s">
        <v>356</v>
      </c>
      <c r="AJ20" s="428" t="s">
        <v>357</v>
      </c>
      <c r="AK20" s="430" t="s">
        <v>358</v>
      </c>
      <c r="AL20" s="430" t="s">
        <v>359</v>
      </c>
      <c r="AM20" s="430" t="s">
        <v>360</v>
      </c>
      <c r="AN20" s="430" t="s">
        <v>361</v>
      </c>
      <c r="AO20" s="430" t="s">
        <v>362</v>
      </c>
      <c r="AP20" s="430" t="s">
        <v>363</v>
      </c>
      <c r="AQ20" s="430" t="s">
        <v>364</v>
      </c>
      <c r="AR20" s="576"/>
      <c r="AS20" s="560"/>
      <c r="AT20" s="117"/>
      <c r="AU20" s="269"/>
      <c r="AV20" s="269"/>
      <c r="AW20" s="269"/>
      <c r="AX20" s="269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</row>
    <row r="21" spans="1:120" ht="15">
      <c r="A21" s="82"/>
      <c r="B21" s="82"/>
      <c r="C21" s="407">
        <v>0</v>
      </c>
      <c r="D21" s="424">
        <v>37995.041666666199</v>
      </c>
      <c r="E21" s="409">
        <v>0</v>
      </c>
      <c r="F21" s="410">
        <v>0</v>
      </c>
      <c r="G21" s="410">
        <v>5.69</v>
      </c>
      <c r="H21" s="412">
        <v>0</v>
      </c>
      <c r="I21" s="410">
        <v>0</v>
      </c>
      <c r="J21" s="410">
        <v>0</v>
      </c>
      <c r="K21" s="410">
        <v>0</v>
      </c>
      <c r="L21" s="410">
        <v>0</v>
      </c>
      <c r="M21" s="412">
        <v>0</v>
      </c>
      <c r="N21" s="410">
        <v>0</v>
      </c>
      <c r="O21" s="410">
        <v>0</v>
      </c>
      <c r="P21" s="412">
        <v>0</v>
      </c>
      <c r="Q21" s="410">
        <v>0</v>
      </c>
      <c r="R21" s="410">
        <v>5.18</v>
      </c>
      <c r="S21" s="410">
        <v>5.18</v>
      </c>
      <c r="T21" s="410">
        <v>5</v>
      </c>
      <c r="U21" s="410">
        <v>5</v>
      </c>
      <c r="V21" s="410">
        <v>8.6449999999999996</v>
      </c>
      <c r="W21" s="410">
        <v>8.6449999999999996</v>
      </c>
      <c r="X21" s="410">
        <v>0.5</v>
      </c>
      <c r="Y21" s="410">
        <v>1.31</v>
      </c>
      <c r="Z21" s="410">
        <v>1.31</v>
      </c>
      <c r="AA21" s="410">
        <v>0</v>
      </c>
      <c r="AB21" s="410">
        <v>0</v>
      </c>
      <c r="AC21" s="410">
        <v>0</v>
      </c>
      <c r="AD21" s="410">
        <v>1.39</v>
      </c>
      <c r="AE21" s="410">
        <v>1.39</v>
      </c>
      <c r="AF21" s="410">
        <v>1.375</v>
      </c>
      <c r="AG21" s="410">
        <v>1.375</v>
      </c>
      <c r="AH21" s="410">
        <v>5.49</v>
      </c>
      <c r="AI21" s="412">
        <v>5.49</v>
      </c>
      <c r="AJ21" s="410">
        <v>0</v>
      </c>
      <c r="AK21" s="411">
        <v>7.39</v>
      </c>
      <c r="AL21" s="411">
        <v>9.5</v>
      </c>
      <c r="AM21" s="411">
        <v>2.54</v>
      </c>
      <c r="AN21" s="411">
        <v>4.8449999999999998</v>
      </c>
      <c r="AO21" s="411">
        <v>11</v>
      </c>
      <c r="AP21" s="411">
        <v>7.92</v>
      </c>
      <c r="AQ21" s="411">
        <v>7.92</v>
      </c>
      <c r="AR21" s="425">
        <f t="shared" ref="AR21:AR44" si="0">+SUM(E21:AQ21)</f>
        <v>114.08500000000002</v>
      </c>
      <c r="AS21" s="426">
        <f t="shared" ref="AS21:AS44" si="1">SUMPRODUCT(E21:AQ21,E81:AQ81)</f>
        <v>11792.670499999998</v>
      </c>
      <c r="AT21" s="117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</row>
    <row r="22" spans="1:120" ht="15">
      <c r="A22" s="82"/>
      <c r="B22" s="82"/>
      <c r="C22" s="390">
        <f>+D21</f>
        <v>37995.041666666199</v>
      </c>
      <c r="D22" s="254">
        <v>37995.083333332863</v>
      </c>
      <c r="E22" s="255">
        <v>3.3650000000000002</v>
      </c>
      <c r="F22" s="123">
        <v>0</v>
      </c>
      <c r="G22" s="123">
        <v>5.69</v>
      </c>
      <c r="H22" s="313">
        <v>0</v>
      </c>
      <c r="I22" s="123">
        <v>0</v>
      </c>
      <c r="J22" s="123">
        <v>0</v>
      </c>
      <c r="K22" s="123">
        <v>0</v>
      </c>
      <c r="L22" s="123">
        <v>0</v>
      </c>
      <c r="M22" s="313">
        <v>0</v>
      </c>
      <c r="N22" s="123">
        <v>0</v>
      </c>
      <c r="O22" s="123">
        <v>0</v>
      </c>
      <c r="P22" s="313">
        <v>0</v>
      </c>
      <c r="Q22" s="123">
        <v>0</v>
      </c>
      <c r="R22" s="123">
        <v>0</v>
      </c>
      <c r="S22" s="123">
        <v>0</v>
      </c>
      <c r="T22" s="123">
        <v>5</v>
      </c>
      <c r="U22" s="123">
        <v>5</v>
      </c>
      <c r="V22" s="123">
        <v>8.6449999999999996</v>
      </c>
      <c r="W22" s="123">
        <v>8.6449999999999996</v>
      </c>
      <c r="X22" s="123">
        <v>4.1550000000000002</v>
      </c>
      <c r="Y22" s="123">
        <v>1.31</v>
      </c>
      <c r="Z22" s="123">
        <v>1.31</v>
      </c>
      <c r="AA22" s="123">
        <v>0</v>
      </c>
      <c r="AB22" s="123">
        <v>0</v>
      </c>
      <c r="AC22" s="123">
        <v>0</v>
      </c>
      <c r="AD22" s="123">
        <v>1.39</v>
      </c>
      <c r="AE22" s="123">
        <v>1.39</v>
      </c>
      <c r="AF22" s="123">
        <v>1.375</v>
      </c>
      <c r="AG22" s="123">
        <v>1.375</v>
      </c>
      <c r="AH22" s="123">
        <v>5.49</v>
      </c>
      <c r="AI22" s="313">
        <v>5.49</v>
      </c>
      <c r="AJ22" s="123">
        <v>0</v>
      </c>
      <c r="AK22" s="271">
        <v>8.7799999999999994</v>
      </c>
      <c r="AL22" s="271">
        <v>9.5</v>
      </c>
      <c r="AM22" s="271">
        <v>2.54</v>
      </c>
      <c r="AN22" s="271">
        <v>11</v>
      </c>
      <c r="AO22" s="271">
        <v>11</v>
      </c>
      <c r="AP22" s="271">
        <v>0</v>
      </c>
      <c r="AQ22" s="271">
        <v>0</v>
      </c>
      <c r="AR22" s="256">
        <f t="shared" si="0"/>
        <v>102.45000000000002</v>
      </c>
      <c r="AS22" s="419">
        <f t="shared" si="1"/>
        <v>10686.869999999999</v>
      </c>
      <c r="AT22" s="117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</row>
    <row r="23" spans="1:120" ht="15">
      <c r="A23" s="82"/>
      <c r="B23" s="82"/>
      <c r="C23" s="390">
        <v>37995.083333332863</v>
      </c>
      <c r="D23" s="254">
        <v>37995.124999999527</v>
      </c>
      <c r="E23" s="255">
        <v>3.98</v>
      </c>
      <c r="F23" s="123">
        <v>0</v>
      </c>
      <c r="G23" s="123">
        <v>5.69</v>
      </c>
      <c r="H23" s="313">
        <v>0</v>
      </c>
      <c r="I23" s="123">
        <v>0</v>
      </c>
      <c r="J23" s="123">
        <v>0</v>
      </c>
      <c r="K23" s="123">
        <v>0</v>
      </c>
      <c r="L23" s="123">
        <v>0</v>
      </c>
      <c r="M23" s="313">
        <v>0</v>
      </c>
      <c r="N23" s="123">
        <v>0</v>
      </c>
      <c r="O23" s="123">
        <v>0</v>
      </c>
      <c r="P23" s="313">
        <v>0</v>
      </c>
      <c r="Q23" s="123">
        <v>0</v>
      </c>
      <c r="R23" s="123">
        <v>0</v>
      </c>
      <c r="S23" s="123">
        <v>0</v>
      </c>
      <c r="T23" s="123">
        <v>5</v>
      </c>
      <c r="U23" s="123">
        <v>5</v>
      </c>
      <c r="V23" s="123">
        <v>8.6449999999999996</v>
      </c>
      <c r="W23" s="123">
        <v>8.6449999999999996</v>
      </c>
      <c r="X23" s="123">
        <v>0.52500000000000002</v>
      </c>
      <c r="Y23" s="123">
        <v>1.31</v>
      </c>
      <c r="Z23" s="123">
        <v>1.31</v>
      </c>
      <c r="AA23" s="123">
        <v>0</v>
      </c>
      <c r="AB23" s="123">
        <v>0</v>
      </c>
      <c r="AC23" s="123">
        <v>0</v>
      </c>
      <c r="AD23" s="123">
        <v>1.39</v>
      </c>
      <c r="AE23" s="123">
        <v>1.39</v>
      </c>
      <c r="AF23" s="123">
        <v>1.375</v>
      </c>
      <c r="AG23" s="123">
        <v>1.375</v>
      </c>
      <c r="AH23" s="123">
        <v>5.49</v>
      </c>
      <c r="AI23" s="313">
        <v>5.49</v>
      </c>
      <c r="AJ23" s="123">
        <v>11.4</v>
      </c>
      <c r="AK23" s="271">
        <v>0.5</v>
      </c>
      <c r="AL23" s="271">
        <v>9.5</v>
      </c>
      <c r="AM23" s="271">
        <v>2.54</v>
      </c>
      <c r="AN23" s="271">
        <v>11</v>
      </c>
      <c r="AO23" s="271">
        <v>11</v>
      </c>
      <c r="AP23" s="271">
        <v>0</v>
      </c>
      <c r="AQ23" s="271">
        <v>0</v>
      </c>
      <c r="AR23" s="256">
        <f t="shared" si="0"/>
        <v>102.55500000000002</v>
      </c>
      <c r="AS23" s="419">
        <f t="shared" si="1"/>
        <v>10692.860999999999</v>
      </c>
      <c r="AT23" s="117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  <c r="DI23" s="269"/>
      <c r="DJ23" s="269"/>
      <c r="DK23" s="269"/>
      <c r="DL23" s="269"/>
      <c r="DM23" s="269"/>
      <c r="DN23" s="269"/>
      <c r="DO23" s="269"/>
      <c r="DP23" s="269"/>
    </row>
    <row r="24" spans="1:120" ht="15">
      <c r="A24" s="82"/>
      <c r="B24" s="82"/>
      <c r="C24" s="390">
        <v>37995.124999999527</v>
      </c>
      <c r="D24" s="254">
        <v>37995.166666666191</v>
      </c>
      <c r="E24" s="255">
        <v>8.41</v>
      </c>
      <c r="F24" s="123">
        <v>0</v>
      </c>
      <c r="G24" s="123">
        <v>5.69</v>
      </c>
      <c r="H24" s="313">
        <v>0</v>
      </c>
      <c r="I24" s="123">
        <v>0</v>
      </c>
      <c r="J24" s="123">
        <v>0</v>
      </c>
      <c r="K24" s="123">
        <v>0</v>
      </c>
      <c r="L24" s="123">
        <v>0</v>
      </c>
      <c r="M24" s="313">
        <v>0</v>
      </c>
      <c r="N24" s="123">
        <v>0</v>
      </c>
      <c r="O24" s="123">
        <v>0</v>
      </c>
      <c r="P24" s="313">
        <v>0</v>
      </c>
      <c r="Q24" s="123">
        <v>0</v>
      </c>
      <c r="R24" s="123">
        <v>0</v>
      </c>
      <c r="S24" s="123">
        <v>0</v>
      </c>
      <c r="T24" s="123">
        <v>5</v>
      </c>
      <c r="U24" s="123">
        <v>4.3650000000000002</v>
      </c>
      <c r="V24" s="123">
        <v>8.6449999999999996</v>
      </c>
      <c r="W24" s="123">
        <v>8.6449999999999996</v>
      </c>
      <c r="X24" s="123">
        <v>2.2949999999999999</v>
      </c>
      <c r="Y24" s="123">
        <v>1.31</v>
      </c>
      <c r="Z24" s="123">
        <v>1.31</v>
      </c>
      <c r="AA24" s="123">
        <v>0</v>
      </c>
      <c r="AB24" s="123">
        <v>0</v>
      </c>
      <c r="AC24" s="123">
        <v>0</v>
      </c>
      <c r="AD24" s="123">
        <v>1.39</v>
      </c>
      <c r="AE24" s="123">
        <v>1.39</v>
      </c>
      <c r="AF24" s="123">
        <v>1.375</v>
      </c>
      <c r="AG24" s="123">
        <v>1.375</v>
      </c>
      <c r="AH24" s="123">
        <v>5.49</v>
      </c>
      <c r="AI24" s="313">
        <v>5.49</v>
      </c>
      <c r="AJ24" s="123">
        <v>0</v>
      </c>
      <c r="AK24" s="271">
        <v>10.81</v>
      </c>
      <c r="AL24" s="271">
        <v>9.5</v>
      </c>
      <c r="AM24" s="271">
        <v>2.54</v>
      </c>
      <c r="AN24" s="271">
        <v>0</v>
      </c>
      <c r="AO24" s="271">
        <v>11</v>
      </c>
      <c r="AP24" s="271">
        <v>7.92</v>
      </c>
      <c r="AQ24" s="271">
        <v>0</v>
      </c>
      <c r="AR24" s="256">
        <f t="shared" si="0"/>
        <v>103.95000000000002</v>
      </c>
      <c r="AS24" s="419">
        <f t="shared" si="1"/>
        <v>10806.114</v>
      </c>
      <c r="AT24" s="117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69"/>
      <c r="BK24" s="269"/>
      <c r="BL24" s="269"/>
      <c r="BM24" s="269"/>
      <c r="BN24" s="269"/>
      <c r="BO24" s="269"/>
      <c r="BP24" s="269"/>
      <c r="BQ24" s="269"/>
      <c r="BR24" s="269"/>
      <c r="BS24" s="269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69"/>
      <c r="CH24" s="269"/>
      <c r="CI24" s="269"/>
      <c r="CJ24" s="269"/>
      <c r="CK24" s="269"/>
      <c r="CL24" s="269"/>
      <c r="CM24" s="269"/>
      <c r="CN24" s="269"/>
      <c r="CO24" s="269"/>
      <c r="CP24" s="269"/>
      <c r="CQ24" s="269"/>
      <c r="CR24" s="269"/>
      <c r="CS24" s="269"/>
      <c r="CT24" s="269"/>
      <c r="CU24" s="269"/>
      <c r="CV24" s="269"/>
      <c r="CW24" s="269"/>
      <c r="CX24" s="269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  <c r="DI24" s="269"/>
      <c r="DJ24" s="269"/>
      <c r="DK24" s="269"/>
      <c r="DL24" s="269"/>
      <c r="DM24" s="269"/>
      <c r="DN24" s="269"/>
      <c r="DO24" s="269"/>
      <c r="DP24" s="269"/>
    </row>
    <row r="25" spans="1:120" ht="15">
      <c r="A25" s="82"/>
      <c r="B25" s="82"/>
      <c r="C25" s="390">
        <v>37995.166666666191</v>
      </c>
      <c r="D25" s="254">
        <v>37995.208333332856</v>
      </c>
      <c r="E25" s="255">
        <v>7.21</v>
      </c>
      <c r="F25" s="123">
        <v>0</v>
      </c>
      <c r="G25" s="123">
        <v>5.69</v>
      </c>
      <c r="H25" s="313">
        <v>0</v>
      </c>
      <c r="I25" s="123">
        <v>0</v>
      </c>
      <c r="J25" s="123">
        <v>0</v>
      </c>
      <c r="K25" s="123">
        <v>0</v>
      </c>
      <c r="L25" s="123">
        <v>0</v>
      </c>
      <c r="M25" s="313">
        <v>0</v>
      </c>
      <c r="N25" s="123">
        <v>0</v>
      </c>
      <c r="O25" s="123">
        <v>0</v>
      </c>
      <c r="P25" s="313">
        <v>0</v>
      </c>
      <c r="Q25" s="123">
        <v>0</v>
      </c>
      <c r="R25" s="123">
        <v>0</v>
      </c>
      <c r="S25" s="123">
        <v>0</v>
      </c>
      <c r="T25" s="123">
        <v>5</v>
      </c>
      <c r="U25" s="123">
        <v>5</v>
      </c>
      <c r="V25" s="123">
        <v>8.6449999999999996</v>
      </c>
      <c r="W25" s="123">
        <v>8.6449999999999996</v>
      </c>
      <c r="X25" s="123">
        <v>2.72</v>
      </c>
      <c r="Y25" s="123">
        <v>1.31</v>
      </c>
      <c r="Z25" s="123">
        <v>1.31</v>
      </c>
      <c r="AA25" s="123">
        <v>0</v>
      </c>
      <c r="AB25" s="123">
        <v>0</v>
      </c>
      <c r="AC25" s="123">
        <v>0</v>
      </c>
      <c r="AD25" s="123">
        <v>1.39</v>
      </c>
      <c r="AE25" s="123">
        <v>1.39</v>
      </c>
      <c r="AF25" s="123">
        <v>1.375</v>
      </c>
      <c r="AG25" s="123">
        <v>1.375</v>
      </c>
      <c r="AH25" s="123">
        <v>5.49</v>
      </c>
      <c r="AI25" s="313">
        <v>5.49</v>
      </c>
      <c r="AJ25" s="123">
        <v>11.4</v>
      </c>
      <c r="AK25" s="271">
        <v>0</v>
      </c>
      <c r="AL25" s="271">
        <v>9.5</v>
      </c>
      <c r="AM25" s="271">
        <v>2.54</v>
      </c>
      <c r="AN25" s="271">
        <v>11</v>
      </c>
      <c r="AO25" s="271">
        <v>11</v>
      </c>
      <c r="AP25" s="271">
        <v>0</v>
      </c>
      <c r="AQ25" s="271">
        <v>0.5</v>
      </c>
      <c r="AR25" s="256">
        <f t="shared" si="0"/>
        <v>107.98000000000002</v>
      </c>
      <c r="AS25" s="419">
        <f t="shared" si="1"/>
        <v>11238.503499999999</v>
      </c>
      <c r="AT25" s="117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  <c r="DI25" s="269"/>
      <c r="DJ25" s="269"/>
      <c r="DK25" s="269"/>
      <c r="DL25" s="269"/>
      <c r="DM25" s="269"/>
      <c r="DN25" s="269"/>
      <c r="DO25" s="269"/>
      <c r="DP25" s="269"/>
    </row>
    <row r="26" spans="1:120" ht="15">
      <c r="A26" s="82"/>
      <c r="B26" s="82"/>
      <c r="C26" s="390">
        <v>37995.208333332856</v>
      </c>
      <c r="D26" s="254">
        <v>37995.24999999952</v>
      </c>
      <c r="E26" s="255">
        <v>4.3049999999999997</v>
      </c>
      <c r="F26" s="123">
        <v>9.8450000000000006</v>
      </c>
      <c r="G26" s="123">
        <v>5.69</v>
      </c>
      <c r="H26" s="313">
        <v>0</v>
      </c>
      <c r="I26" s="123">
        <v>0</v>
      </c>
      <c r="J26" s="123">
        <v>0</v>
      </c>
      <c r="K26" s="123">
        <v>0</v>
      </c>
      <c r="L26" s="123">
        <v>0</v>
      </c>
      <c r="M26" s="313">
        <v>0</v>
      </c>
      <c r="N26" s="123">
        <v>0</v>
      </c>
      <c r="O26" s="123">
        <v>0</v>
      </c>
      <c r="P26" s="313">
        <v>0</v>
      </c>
      <c r="Q26" s="123">
        <v>5.05</v>
      </c>
      <c r="R26" s="123">
        <v>5.18</v>
      </c>
      <c r="S26" s="123">
        <v>5.18</v>
      </c>
      <c r="T26" s="123">
        <v>5</v>
      </c>
      <c r="U26" s="123">
        <v>5</v>
      </c>
      <c r="V26" s="123">
        <v>0</v>
      </c>
      <c r="W26" s="123">
        <v>6.88</v>
      </c>
      <c r="X26" s="123">
        <v>1.3</v>
      </c>
      <c r="Y26" s="123">
        <v>1.31</v>
      </c>
      <c r="Z26" s="123">
        <v>1.31</v>
      </c>
      <c r="AA26" s="123">
        <v>0</v>
      </c>
      <c r="AB26" s="123">
        <v>0</v>
      </c>
      <c r="AC26" s="123">
        <v>0</v>
      </c>
      <c r="AD26" s="123">
        <v>1.39</v>
      </c>
      <c r="AE26" s="123">
        <v>1.39</v>
      </c>
      <c r="AF26" s="123">
        <v>1.375</v>
      </c>
      <c r="AG26" s="123">
        <v>1.375</v>
      </c>
      <c r="AH26" s="123">
        <v>5.49</v>
      </c>
      <c r="AI26" s="313">
        <v>5.49</v>
      </c>
      <c r="AJ26" s="123">
        <v>11.4</v>
      </c>
      <c r="AK26" s="271">
        <v>0.5</v>
      </c>
      <c r="AL26" s="271">
        <v>9.5</v>
      </c>
      <c r="AM26" s="271">
        <v>2.54</v>
      </c>
      <c r="AN26" s="271">
        <v>11</v>
      </c>
      <c r="AO26" s="271">
        <v>0.5</v>
      </c>
      <c r="AP26" s="271">
        <v>0.5</v>
      </c>
      <c r="AQ26" s="271">
        <v>7.92</v>
      </c>
      <c r="AR26" s="256">
        <f t="shared" si="0"/>
        <v>116.42000000000002</v>
      </c>
      <c r="AS26" s="419">
        <f t="shared" si="1"/>
        <v>12000.88</v>
      </c>
      <c r="AT26" s="117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69"/>
      <c r="DL26" s="269"/>
      <c r="DM26" s="269"/>
      <c r="DN26" s="269"/>
      <c r="DO26" s="269"/>
      <c r="DP26" s="269"/>
    </row>
    <row r="27" spans="1:120" ht="15">
      <c r="A27" s="82"/>
      <c r="B27" s="82"/>
      <c r="C27" s="391">
        <v>37995.24999999952</v>
      </c>
      <c r="D27" s="257">
        <v>37995.291666666184</v>
      </c>
      <c r="E27" s="258">
        <v>9.3450000000000006</v>
      </c>
      <c r="F27" s="124">
        <v>0</v>
      </c>
      <c r="G27" s="124">
        <v>5.69</v>
      </c>
      <c r="H27" s="314">
        <v>5.15</v>
      </c>
      <c r="I27" s="124">
        <v>5.15</v>
      </c>
      <c r="J27" s="124">
        <v>5.15</v>
      </c>
      <c r="K27" s="124">
        <v>0</v>
      </c>
      <c r="L27" s="124">
        <v>0</v>
      </c>
      <c r="M27" s="314">
        <v>0</v>
      </c>
      <c r="N27" s="124">
        <v>0</v>
      </c>
      <c r="O27" s="124">
        <v>0</v>
      </c>
      <c r="P27" s="314">
        <v>0</v>
      </c>
      <c r="Q27" s="124">
        <v>5.05</v>
      </c>
      <c r="R27" s="124">
        <v>5.18</v>
      </c>
      <c r="S27" s="124">
        <v>5.18</v>
      </c>
      <c r="T27" s="124">
        <v>5</v>
      </c>
      <c r="U27" s="124">
        <v>5</v>
      </c>
      <c r="V27" s="124">
        <v>3</v>
      </c>
      <c r="W27" s="124">
        <v>8.6449999999999996</v>
      </c>
      <c r="X27" s="124">
        <v>0</v>
      </c>
      <c r="Y27" s="124">
        <v>1.31</v>
      </c>
      <c r="Z27" s="124">
        <v>1.31</v>
      </c>
      <c r="AA27" s="124">
        <v>0</v>
      </c>
      <c r="AB27" s="124">
        <v>0</v>
      </c>
      <c r="AC27" s="124">
        <v>0</v>
      </c>
      <c r="AD27" s="124">
        <v>1.39</v>
      </c>
      <c r="AE27" s="124">
        <v>1.39</v>
      </c>
      <c r="AF27" s="124">
        <v>1.375</v>
      </c>
      <c r="AG27" s="124">
        <v>1.375</v>
      </c>
      <c r="AH27" s="124">
        <v>5.49</v>
      </c>
      <c r="AI27" s="314">
        <v>5.49</v>
      </c>
      <c r="AJ27" s="124">
        <v>0</v>
      </c>
      <c r="AK27" s="272">
        <v>0</v>
      </c>
      <c r="AL27" s="272">
        <v>9.5</v>
      </c>
      <c r="AM27" s="272">
        <v>2.54</v>
      </c>
      <c r="AN27" s="272">
        <v>11</v>
      </c>
      <c r="AO27" s="272">
        <v>11</v>
      </c>
      <c r="AP27" s="272">
        <v>0</v>
      </c>
      <c r="AQ27" s="272">
        <v>7.92</v>
      </c>
      <c r="AR27" s="259">
        <f t="shared" si="0"/>
        <v>128.63</v>
      </c>
      <c r="AS27" s="420">
        <f t="shared" si="1"/>
        <v>13062.76</v>
      </c>
      <c r="AT27" s="117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  <c r="DI27" s="269"/>
      <c r="DJ27" s="269"/>
      <c r="DK27" s="269"/>
      <c r="DL27" s="269"/>
      <c r="DM27" s="269"/>
      <c r="DN27" s="269"/>
      <c r="DO27" s="269"/>
      <c r="DP27" s="269"/>
    </row>
    <row r="28" spans="1:120" ht="15">
      <c r="A28" s="82"/>
      <c r="B28" s="82"/>
      <c r="C28" s="391">
        <v>37995.291666666184</v>
      </c>
      <c r="D28" s="257">
        <v>37995.333333332848</v>
      </c>
      <c r="E28" s="258">
        <v>1.81</v>
      </c>
      <c r="F28" s="124">
        <v>9.8450000000000006</v>
      </c>
      <c r="G28" s="124">
        <v>5.69</v>
      </c>
      <c r="H28" s="314">
        <v>5.15</v>
      </c>
      <c r="I28" s="124">
        <v>5.15</v>
      </c>
      <c r="J28" s="124">
        <v>5.15</v>
      </c>
      <c r="K28" s="124">
        <v>0</v>
      </c>
      <c r="L28" s="124">
        <v>0</v>
      </c>
      <c r="M28" s="314">
        <v>0</v>
      </c>
      <c r="N28" s="124">
        <v>0</v>
      </c>
      <c r="O28" s="124">
        <v>0</v>
      </c>
      <c r="P28" s="314">
        <v>0</v>
      </c>
      <c r="Q28" s="124">
        <v>5.05</v>
      </c>
      <c r="R28" s="124">
        <v>5.18</v>
      </c>
      <c r="S28" s="124">
        <v>5.18</v>
      </c>
      <c r="T28" s="124">
        <v>5</v>
      </c>
      <c r="U28" s="124">
        <v>5</v>
      </c>
      <c r="V28" s="124">
        <v>7.915</v>
      </c>
      <c r="W28" s="124">
        <v>8.6449999999999996</v>
      </c>
      <c r="X28" s="124">
        <v>0</v>
      </c>
      <c r="Y28" s="124">
        <v>1.31</v>
      </c>
      <c r="Z28" s="124">
        <v>1.31</v>
      </c>
      <c r="AA28" s="124">
        <v>0</v>
      </c>
      <c r="AB28" s="124">
        <v>0</v>
      </c>
      <c r="AC28" s="124">
        <v>0</v>
      </c>
      <c r="AD28" s="124">
        <v>1.39</v>
      </c>
      <c r="AE28" s="124">
        <v>1.39</v>
      </c>
      <c r="AF28" s="124">
        <v>1.375</v>
      </c>
      <c r="AG28" s="124">
        <v>1.375</v>
      </c>
      <c r="AH28" s="124">
        <v>5.49</v>
      </c>
      <c r="AI28" s="314">
        <v>5.49</v>
      </c>
      <c r="AJ28" s="124">
        <v>0</v>
      </c>
      <c r="AK28" s="272">
        <v>0</v>
      </c>
      <c r="AL28" s="272">
        <v>9.5</v>
      </c>
      <c r="AM28" s="272">
        <v>2.54</v>
      </c>
      <c r="AN28" s="272">
        <v>11</v>
      </c>
      <c r="AO28" s="272">
        <v>0</v>
      </c>
      <c r="AP28" s="272">
        <v>7.92</v>
      </c>
      <c r="AQ28" s="272">
        <v>7.92</v>
      </c>
      <c r="AR28" s="259">
        <f t="shared" si="0"/>
        <v>132.77500000000001</v>
      </c>
      <c r="AS28" s="420">
        <f t="shared" si="1"/>
        <v>13478.7345</v>
      </c>
      <c r="AT28" s="117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  <c r="DI28" s="269"/>
      <c r="DJ28" s="269"/>
      <c r="DK28" s="269"/>
      <c r="DL28" s="269"/>
      <c r="DM28" s="269"/>
      <c r="DN28" s="269"/>
      <c r="DO28" s="269"/>
      <c r="DP28" s="269"/>
    </row>
    <row r="29" spans="1:120" ht="15">
      <c r="A29" s="82"/>
      <c r="B29" s="82"/>
      <c r="C29" s="391">
        <v>37995.333333332848</v>
      </c>
      <c r="D29" s="257">
        <v>37995.374999999513</v>
      </c>
      <c r="E29" s="258">
        <v>6.625</v>
      </c>
      <c r="F29" s="124">
        <v>0</v>
      </c>
      <c r="G29" s="124">
        <v>5.69</v>
      </c>
      <c r="H29" s="314">
        <v>5.15</v>
      </c>
      <c r="I29" s="124">
        <v>5.15</v>
      </c>
      <c r="J29" s="124">
        <v>5.15</v>
      </c>
      <c r="K29" s="124">
        <v>0</v>
      </c>
      <c r="L29" s="124">
        <v>0</v>
      </c>
      <c r="M29" s="314">
        <v>0</v>
      </c>
      <c r="N29" s="124">
        <v>0</v>
      </c>
      <c r="O29" s="124">
        <v>0</v>
      </c>
      <c r="P29" s="314">
        <v>0</v>
      </c>
      <c r="Q29" s="124">
        <v>5.05</v>
      </c>
      <c r="R29" s="124">
        <v>5.18</v>
      </c>
      <c r="S29" s="124">
        <v>5.18</v>
      </c>
      <c r="T29" s="124">
        <v>5</v>
      </c>
      <c r="U29" s="124">
        <v>5</v>
      </c>
      <c r="V29" s="124">
        <v>8.6449999999999996</v>
      </c>
      <c r="W29" s="124">
        <v>8.6449999999999996</v>
      </c>
      <c r="X29" s="124">
        <v>0</v>
      </c>
      <c r="Y29" s="124">
        <v>1.31</v>
      </c>
      <c r="Z29" s="124">
        <v>1.31</v>
      </c>
      <c r="AA29" s="124">
        <v>0</v>
      </c>
      <c r="AB29" s="124">
        <v>0</v>
      </c>
      <c r="AC29" s="124">
        <v>0</v>
      </c>
      <c r="AD29" s="124">
        <v>1.39</v>
      </c>
      <c r="AE29" s="124">
        <v>1.39</v>
      </c>
      <c r="AF29" s="124">
        <v>1.375</v>
      </c>
      <c r="AG29" s="124">
        <v>1.375</v>
      </c>
      <c r="AH29" s="124">
        <v>5.49</v>
      </c>
      <c r="AI29" s="314">
        <v>5.49</v>
      </c>
      <c r="AJ29" s="124">
        <v>0</v>
      </c>
      <c r="AK29" s="272">
        <v>0.55500000000000005</v>
      </c>
      <c r="AL29" s="272">
        <v>9.5</v>
      </c>
      <c r="AM29" s="272">
        <v>0</v>
      </c>
      <c r="AN29" s="272">
        <v>0</v>
      </c>
      <c r="AO29" s="272">
        <v>11</v>
      </c>
      <c r="AP29" s="272">
        <v>7.92</v>
      </c>
      <c r="AQ29" s="272">
        <v>7.92</v>
      </c>
      <c r="AR29" s="259">
        <f t="shared" si="0"/>
        <v>126.49</v>
      </c>
      <c r="AS29" s="420">
        <f t="shared" si="1"/>
        <v>12858.24</v>
      </c>
      <c r="AT29" s="117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  <c r="DI29" s="269"/>
      <c r="DJ29" s="269"/>
      <c r="DK29" s="269"/>
      <c r="DL29" s="269"/>
      <c r="DM29" s="269"/>
      <c r="DN29" s="269"/>
      <c r="DO29" s="269"/>
      <c r="DP29" s="269"/>
    </row>
    <row r="30" spans="1:120" ht="15">
      <c r="A30" s="82"/>
      <c r="B30" s="82"/>
      <c r="C30" s="391">
        <v>37995.374999999513</v>
      </c>
      <c r="D30" s="257">
        <v>37995.416666666177</v>
      </c>
      <c r="E30" s="258">
        <v>2.12</v>
      </c>
      <c r="F30" s="124">
        <v>9.8450000000000006</v>
      </c>
      <c r="G30" s="124">
        <v>5.69</v>
      </c>
      <c r="H30" s="314">
        <v>0</v>
      </c>
      <c r="I30" s="124">
        <v>0</v>
      </c>
      <c r="J30" s="124">
        <v>0</v>
      </c>
      <c r="K30" s="124">
        <v>0</v>
      </c>
      <c r="L30" s="124">
        <v>0</v>
      </c>
      <c r="M30" s="314">
        <v>0</v>
      </c>
      <c r="N30" s="124">
        <v>0</v>
      </c>
      <c r="O30" s="124">
        <v>0</v>
      </c>
      <c r="P30" s="314">
        <v>0</v>
      </c>
      <c r="Q30" s="124">
        <v>0</v>
      </c>
      <c r="R30" s="124">
        <v>0</v>
      </c>
      <c r="S30" s="124">
        <v>5.18</v>
      </c>
      <c r="T30" s="124">
        <v>5</v>
      </c>
      <c r="U30" s="124">
        <v>5</v>
      </c>
      <c r="V30" s="124">
        <v>8.6449999999999996</v>
      </c>
      <c r="W30" s="124">
        <v>8.6449999999999996</v>
      </c>
      <c r="X30" s="124">
        <v>0</v>
      </c>
      <c r="Y30" s="124">
        <v>1.31</v>
      </c>
      <c r="Z30" s="124">
        <v>1.31</v>
      </c>
      <c r="AA30" s="124">
        <v>0</v>
      </c>
      <c r="AB30" s="124">
        <v>0</v>
      </c>
      <c r="AC30" s="124">
        <v>0</v>
      </c>
      <c r="AD30" s="124">
        <v>1.39</v>
      </c>
      <c r="AE30" s="124">
        <v>1.39</v>
      </c>
      <c r="AF30" s="124">
        <v>1.375</v>
      </c>
      <c r="AG30" s="124">
        <v>1.375</v>
      </c>
      <c r="AH30" s="124">
        <v>5.49</v>
      </c>
      <c r="AI30" s="314">
        <v>5.49</v>
      </c>
      <c r="AJ30" s="124">
        <v>11.4</v>
      </c>
      <c r="AK30" s="272">
        <v>6.95</v>
      </c>
      <c r="AL30" s="272">
        <v>7.95</v>
      </c>
      <c r="AM30" s="272">
        <v>2.54</v>
      </c>
      <c r="AN30" s="272">
        <v>0</v>
      </c>
      <c r="AO30" s="272">
        <v>11</v>
      </c>
      <c r="AP30" s="272">
        <v>7.92</v>
      </c>
      <c r="AQ30" s="272">
        <v>7.92</v>
      </c>
      <c r="AR30" s="259">
        <f t="shared" si="0"/>
        <v>124.93500000000003</v>
      </c>
      <c r="AS30" s="420">
        <f t="shared" si="1"/>
        <v>12909.9835</v>
      </c>
      <c r="AT30" s="117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  <c r="DI30" s="269"/>
      <c r="DJ30" s="269"/>
      <c r="DK30" s="269"/>
      <c r="DL30" s="269"/>
      <c r="DM30" s="269"/>
      <c r="DN30" s="269"/>
      <c r="DO30" s="269"/>
      <c r="DP30" s="269"/>
    </row>
    <row r="31" spans="1:120" ht="15">
      <c r="A31" s="82"/>
      <c r="B31" s="82"/>
      <c r="C31" s="392">
        <v>37995.416666666177</v>
      </c>
      <c r="D31" s="260">
        <v>37995.458333332841</v>
      </c>
      <c r="E31" s="261">
        <v>7.86</v>
      </c>
      <c r="F31" s="125">
        <v>9.8450000000000006</v>
      </c>
      <c r="G31" s="125">
        <v>5.69</v>
      </c>
      <c r="H31" s="315">
        <v>0</v>
      </c>
      <c r="I31" s="125">
        <v>0</v>
      </c>
      <c r="J31" s="125">
        <v>0</v>
      </c>
      <c r="K31" s="125">
        <v>0</v>
      </c>
      <c r="L31" s="125">
        <v>0</v>
      </c>
      <c r="M31" s="315">
        <v>0</v>
      </c>
      <c r="N31" s="125">
        <v>0</v>
      </c>
      <c r="O31" s="125">
        <v>0</v>
      </c>
      <c r="P31" s="315">
        <v>0</v>
      </c>
      <c r="Q31" s="125">
        <v>0</v>
      </c>
      <c r="R31" s="125">
        <v>0</v>
      </c>
      <c r="S31" s="125">
        <v>0</v>
      </c>
      <c r="T31" s="125">
        <v>5</v>
      </c>
      <c r="U31" s="125">
        <v>4.91</v>
      </c>
      <c r="V31" s="125">
        <v>8.6449999999999996</v>
      </c>
      <c r="W31" s="125">
        <v>8.6449999999999996</v>
      </c>
      <c r="X31" s="125">
        <v>4.1550000000000002</v>
      </c>
      <c r="Y31" s="125">
        <v>1.31</v>
      </c>
      <c r="Z31" s="125">
        <v>1.31</v>
      </c>
      <c r="AA31" s="125">
        <v>0</v>
      </c>
      <c r="AB31" s="125">
        <v>0</v>
      </c>
      <c r="AC31" s="125">
        <v>0</v>
      </c>
      <c r="AD31" s="125">
        <v>1.39</v>
      </c>
      <c r="AE31" s="125">
        <v>1.39</v>
      </c>
      <c r="AF31" s="125">
        <v>1.375</v>
      </c>
      <c r="AG31" s="125">
        <v>1.375</v>
      </c>
      <c r="AH31" s="125">
        <v>5.49</v>
      </c>
      <c r="AI31" s="315">
        <v>5.49</v>
      </c>
      <c r="AJ31" s="125">
        <v>11.4</v>
      </c>
      <c r="AK31" s="273">
        <v>11.4</v>
      </c>
      <c r="AL31" s="273">
        <v>9.5</v>
      </c>
      <c r="AM31" s="273">
        <v>2.54</v>
      </c>
      <c r="AN31" s="273">
        <v>0</v>
      </c>
      <c r="AO31" s="273">
        <v>11</v>
      </c>
      <c r="AP31" s="273">
        <v>0.5</v>
      </c>
      <c r="AQ31" s="273">
        <v>0.5</v>
      </c>
      <c r="AR31" s="262">
        <f t="shared" si="0"/>
        <v>120.72000000000001</v>
      </c>
      <c r="AS31" s="421">
        <f t="shared" si="1"/>
        <v>12514.026</v>
      </c>
      <c r="AT31" s="117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  <c r="DI31" s="269"/>
      <c r="DJ31" s="269"/>
      <c r="DK31" s="269"/>
      <c r="DL31" s="269"/>
      <c r="DM31" s="269"/>
      <c r="DN31" s="269"/>
      <c r="DO31" s="269"/>
      <c r="DP31" s="269"/>
    </row>
    <row r="32" spans="1:120" ht="15">
      <c r="A32" s="82"/>
      <c r="B32" s="82"/>
      <c r="C32" s="392">
        <v>37995.458333332841</v>
      </c>
      <c r="D32" s="260">
        <v>37995.499999999505</v>
      </c>
      <c r="E32" s="261">
        <v>6.0549999999999997</v>
      </c>
      <c r="F32" s="125">
        <v>0</v>
      </c>
      <c r="G32" s="125">
        <v>5.69</v>
      </c>
      <c r="H32" s="315">
        <v>0</v>
      </c>
      <c r="I32" s="125">
        <v>0</v>
      </c>
      <c r="J32" s="125">
        <v>0</v>
      </c>
      <c r="K32" s="125">
        <v>0</v>
      </c>
      <c r="L32" s="125">
        <v>0</v>
      </c>
      <c r="M32" s="315">
        <v>0</v>
      </c>
      <c r="N32" s="125">
        <v>0</v>
      </c>
      <c r="O32" s="125">
        <v>0</v>
      </c>
      <c r="P32" s="315">
        <v>0</v>
      </c>
      <c r="Q32" s="125">
        <v>0</v>
      </c>
      <c r="R32" s="125">
        <v>0</v>
      </c>
      <c r="S32" s="125">
        <v>0</v>
      </c>
      <c r="T32" s="125">
        <v>5</v>
      </c>
      <c r="U32" s="125">
        <v>3.335</v>
      </c>
      <c r="V32" s="125">
        <v>8.6449999999999996</v>
      </c>
      <c r="W32" s="125">
        <v>8.6449999999999996</v>
      </c>
      <c r="X32" s="125">
        <v>4.1550000000000002</v>
      </c>
      <c r="Y32" s="125">
        <v>1.31</v>
      </c>
      <c r="Z32" s="125">
        <v>1.31</v>
      </c>
      <c r="AA32" s="125">
        <v>0</v>
      </c>
      <c r="AB32" s="125">
        <v>0</v>
      </c>
      <c r="AC32" s="125">
        <v>0</v>
      </c>
      <c r="AD32" s="125">
        <v>1.39</v>
      </c>
      <c r="AE32" s="125">
        <v>1.39</v>
      </c>
      <c r="AF32" s="125">
        <v>1.375</v>
      </c>
      <c r="AG32" s="125">
        <v>1.375</v>
      </c>
      <c r="AH32" s="125">
        <v>5.49</v>
      </c>
      <c r="AI32" s="315">
        <v>5.49</v>
      </c>
      <c r="AJ32" s="125">
        <v>11.4</v>
      </c>
      <c r="AK32" s="273">
        <v>11.4</v>
      </c>
      <c r="AL32" s="273">
        <v>9.5</v>
      </c>
      <c r="AM32" s="273">
        <v>2.54</v>
      </c>
      <c r="AN32" s="273">
        <v>11</v>
      </c>
      <c r="AO32" s="273">
        <v>0</v>
      </c>
      <c r="AP32" s="273">
        <v>7.92</v>
      </c>
      <c r="AQ32" s="273">
        <v>7.92</v>
      </c>
      <c r="AR32" s="262">
        <f t="shared" si="0"/>
        <v>122.33500000000004</v>
      </c>
      <c r="AS32" s="421">
        <f t="shared" si="1"/>
        <v>12604.651</v>
      </c>
      <c r="AT32" s="117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  <c r="DI32" s="269"/>
      <c r="DJ32" s="269"/>
      <c r="DK32" s="269"/>
      <c r="DL32" s="269"/>
      <c r="DM32" s="269"/>
      <c r="DN32" s="269"/>
      <c r="DO32" s="269"/>
      <c r="DP32" s="269"/>
    </row>
    <row r="33" spans="1:120" ht="15">
      <c r="A33" s="82"/>
      <c r="B33" s="82"/>
      <c r="C33" s="392">
        <v>37995.499999999505</v>
      </c>
      <c r="D33" s="260">
        <v>37995.541666666169</v>
      </c>
      <c r="E33" s="261">
        <v>3.11</v>
      </c>
      <c r="F33" s="125">
        <v>9.8450000000000006</v>
      </c>
      <c r="G33" s="125">
        <v>5.69</v>
      </c>
      <c r="H33" s="315">
        <v>0</v>
      </c>
      <c r="I33" s="125">
        <v>0</v>
      </c>
      <c r="J33" s="125">
        <v>0</v>
      </c>
      <c r="K33" s="125">
        <v>0</v>
      </c>
      <c r="L33" s="125">
        <v>0</v>
      </c>
      <c r="M33" s="315">
        <v>0</v>
      </c>
      <c r="N33" s="125">
        <v>0</v>
      </c>
      <c r="O33" s="125">
        <v>0</v>
      </c>
      <c r="P33" s="315">
        <v>0</v>
      </c>
      <c r="Q33" s="125">
        <v>0</v>
      </c>
      <c r="R33" s="125">
        <v>0</v>
      </c>
      <c r="S33" s="125">
        <v>0</v>
      </c>
      <c r="T33" s="125">
        <v>5</v>
      </c>
      <c r="U33" s="125">
        <v>5</v>
      </c>
      <c r="V33" s="125">
        <v>8.6449999999999996</v>
      </c>
      <c r="W33" s="125">
        <v>8.6449999999999996</v>
      </c>
      <c r="X33" s="125">
        <v>2.76</v>
      </c>
      <c r="Y33" s="125">
        <v>1.31</v>
      </c>
      <c r="Z33" s="125">
        <v>1.31</v>
      </c>
      <c r="AA33" s="125">
        <v>0</v>
      </c>
      <c r="AB33" s="125">
        <v>0</v>
      </c>
      <c r="AC33" s="125">
        <v>0</v>
      </c>
      <c r="AD33" s="125">
        <v>1.39</v>
      </c>
      <c r="AE33" s="125">
        <v>1.39</v>
      </c>
      <c r="AF33" s="125">
        <v>1.375</v>
      </c>
      <c r="AG33" s="125">
        <v>1.375</v>
      </c>
      <c r="AH33" s="125">
        <v>5.49</v>
      </c>
      <c r="AI33" s="315">
        <v>5.49</v>
      </c>
      <c r="AJ33" s="125">
        <v>11.4</v>
      </c>
      <c r="AK33" s="273">
        <v>11.4</v>
      </c>
      <c r="AL33" s="273">
        <v>9.5</v>
      </c>
      <c r="AM33" s="273">
        <v>2.54</v>
      </c>
      <c r="AN33" s="273">
        <v>11</v>
      </c>
      <c r="AO33" s="273">
        <v>0</v>
      </c>
      <c r="AP33" s="273">
        <v>0</v>
      </c>
      <c r="AQ33" s="273">
        <v>7.92</v>
      </c>
      <c r="AR33" s="262">
        <f t="shared" si="0"/>
        <v>121.58500000000002</v>
      </c>
      <c r="AS33" s="421">
        <f t="shared" si="1"/>
        <v>12602.4835</v>
      </c>
      <c r="AT33" s="117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</row>
    <row r="34" spans="1:120" ht="15">
      <c r="A34" s="82"/>
      <c r="B34" s="82"/>
      <c r="C34" s="391">
        <v>37995.541666666169</v>
      </c>
      <c r="D34" s="257">
        <v>37995.583333332834</v>
      </c>
      <c r="E34" s="258">
        <v>8.41</v>
      </c>
      <c r="F34" s="124">
        <v>0</v>
      </c>
      <c r="G34" s="124">
        <v>5.69</v>
      </c>
      <c r="H34" s="314">
        <v>5.15</v>
      </c>
      <c r="I34" s="124">
        <v>0</v>
      </c>
      <c r="J34" s="124">
        <v>5.15</v>
      </c>
      <c r="K34" s="124">
        <v>0</v>
      </c>
      <c r="L34" s="124">
        <v>0</v>
      </c>
      <c r="M34" s="314">
        <v>0</v>
      </c>
      <c r="N34" s="124">
        <v>0</v>
      </c>
      <c r="O34" s="124">
        <v>0</v>
      </c>
      <c r="P34" s="314">
        <v>5.15</v>
      </c>
      <c r="Q34" s="124">
        <v>5.05</v>
      </c>
      <c r="R34" s="124">
        <v>5.18</v>
      </c>
      <c r="S34" s="124">
        <v>5.18</v>
      </c>
      <c r="T34" s="124">
        <v>5</v>
      </c>
      <c r="U34" s="124">
        <v>5</v>
      </c>
      <c r="V34" s="124">
        <v>8.6449999999999996</v>
      </c>
      <c r="W34" s="124">
        <v>8.6449999999999996</v>
      </c>
      <c r="X34" s="124">
        <v>1.5249999999999999</v>
      </c>
      <c r="Y34" s="124">
        <v>1.31</v>
      </c>
      <c r="Z34" s="124">
        <v>1.31</v>
      </c>
      <c r="AA34" s="124">
        <v>0</v>
      </c>
      <c r="AB34" s="124">
        <v>0</v>
      </c>
      <c r="AC34" s="124">
        <v>0</v>
      </c>
      <c r="AD34" s="124">
        <v>1.39</v>
      </c>
      <c r="AE34" s="124">
        <v>1.39</v>
      </c>
      <c r="AF34" s="124">
        <v>1.375</v>
      </c>
      <c r="AG34" s="124">
        <v>1.375</v>
      </c>
      <c r="AH34" s="124">
        <v>5.49</v>
      </c>
      <c r="AI34" s="314">
        <v>5.49</v>
      </c>
      <c r="AJ34" s="124">
        <v>2.17</v>
      </c>
      <c r="AK34" s="272">
        <v>0</v>
      </c>
      <c r="AL34" s="272">
        <v>9.5</v>
      </c>
      <c r="AM34" s="272">
        <v>2.54</v>
      </c>
      <c r="AN34" s="272">
        <v>11</v>
      </c>
      <c r="AO34" s="272">
        <v>11</v>
      </c>
      <c r="AP34" s="272">
        <v>0</v>
      </c>
      <c r="AQ34" s="272">
        <v>0</v>
      </c>
      <c r="AR34" s="259">
        <f t="shared" si="0"/>
        <v>129.11500000000001</v>
      </c>
      <c r="AS34" s="420">
        <f t="shared" si="1"/>
        <v>13115.892</v>
      </c>
      <c r="AT34" s="117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  <c r="DI34" s="269"/>
      <c r="DJ34" s="269"/>
      <c r="DK34" s="269"/>
      <c r="DL34" s="269"/>
      <c r="DM34" s="269"/>
      <c r="DN34" s="269"/>
      <c r="DO34" s="269"/>
      <c r="DP34" s="269"/>
    </row>
    <row r="35" spans="1:120" ht="15">
      <c r="A35" s="82"/>
      <c r="B35" s="82"/>
      <c r="C35" s="391">
        <v>37995.583333332834</v>
      </c>
      <c r="D35" s="257">
        <v>37995.624999999498</v>
      </c>
      <c r="E35" s="258">
        <v>4.25</v>
      </c>
      <c r="F35" s="124">
        <v>0</v>
      </c>
      <c r="G35" s="124">
        <v>5.69</v>
      </c>
      <c r="H35" s="314">
        <v>5.15</v>
      </c>
      <c r="I35" s="124">
        <v>0</v>
      </c>
      <c r="J35" s="124">
        <v>5.15</v>
      </c>
      <c r="K35" s="124">
        <v>5.15</v>
      </c>
      <c r="L35" s="124">
        <v>0</v>
      </c>
      <c r="M35" s="314">
        <v>0</v>
      </c>
      <c r="N35" s="124">
        <v>0</v>
      </c>
      <c r="O35" s="124">
        <v>5.15</v>
      </c>
      <c r="P35" s="314">
        <v>0</v>
      </c>
      <c r="Q35" s="124">
        <v>5.05</v>
      </c>
      <c r="R35" s="124">
        <v>5.18</v>
      </c>
      <c r="S35" s="124">
        <v>5.18</v>
      </c>
      <c r="T35" s="124">
        <v>5</v>
      </c>
      <c r="U35" s="124">
        <v>3.02</v>
      </c>
      <c r="V35" s="124">
        <v>3.26</v>
      </c>
      <c r="W35" s="124">
        <v>8.6449999999999996</v>
      </c>
      <c r="X35" s="124">
        <v>1.5249999999999999</v>
      </c>
      <c r="Y35" s="124">
        <v>1.31</v>
      </c>
      <c r="Z35" s="124">
        <v>1.31</v>
      </c>
      <c r="AA35" s="124">
        <v>1.835</v>
      </c>
      <c r="AB35" s="124">
        <v>1.835</v>
      </c>
      <c r="AC35" s="124">
        <v>1.835</v>
      </c>
      <c r="AD35" s="124">
        <v>1.39</v>
      </c>
      <c r="AE35" s="124">
        <v>1.39</v>
      </c>
      <c r="AF35" s="124">
        <v>1.375</v>
      </c>
      <c r="AG35" s="124">
        <v>1.375</v>
      </c>
      <c r="AH35" s="124">
        <v>5.49</v>
      </c>
      <c r="AI35" s="314">
        <v>5.49</v>
      </c>
      <c r="AJ35" s="124">
        <v>0</v>
      </c>
      <c r="AK35" s="272">
        <v>0</v>
      </c>
      <c r="AL35" s="272">
        <v>9.5</v>
      </c>
      <c r="AM35" s="272">
        <v>2.54</v>
      </c>
      <c r="AN35" s="272">
        <v>0</v>
      </c>
      <c r="AO35" s="272">
        <v>11</v>
      </c>
      <c r="AP35" s="272">
        <v>7.92</v>
      </c>
      <c r="AQ35" s="272">
        <v>7.92</v>
      </c>
      <c r="AR35" s="259">
        <f t="shared" si="0"/>
        <v>130.91499999999999</v>
      </c>
      <c r="AS35" s="420">
        <f t="shared" si="1"/>
        <v>13351.205500000002</v>
      </c>
      <c r="AT35" s="117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  <c r="DI35" s="269"/>
      <c r="DJ35" s="269"/>
      <c r="DK35" s="269"/>
      <c r="DL35" s="269"/>
      <c r="DM35" s="269"/>
      <c r="DN35" s="269"/>
      <c r="DO35" s="269"/>
      <c r="DP35" s="269"/>
    </row>
    <row r="36" spans="1:120" ht="15">
      <c r="A36" s="82"/>
      <c r="B36" s="82"/>
      <c r="C36" s="391">
        <v>37995.624999999498</v>
      </c>
      <c r="D36" s="257">
        <v>37995.666666666162</v>
      </c>
      <c r="E36" s="258">
        <v>0</v>
      </c>
      <c r="F36" s="124">
        <v>0</v>
      </c>
      <c r="G36" s="124">
        <v>5.69</v>
      </c>
      <c r="H36" s="314">
        <v>5.15</v>
      </c>
      <c r="I36" s="124">
        <v>0</v>
      </c>
      <c r="J36" s="124">
        <v>5.15</v>
      </c>
      <c r="K36" s="124">
        <v>5.15</v>
      </c>
      <c r="L36" s="124">
        <v>5.15</v>
      </c>
      <c r="M36" s="314">
        <v>0</v>
      </c>
      <c r="N36" s="124">
        <v>4.05</v>
      </c>
      <c r="O36" s="124">
        <v>5.15</v>
      </c>
      <c r="P36" s="314">
        <v>5.15</v>
      </c>
      <c r="Q36" s="124">
        <v>5.05</v>
      </c>
      <c r="R36" s="124">
        <v>5.18</v>
      </c>
      <c r="S36" s="124">
        <v>5.18</v>
      </c>
      <c r="T36" s="124">
        <v>5</v>
      </c>
      <c r="U36" s="124">
        <v>5</v>
      </c>
      <c r="V36" s="124">
        <v>0</v>
      </c>
      <c r="W36" s="124">
        <v>8.6449999999999996</v>
      </c>
      <c r="X36" s="124">
        <v>1.5249999999999999</v>
      </c>
      <c r="Y36" s="124">
        <v>1.31</v>
      </c>
      <c r="Z36" s="124">
        <v>1.31</v>
      </c>
      <c r="AA36" s="124">
        <v>1.835</v>
      </c>
      <c r="AB36" s="124">
        <v>1.835</v>
      </c>
      <c r="AC36" s="124">
        <v>1.835</v>
      </c>
      <c r="AD36" s="124">
        <v>1.39</v>
      </c>
      <c r="AE36" s="124">
        <v>1.39</v>
      </c>
      <c r="AF36" s="124">
        <v>1.375</v>
      </c>
      <c r="AG36" s="124">
        <v>1.375</v>
      </c>
      <c r="AH36" s="124">
        <v>5.49</v>
      </c>
      <c r="AI36" s="314">
        <v>5.49</v>
      </c>
      <c r="AJ36" s="124">
        <v>0</v>
      </c>
      <c r="AK36" s="272">
        <v>0</v>
      </c>
      <c r="AL36" s="272">
        <v>9.5</v>
      </c>
      <c r="AM36" s="272">
        <v>2.54</v>
      </c>
      <c r="AN36" s="272">
        <v>6.13</v>
      </c>
      <c r="AO36" s="272">
        <v>11</v>
      </c>
      <c r="AP36" s="272">
        <v>7.92</v>
      </c>
      <c r="AQ36" s="272">
        <v>0</v>
      </c>
      <c r="AR36" s="259">
        <f t="shared" si="0"/>
        <v>137.94499999999996</v>
      </c>
      <c r="AS36" s="420">
        <f t="shared" si="1"/>
        <v>14024.577500000001</v>
      </c>
      <c r="AT36" s="117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  <c r="DI36" s="269"/>
      <c r="DJ36" s="269"/>
      <c r="DK36" s="269"/>
      <c r="DL36" s="269"/>
      <c r="DM36" s="269"/>
      <c r="DN36" s="269"/>
      <c r="DO36" s="269"/>
      <c r="DP36" s="269"/>
    </row>
    <row r="37" spans="1:120" ht="15">
      <c r="A37" s="82"/>
      <c r="B37" s="82"/>
      <c r="C37" s="391">
        <v>37995.666666666162</v>
      </c>
      <c r="D37" s="257">
        <v>37995.708333332826</v>
      </c>
      <c r="E37" s="258">
        <v>6.98</v>
      </c>
      <c r="F37" s="124">
        <v>0</v>
      </c>
      <c r="G37" s="124">
        <v>5.69</v>
      </c>
      <c r="H37" s="314">
        <v>5.15</v>
      </c>
      <c r="I37" s="124">
        <v>5.15</v>
      </c>
      <c r="J37" s="124">
        <v>5.15</v>
      </c>
      <c r="K37" s="124">
        <v>5.15</v>
      </c>
      <c r="L37" s="124">
        <v>5.15</v>
      </c>
      <c r="M37" s="314">
        <v>5.15</v>
      </c>
      <c r="N37" s="124">
        <v>4.05</v>
      </c>
      <c r="O37" s="124">
        <v>5.15</v>
      </c>
      <c r="P37" s="314">
        <v>5.15</v>
      </c>
      <c r="Q37" s="124">
        <v>5.05</v>
      </c>
      <c r="R37" s="124">
        <v>5.18</v>
      </c>
      <c r="S37" s="124">
        <v>5.18</v>
      </c>
      <c r="T37" s="124">
        <v>1.82</v>
      </c>
      <c r="U37" s="124">
        <v>0</v>
      </c>
      <c r="V37" s="124">
        <v>0</v>
      </c>
      <c r="W37" s="124">
        <v>8.6449999999999996</v>
      </c>
      <c r="X37" s="124">
        <v>0</v>
      </c>
      <c r="Y37" s="124">
        <v>1.31</v>
      </c>
      <c r="Z37" s="124">
        <v>1.31</v>
      </c>
      <c r="AA37" s="124">
        <v>1.835</v>
      </c>
      <c r="AB37" s="124">
        <v>1.835</v>
      </c>
      <c r="AC37" s="124">
        <v>1.835</v>
      </c>
      <c r="AD37" s="124">
        <v>1.39</v>
      </c>
      <c r="AE37" s="124">
        <v>1.39</v>
      </c>
      <c r="AF37" s="124">
        <v>1.375</v>
      </c>
      <c r="AG37" s="124">
        <v>1.375</v>
      </c>
      <c r="AH37" s="124">
        <v>5.49</v>
      </c>
      <c r="AI37" s="314">
        <v>5.49</v>
      </c>
      <c r="AJ37" s="124">
        <v>0</v>
      </c>
      <c r="AK37" s="272">
        <v>0</v>
      </c>
      <c r="AL37" s="272">
        <v>9.5</v>
      </c>
      <c r="AM37" s="272">
        <v>2.54</v>
      </c>
      <c r="AN37" s="272">
        <v>11</v>
      </c>
      <c r="AO37" s="272">
        <v>0</v>
      </c>
      <c r="AP37" s="272">
        <v>0.5</v>
      </c>
      <c r="AQ37" s="272">
        <v>7.92</v>
      </c>
      <c r="AR37" s="259">
        <f t="shared" si="0"/>
        <v>139.88999999999996</v>
      </c>
      <c r="AS37" s="420">
        <f t="shared" si="1"/>
        <v>13761.589999999998</v>
      </c>
      <c r="AT37" s="117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  <c r="DI37" s="269"/>
      <c r="DJ37" s="269"/>
      <c r="DK37" s="269"/>
      <c r="DL37" s="269"/>
      <c r="DM37" s="269"/>
      <c r="DN37" s="269"/>
      <c r="DO37" s="269"/>
      <c r="DP37" s="269"/>
    </row>
    <row r="38" spans="1:120" ht="15">
      <c r="A38" s="82"/>
      <c r="B38" s="82"/>
      <c r="C38" s="391">
        <v>37995.708333332826</v>
      </c>
      <c r="D38" s="257">
        <v>37995.749999999491</v>
      </c>
      <c r="E38" s="258">
        <v>6.7750000000000004</v>
      </c>
      <c r="F38" s="124">
        <v>0</v>
      </c>
      <c r="G38" s="124">
        <v>5.69</v>
      </c>
      <c r="H38" s="314">
        <v>5.15</v>
      </c>
      <c r="I38" s="124">
        <v>5.15</v>
      </c>
      <c r="J38" s="124">
        <v>5.15</v>
      </c>
      <c r="K38" s="124">
        <v>5.15</v>
      </c>
      <c r="L38" s="124">
        <v>5.15</v>
      </c>
      <c r="M38" s="314">
        <v>5.15</v>
      </c>
      <c r="N38" s="124">
        <v>4.05</v>
      </c>
      <c r="O38" s="124">
        <v>5.15</v>
      </c>
      <c r="P38" s="314">
        <v>5.15</v>
      </c>
      <c r="Q38" s="124">
        <v>5.05</v>
      </c>
      <c r="R38" s="124">
        <v>5.18</v>
      </c>
      <c r="S38" s="124">
        <v>5.18</v>
      </c>
      <c r="T38" s="124">
        <v>0</v>
      </c>
      <c r="U38" s="124">
        <v>0</v>
      </c>
      <c r="V38" s="124">
        <v>0</v>
      </c>
      <c r="W38" s="124">
        <v>8.6449999999999996</v>
      </c>
      <c r="X38" s="124">
        <v>0</v>
      </c>
      <c r="Y38" s="124">
        <v>1.31</v>
      </c>
      <c r="Z38" s="124">
        <v>1.31</v>
      </c>
      <c r="AA38" s="124">
        <v>1.835</v>
      </c>
      <c r="AB38" s="124">
        <v>1.835</v>
      </c>
      <c r="AC38" s="124">
        <v>1.835</v>
      </c>
      <c r="AD38" s="124">
        <v>1.39</v>
      </c>
      <c r="AE38" s="124">
        <v>1.39</v>
      </c>
      <c r="AF38" s="124">
        <v>1.375</v>
      </c>
      <c r="AG38" s="124">
        <v>1.375</v>
      </c>
      <c r="AH38" s="124">
        <v>5.49</v>
      </c>
      <c r="AI38" s="314">
        <v>5.49</v>
      </c>
      <c r="AJ38" s="124">
        <v>0</v>
      </c>
      <c r="AK38" s="272">
        <v>0</v>
      </c>
      <c r="AL38" s="272">
        <v>9.5</v>
      </c>
      <c r="AM38" s="272">
        <v>2.54</v>
      </c>
      <c r="AN38" s="272">
        <v>0</v>
      </c>
      <c r="AO38" s="272">
        <v>11</v>
      </c>
      <c r="AP38" s="272">
        <v>0</v>
      </c>
      <c r="AQ38" s="272">
        <v>0</v>
      </c>
      <c r="AR38" s="259">
        <f t="shared" si="0"/>
        <v>129.44499999999999</v>
      </c>
      <c r="AS38" s="420">
        <f t="shared" si="1"/>
        <v>12644.29</v>
      </c>
      <c r="AT38" s="117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  <c r="DI38" s="269"/>
      <c r="DJ38" s="269"/>
      <c r="DK38" s="269"/>
      <c r="DL38" s="269"/>
      <c r="DM38" s="269"/>
      <c r="DN38" s="269"/>
      <c r="DO38" s="269"/>
      <c r="DP38" s="269"/>
    </row>
    <row r="39" spans="1:120" ht="15">
      <c r="A39" s="82"/>
      <c r="B39" s="82"/>
      <c r="C39" s="392">
        <v>37995.749999999491</v>
      </c>
      <c r="D39" s="260">
        <v>37995.791666666155</v>
      </c>
      <c r="E39" s="261">
        <v>5.9950000000000001</v>
      </c>
      <c r="F39" s="125">
        <v>0</v>
      </c>
      <c r="G39" s="125">
        <v>5.69</v>
      </c>
      <c r="H39" s="315">
        <v>5.15</v>
      </c>
      <c r="I39" s="125">
        <v>5.15</v>
      </c>
      <c r="J39" s="125">
        <v>5.15</v>
      </c>
      <c r="K39" s="125">
        <v>5.15</v>
      </c>
      <c r="L39" s="125">
        <v>5.15</v>
      </c>
      <c r="M39" s="315">
        <v>5.15</v>
      </c>
      <c r="N39" s="125">
        <v>4.05</v>
      </c>
      <c r="O39" s="125">
        <v>5.15</v>
      </c>
      <c r="P39" s="315">
        <v>5.15</v>
      </c>
      <c r="Q39" s="125">
        <v>5.05</v>
      </c>
      <c r="R39" s="125">
        <v>5.18</v>
      </c>
      <c r="S39" s="125">
        <v>5.18</v>
      </c>
      <c r="T39" s="125">
        <v>0</v>
      </c>
      <c r="U39" s="125">
        <v>0</v>
      </c>
      <c r="V39" s="125">
        <v>0</v>
      </c>
      <c r="W39" s="125">
        <v>8.6449999999999996</v>
      </c>
      <c r="X39" s="125">
        <v>0</v>
      </c>
      <c r="Y39" s="125">
        <v>1.31</v>
      </c>
      <c r="Z39" s="125">
        <v>1.31</v>
      </c>
      <c r="AA39" s="125">
        <v>1.835</v>
      </c>
      <c r="AB39" s="125">
        <v>1.835</v>
      </c>
      <c r="AC39" s="125">
        <v>1.835</v>
      </c>
      <c r="AD39" s="125">
        <v>1.39</v>
      </c>
      <c r="AE39" s="125">
        <v>1.39</v>
      </c>
      <c r="AF39" s="125">
        <v>1.36</v>
      </c>
      <c r="AG39" s="125">
        <v>1.36</v>
      </c>
      <c r="AH39" s="125">
        <v>5.49</v>
      </c>
      <c r="AI39" s="315">
        <v>5.49</v>
      </c>
      <c r="AJ39" s="125">
        <v>0</v>
      </c>
      <c r="AK39" s="273">
        <v>0</v>
      </c>
      <c r="AL39" s="273">
        <v>9.5</v>
      </c>
      <c r="AM39" s="273">
        <v>2.54</v>
      </c>
      <c r="AN39" s="273">
        <v>11</v>
      </c>
      <c r="AO39" s="273">
        <v>0</v>
      </c>
      <c r="AP39" s="273">
        <v>0.5</v>
      </c>
      <c r="AQ39" s="273">
        <v>7.92</v>
      </c>
      <c r="AR39" s="262">
        <f t="shared" si="0"/>
        <v>137.05499999999998</v>
      </c>
      <c r="AS39" s="421">
        <f t="shared" si="1"/>
        <v>13404.990000000002</v>
      </c>
      <c r="AT39" s="117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  <c r="DI39" s="269"/>
      <c r="DJ39" s="269"/>
      <c r="DK39" s="269"/>
      <c r="DL39" s="269"/>
      <c r="DM39" s="269"/>
      <c r="DN39" s="269"/>
      <c r="DO39" s="269"/>
      <c r="DP39" s="269"/>
    </row>
    <row r="40" spans="1:120" ht="15">
      <c r="A40" s="82"/>
      <c r="B40" s="82"/>
      <c r="C40" s="392">
        <v>37995.791666666155</v>
      </c>
      <c r="D40" s="260">
        <v>37995.833333332819</v>
      </c>
      <c r="E40" s="261">
        <v>6.8650000000000002</v>
      </c>
      <c r="F40" s="125">
        <v>9.8450000000000006</v>
      </c>
      <c r="G40" s="125">
        <v>5.69</v>
      </c>
      <c r="H40" s="315">
        <v>5.15</v>
      </c>
      <c r="I40" s="125">
        <v>5.15</v>
      </c>
      <c r="J40" s="125">
        <v>0</v>
      </c>
      <c r="K40" s="125">
        <v>5.15</v>
      </c>
      <c r="L40" s="125">
        <v>0</v>
      </c>
      <c r="M40" s="315">
        <v>5.15</v>
      </c>
      <c r="N40" s="125">
        <v>0</v>
      </c>
      <c r="O40" s="125">
        <v>5.15</v>
      </c>
      <c r="P40" s="315">
        <v>5.15</v>
      </c>
      <c r="Q40" s="125">
        <v>3.94</v>
      </c>
      <c r="R40" s="125">
        <v>5.18</v>
      </c>
      <c r="S40" s="125">
        <v>0</v>
      </c>
      <c r="T40" s="125">
        <v>0</v>
      </c>
      <c r="U40" s="125">
        <v>0</v>
      </c>
      <c r="V40" s="125">
        <v>0</v>
      </c>
      <c r="W40" s="125">
        <v>0</v>
      </c>
      <c r="X40" s="125">
        <v>0</v>
      </c>
      <c r="Y40" s="125">
        <v>1.31</v>
      </c>
      <c r="Z40" s="125">
        <v>1.31</v>
      </c>
      <c r="AA40" s="125">
        <v>1.835</v>
      </c>
      <c r="AB40" s="125">
        <v>1.835</v>
      </c>
      <c r="AC40" s="125">
        <v>1.835</v>
      </c>
      <c r="AD40" s="125">
        <v>1.39</v>
      </c>
      <c r="AE40" s="125">
        <v>1.39</v>
      </c>
      <c r="AF40" s="125">
        <v>1.375</v>
      </c>
      <c r="AG40" s="125">
        <v>1.375</v>
      </c>
      <c r="AH40" s="125">
        <v>5.49</v>
      </c>
      <c r="AI40" s="315">
        <v>5.49</v>
      </c>
      <c r="AJ40" s="125">
        <v>0</v>
      </c>
      <c r="AK40" s="273">
        <v>0</v>
      </c>
      <c r="AL40" s="273">
        <v>9.5</v>
      </c>
      <c r="AM40" s="273">
        <v>2.54</v>
      </c>
      <c r="AN40" s="273">
        <v>0</v>
      </c>
      <c r="AO40" s="273">
        <v>0</v>
      </c>
      <c r="AP40" s="273">
        <v>0</v>
      </c>
      <c r="AQ40" s="273">
        <v>0.5</v>
      </c>
      <c r="AR40" s="262">
        <f t="shared" si="0"/>
        <v>99.59499999999997</v>
      </c>
      <c r="AS40" s="421">
        <f t="shared" si="1"/>
        <v>9808.4900000000016</v>
      </c>
      <c r="AT40" s="117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  <c r="DO40" s="269"/>
      <c r="DP40" s="269"/>
    </row>
    <row r="41" spans="1:120" ht="15">
      <c r="A41" s="82"/>
      <c r="B41" s="82"/>
      <c r="C41" s="392">
        <v>37995.833333332819</v>
      </c>
      <c r="D41" s="260">
        <v>37995.874999999483</v>
      </c>
      <c r="E41" s="261">
        <v>6.13</v>
      </c>
      <c r="F41" s="125">
        <v>0</v>
      </c>
      <c r="G41" s="125">
        <v>5.69</v>
      </c>
      <c r="H41" s="315">
        <v>5.15</v>
      </c>
      <c r="I41" s="125">
        <v>5.15</v>
      </c>
      <c r="J41" s="125">
        <v>0</v>
      </c>
      <c r="K41" s="125">
        <v>5.15</v>
      </c>
      <c r="L41" s="125">
        <v>0</v>
      </c>
      <c r="M41" s="315">
        <v>0</v>
      </c>
      <c r="N41" s="125">
        <v>0</v>
      </c>
      <c r="O41" s="125">
        <v>5.15</v>
      </c>
      <c r="P41" s="315">
        <v>0</v>
      </c>
      <c r="Q41" s="125">
        <v>4.9249999999999998</v>
      </c>
      <c r="R41" s="125">
        <v>5.18</v>
      </c>
      <c r="S41" s="125">
        <v>5.18</v>
      </c>
      <c r="T41" s="125">
        <v>0</v>
      </c>
      <c r="U41" s="125">
        <v>0</v>
      </c>
      <c r="V41" s="125">
        <v>0</v>
      </c>
      <c r="W41" s="125">
        <v>0</v>
      </c>
      <c r="X41" s="125">
        <v>0.5</v>
      </c>
      <c r="Y41" s="125">
        <v>1.31</v>
      </c>
      <c r="Z41" s="125">
        <v>1.31</v>
      </c>
      <c r="AA41" s="125">
        <v>1.835</v>
      </c>
      <c r="AB41" s="125">
        <v>1.835</v>
      </c>
      <c r="AC41" s="125">
        <v>1.835</v>
      </c>
      <c r="AD41" s="125">
        <v>1.39</v>
      </c>
      <c r="AE41" s="125">
        <v>1.39</v>
      </c>
      <c r="AF41" s="125">
        <v>1.375</v>
      </c>
      <c r="AG41" s="125">
        <v>1.375</v>
      </c>
      <c r="AH41" s="125">
        <v>5.49</v>
      </c>
      <c r="AI41" s="315">
        <v>5.49</v>
      </c>
      <c r="AJ41" s="125">
        <v>0</v>
      </c>
      <c r="AK41" s="273">
        <v>0</v>
      </c>
      <c r="AL41" s="273">
        <v>9.5</v>
      </c>
      <c r="AM41" s="273">
        <v>2.54</v>
      </c>
      <c r="AN41" s="273">
        <v>11</v>
      </c>
      <c r="AO41" s="273">
        <v>11</v>
      </c>
      <c r="AP41" s="273">
        <v>0</v>
      </c>
      <c r="AQ41" s="273">
        <v>0</v>
      </c>
      <c r="AR41" s="262">
        <f t="shared" si="0"/>
        <v>106.88</v>
      </c>
      <c r="AS41" s="421">
        <f t="shared" si="1"/>
        <v>10609.915000000001</v>
      </c>
      <c r="AT41" s="117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  <c r="DI41" s="269"/>
      <c r="DJ41" s="269"/>
      <c r="DK41" s="269"/>
      <c r="DL41" s="269"/>
      <c r="DM41" s="269"/>
      <c r="DN41" s="269"/>
      <c r="DO41" s="269"/>
      <c r="DP41" s="269"/>
    </row>
    <row r="42" spans="1:120" ht="15">
      <c r="A42" s="82"/>
      <c r="B42" s="82"/>
      <c r="C42" s="391">
        <v>37995.874999999483</v>
      </c>
      <c r="D42" s="257">
        <v>37995.916666666148</v>
      </c>
      <c r="E42" s="258">
        <v>9.7249999999999996</v>
      </c>
      <c r="F42" s="124">
        <v>0</v>
      </c>
      <c r="G42" s="124">
        <v>5.69</v>
      </c>
      <c r="H42" s="314">
        <v>0</v>
      </c>
      <c r="I42" s="124">
        <v>0</v>
      </c>
      <c r="J42" s="124">
        <v>0</v>
      </c>
      <c r="K42" s="124">
        <v>0</v>
      </c>
      <c r="L42" s="124">
        <v>0</v>
      </c>
      <c r="M42" s="314">
        <v>0</v>
      </c>
      <c r="N42" s="124">
        <v>0</v>
      </c>
      <c r="O42" s="124">
        <v>0</v>
      </c>
      <c r="P42" s="314">
        <v>0</v>
      </c>
      <c r="Q42" s="124">
        <v>5.05</v>
      </c>
      <c r="R42" s="124">
        <v>5.18</v>
      </c>
      <c r="S42" s="124">
        <v>5.18</v>
      </c>
      <c r="T42" s="124">
        <v>5</v>
      </c>
      <c r="U42" s="124">
        <v>1.2150000000000001</v>
      </c>
      <c r="V42" s="124">
        <v>0</v>
      </c>
      <c r="W42" s="124">
        <v>8.5500000000000007</v>
      </c>
      <c r="X42" s="124">
        <v>1.5249999999999999</v>
      </c>
      <c r="Y42" s="124">
        <v>1.31</v>
      </c>
      <c r="Z42" s="124">
        <v>1.31</v>
      </c>
      <c r="AA42" s="124">
        <v>1.835</v>
      </c>
      <c r="AB42" s="124">
        <v>1.835</v>
      </c>
      <c r="AC42" s="124">
        <v>1.835</v>
      </c>
      <c r="AD42" s="124">
        <v>1.39</v>
      </c>
      <c r="AE42" s="124">
        <v>1.39</v>
      </c>
      <c r="AF42" s="124">
        <v>1.375</v>
      </c>
      <c r="AG42" s="124">
        <v>1.375</v>
      </c>
      <c r="AH42" s="124">
        <v>5.49</v>
      </c>
      <c r="AI42" s="314">
        <v>5.49</v>
      </c>
      <c r="AJ42" s="124">
        <v>0</v>
      </c>
      <c r="AK42" s="272">
        <v>0</v>
      </c>
      <c r="AL42" s="272">
        <v>9.5</v>
      </c>
      <c r="AM42" s="272">
        <v>2.54</v>
      </c>
      <c r="AN42" s="272">
        <v>11</v>
      </c>
      <c r="AO42" s="272">
        <v>0</v>
      </c>
      <c r="AP42" s="272">
        <v>7.92</v>
      </c>
      <c r="AQ42" s="272">
        <v>7.8650000000000002</v>
      </c>
      <c r="AR42" s="259">
        <f t="shared" si="0"/>
        <v>110.575</v>
      </c>
      <c r="AS42" s="420">
        <f t="shared" si="1"/>
        <v>11441.002500000002</v>
      </c>
      <c r="AT42" s="117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  <c r="DI42" s="269"/>
      <c r="DJ42" s="269"/>
      <c r="DK42" s="269"/>
      <c r="DL42" s="269"/>
      <c r="DM42" s="269"/>
      <c r="DN42" s="269"/>
      <c r="DO42" s="269"/>
      <c r="DP42" s="269"/>
    </row>
    <row r="43" spans="1:120" ht="15">
      <c r="A43" s="82"/>
      <c r="B43" s="82"/>
      <c r="C43" s="391">
        <v>37995.916666666148</v>
      </c>
      <c r="D43" s="257">
        <v>37995.958333332812</v>
      </c>
      <c r="E43" s="258">
        <v>4.7699999999999996</v>
      </c>
      <c r="F43" s="124">
        <v>9.8450000000000006</v>
      </c>
      <c r="G43" s="124">
        <v>5.69</v>
      </c>
      <c r="H43" s="314">
        <v>0</v>
      </c>
      <c r="I43" s="124">
        <v>0</v>
      </c>
      <c r="J43" s="124">
        <v>0</v>
      </c>
      <c r="K43" s="124">
        <v>5.15</v>
      </c>
      <c r="L43" s="124">
        <v>0</v>
      </c>
      <c r="M43" s="314">
        <v>0</v>
      </c>
      <c r="N43" s="124">
        <v>0</v>
      </c>
      <c r="O43" s="124">
        <v>0</v>
      </c>
      <c r="P43" s="314">
        <v>0</v>
      </c>
      <c r="Q43" s="124">
        <v>5.05</v>
      </c>
      <c r="R43" s="124">
        <v>5.18</v>
      </c>
      <c r="S43" s="124">
        <v>5.18</v>
      </c>
      <c r="T43" s="124">
        <v>5</v>
      </c>
      <c r="U43" s="124">
        <v>5</v>
      </c>
      <c r="V43" s="124">
        <v>6.8650000000000002</v>
      </c>
      <c r="W43" s="124">
        <v>8.6449999999999996</v>
      </c>
      <c r="X43" s="124">
        <v>1.5249999999999999</v>
      </c>
      <c r="Y43" s="124">
        <v>1.31</v>
      </c>
      <c r="Z43" s="124">
        <v>1.31</v>
      </c>
      <c r="AA43" s="124">
        <v>1.835</v>
      </c>
      <c r="AB43" s="124">
        <v>1.835</v>
      </c>
      <c r="AC43" s="124">
        <v>1.835</v>
      </c>
      <c r="AD43" s="124">
        <v>1.39</v>
      </c>
      <c r="AE43" s="124">
        <v>1.39</v>
      </c>
      <c r="AF43" s="124">
        <v>1.375</v>
      </c>
      <c r="AG43" s="124">
        <v>1.375</v>
      </c>
      <c r="AH43" s="124">
        <v>5.49</v>
      </c>
      <c r="AI43" s="314">
        <v>5.49</v>
      </c>
      <c r="AJ43" s="124">
        <v>0</v>
      </c>
      <c r="AK43" s="272">
        <v>0</v>
      </c>
      <c r="AL43" s="272">
        <v>9.5</v>
      </c>
      <c r="AM43" s="272">
        <v>2.54</v>
      </c>
      <c r="AN43" s="272">
        <v>11</v>
      </c>
      <c r="AO43" s="272">
        <v>11</v>
      </c>
      <c r="AP43" s="272">
        <v>0</v>
      </c>
      <c r="AQ43" s="272">
        <v>0.5</v>
      </c>
      <c r="AR43" s="259">
        <f t="shared" si="0"/>
        <v>127.07499999999999</v>
      </c>
      <c r="AS43" s="420">
        <f t="shared" si="1"/>
        <v>13211.887000000002</v>
      </c>
      <c r="AT43" s="117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  <c r="DI43" s="269"/>
      <c r="DJ43" s="269"/>
      <c r="DK43" s="269"/>
      <c r="DL43" s="269"/>
      <c r="DM43" s="269"/>
      <c r="DN43" s="269"/>
      <c r="DO43" s="269"/>
      <c r="DP43" s="269"/>
    </row>
    <row r="44" spans="1:120" ht="15.75" thickBot="1">
      <c r="A44" s="82"/>
      <c r="B44" s="82"/>
      <c r="C44" s="396">
        <v>37995.958333332812</v>
      </c>
      <c r="D44" s="398">
        <v>37995.999999999476</v>
      </c>
      <c r="E44" s="263">
        <v>4.6950000000000003</v>
      </c>
      <c r="F44" s="264">
        <v>9.8450000000000006</v>
      </c>
      <c r="G44" s="264">
        <v>5.69</v>
      </c>
      <c r="H44" s="317">
        <v>0</v>
      </c>
      <c r="I44" s="264">
        <v>0</v>
      </c>
      <c r="J44" s="264">
        <v>0</v>
      </c>
      <c r="K44" s="264">
        <v>0</v>
      </c>
      <c r="L44" s="264">
        <v>0</v>
      </c>
      <c r="M44" s="317">
        <v>0</v>
      </c>
      <c r="N44" s="264">
        <v>0</v>
      </c>
      <c r="O44" s="264">
        <v>0</v>
      </c>
      <c r="P44" s="317">
        <v>0</v>
      </c>
      <c r="Q44" s="264">
        <v>0</v>
      </c>
      <c r="R44" s="264">
        <v>0</v>
      </c>
      <c r="S44" s="264">
        <v>5.18</v>
      </c>
      <c r="T44" s="264">
        <v>5</v>
      </c>
      <c r="U44" s="264">
        <v>5</v>
      </c>
      <c r="V44" s="264">
        <v>1.5049999999999999</v>
      </c>
      <c r="W44" s="264">
        <v>8.6449999999999996</v>
      </c>
      <c r="X44" s="264">
        <v>1.5249999999999999</v>
      </c>
      <c r="Y44" s="264">
        <v>1.31</v>
      </c>
      <c r="Z44" s="264">
        <v>1.31</v>
      </c>
      <c r="AA44" s="264">
        <v>1.835</v>
      </c>
      <c r="AB44" s="264">
        <v>1.835</v>
      </c>
      <c r="AC44" s="264">
        <v>1.835</v>
      </c>
      <c r="AD44" s="264">
        <v>1.39</v>
      </c>
      <c r="AE44" s="264">
        <v>1.39</v>
      </c>
      <c r="AF44" s="264">
        <v>1.375</v>
      </c>
      <c r="AG44" s="264">
        <v>1.375</v>
      </c>
      <c r="AH44" s="264">
        <v>5.49</v>
      </c>
      <c r="AI44" s="317">
        <v>5.49</v>
      </c>
      <c r="AJ44" s="264">
        <v>0.5</v>
      </c>
      <c r="AK44" s="353">
        <v>6.8849999999999998</v>
      </c>
      <c r="AL44" s="353">
        <v>9.5</v>
      </c>
      <c r="AM44" s="353">
        <v>2.54</v>
      </c>
      <c r="AN44" s="353">
        <v>11</v>
      </c>
      <c r="AO44" s="353">
        <v>11</v>
      </c>
      <c r="AP44" s="353">
        <v>0.5</v>
      </c>
      <c r="AQ44" s="353">
        <v>0</v>
      </c>
      <c r="AR44" s="422">
        <f t="shared" si="0"/>
        <v>113.64500000000001</v>
      </c>
      <c r="AS44" s="423">
        <f t="shared" si="1"/>
        <v>11972.144500000002</v>
      </c>
      <c r="AT44" s="82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  <c r="DI44" s="269"/>
      <c r="DJ44" s="269"/>
      <c r="DK44" s="269"/>
      <c r="DL44" s="269"/>
      <c r="DM44" s="269"/>
      <c r="DN44" s="269"/>
      <c r="DO44" s="269"/>
      <c r="DP44" s="269"/>
    </row>
    <row r="45" spans="1:120" ht="15.75">
      <c r="A45" s="82"/>
      <c r="B45" s="82"/>
      <c r="C45" s="571" t="s">
        <v>13</v>
      </c>
      <c r="D45" s="572"/>
      <c r="E45" s="572"/>
      <c r="F45" s="572"/>
      <c r="G45" s="572"/>
      <c r="H45" s="572"/>
      <c r="I45" s="572"/>
      <c r="J45" s="572"/>
      <c r="K45" s="572"/>
      <c r="L45" s="572"/>
      <c r="M45" s="572"/>
      <c r="N45" s="572"/>
      <c r="O45" s="572"/>
      <c r="P45" s="572"/>
      <c r="Q45" s="572"/>
      <c r="R45" s="572"/>
      <c r="S45" s="572"/>
      <c r="T45" s="572"/>
      <c r="U45" s="572"/>
      <c r="V45" s="572"/>
      <c r="W45" s="572"/>
      <c r="X45" s="572"/>
      <c r="Y45" s="572"/>
      <c r="Z45" s="572"/>
      <c r="AA45" s="572"/>
      <c r="AB45" s="572"/>
      <c r="AC45" s="572"/>
      <c r="AD45" s="572"/>
      <c r="AE45" s="572"/>
      <c r="AF45" s="572"/>
      <c r="AG45" s="572"/>
      <c r="AH45" s="572"/>
      <c r="AI45" s="572"/>
      <c r="AJ45" s="572"/>
      <c r="AK45" s="572"/>
      <c r="AL45" s="572"/>
      <c r="AM45" s="572"/>
      <c r="AN45" s="572"/>
      <c r="AO45" s="572"/>
      <c r="AP45" s="572"/>
      <c r="AQ45" s="572"/>
      <c r="AR45" s="417">
        <f>SUM(AR21:AR44)</f>
        <v>2887.0449999999996</v>
      </c>
      <c r="AS45" s="418">
        <f>+SUM(AS21:AS44)</f>
        <v>294594.76150000002</v>
      </c>
      <c r="AT45" s="274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69"/>
      <c r="DJ45" s="269"/>
      <c r="DK45" s="269"/>
      <c r="DL45" s="274"/>
      <c r="DM45" s="274"/>
      <c r="DN45" s="274"/>
      <c r="DO45" s="269"/>
      <c r="DP45" s="269"/>
    </row>
    <row r="46" spans="1:120" ht="24" customHeight="1">
      <c r="A46" s="82"/>
      <c r="B46" s="82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82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69"/>
      <c r="DL46" s="269"/>
      <c r="DM46" s="269"/>
      <c r="DN46" s="269"/>
      <c r="DO46" s="269"/>
      <c r="DP46" s="269"/>
    </row>
    <row r="47" spans="1:120" ht="24" customHeight="1">
      <c r="A47" s="82"/>
      <c r="B47" s="82"/>
      <c r="C47" s="250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82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  <c r="DI47" s="269"/>
      <c r="DJ47" s="269"/>
      <c r="DK47" s="269"/>
      <c r="DL47" s="269"/>
      <c r="DM47" s="269"/>
      <c r="DN47" s="269"/>
      <c r="DO47" s="269"/>
      <c r="DP47" s="269"/>
    </row>
    <row r="48" spans="1:120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  <c r="DI48" s="269"/>
      <c r="DJ48" s="269"/>
      <c r="DK48" s="269"/>
      <c r="DL48" s="269"/>
      <c r="DM48" s="269"/>
      <c r="DN48" s="269"/>
      <c r="DO48" s="269"/>
      <c r="DP48" s="269"/>
    </row>
    <row r="49" spans="1:120" ht="18.75" customHeight="1" thickBot="1">
      <c r="A49" s="82"/>
      <c r="B49" s="82"/>
      <c r="C49" s="540" t="s">
        <v>74</v>
      </c>
      <c r="D49" s="541"/>
      <c r="E49" s="544" t="s">
        <v>298</v>
      </c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545"/>
      <c r="AC49" s="545"/>
      <c r="AD49" s="545"/>
      <c r="AE49" s="545"/>
      <c r="AF49" s="545"/>
      <c r="AG49" s="545"/>
      <c r="AH49" s="545"/>
      <c r="AI49" s="545"/>
      <c r="AJ49" s="545"/>
      <c r="AK49" s="545"/>
      <c r="AL49" s="545"/>
      <c r="AM49" s="545"/>
      <c r="AN49" s="545"/>
      <c r="AO49" s="545"/>
      <c r="AP49" s="545"/>
      <c r="AQ49" s="545"/>
      <c r="AR49" s="538" t="s">
        <v>25</v>
      </c>
      <c r="AS49" s="269"/>
      <c r="AT49" s="540" t="s">
        <v>74</v>
      </c>
      <c r="AU49" s="546"/>
      <c r="AV49" s="547" t="s">
        <v>297</v>
      </c>
      <c r="AW49" s="545"/>
      <c r="AX49" s="545"/>
      <c r="AY49" s="545"/>
      <c r="AZ49" s="545"/>
      <c r="BA49" s="545"/>
      <c r="BB49" s="545"/>
      <c r="BC49" s="545"/>
      <c r="BD49" s="545"/>
      <c r="BE49" s="545"/>
      <c r="BF49" s="545"/>
      <c r="BG49" s="545"/>
      <c r="BH49" s="545"/>
      <c r="BI49" s="545"/>
      <c r="BJ49" s="545"/>
      <c r="BK49" s="545"/>
      <c r="BL49" s="545"/>
      <c r="BM49" s="545"/>
      <c r="BN49" s="545"/>
      <c r="BO49" s="545"/>
      <c r="BP49" s="545"/>
      <c r="BQ49" s="545"/>
      <c r="BR49" s="545"/>
      <c r="BS49" s="545"/>
      <c r="BT49" s="545"/>
      <c r="BU49" s="545"/>
      <c r="BV49" s="545"/>
      <c r="BW49" s="545"/>
      <c r="BX49" s="545"/>
      <c r="BY49" s="545"/>
      <c r="BZ49" s="545"/>
      <c r="CA49" s="545"/>
      <c r="CB49" s="545"/>
      <c r="CC49" s="545"/>
      <c r="CD49" s="545"/>
      <c r="CE49" s="545"/>
      <c r="CF49" s="545"/>
      <c r="CG49" s="545"/>
      <c r="CH49" s="545"/>
      <c r="CI49" s="538" t="s">
        <v>25</v>
      </c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  <c r="DI49" s="269"/>
      <c r="DJ49" s="269"/>
      <c r="DK49" s="269"/>
      <c r="DL49" s="269"/>
      <c r="DM49" s="269"/>
      <c r="DN49" s="269"/>
      <c r="DO49" s="269"/>
      <c r="DP49" s="269"/>
    </row>
    <row r="50" spans="1:120" ht="18.75" customHeight="1">
      <c r="A50" s="82"/>
      <c r="B50" s="82"/>
      <c r="C50" s="542"/>
      <c r="D50" s="543"/>
      <c r="E50" s="252" t="s">
        <v>329</v>
      </c>
      <c r="F50" s="253" t="s">
        <v>330</v>
      </c>
      <c r="G50" s="253" t="s">
        <v>331</v>
      </c>
      <c r="H50" s="316" t="s">
        <v>332</v>
      </c>
      <c r="I50" s="253" t="s">
        <v>333</v>
      </c>
      <c r="J50" s="253" t="s">
        <v>334</v>
      </c>
      <c r="K50" s="253" t="s">
        <v>335</v>
      </c>
      <c r="L50" s="253" t="s">
        <v>336</v>
      </c>
      <c r="M50" s="316" t="s">
        <v>337</v>
      </c>
      <c r="N50" s="253" t="s">
        <v>338</v>
      </c>
      <c r="O50" s="270" t="s">
        <v>339</v>
      </c>
      <c r="P50" s="253" t="s">
        <v>340</v>
      </c>
      <c r="Q50" s="253" t="s">
        <v>225</v>
      </c>
      <c r="R50" s="253" t="s">
        <v>226</v>
      </c>
      <c r="S50" s="253" t="s">
        <v>227</v>
      </c>
      <c r="T50" s="253" t="s">
        <v>341</v>
      </c>
      <c r="U50" s="253" t="s">
        <v>342</v>
      </c>
      <c r="V50" s="253" t="s">
        <v>343</v>
      </c>
      <c r="W50" s="253" t="s">
        <v>344</v>
      </c>
      <c r="X50" s="253" t="s">
        <v>345</v>
      </c>
      <c r="Y50" s="253" t="s">
        <v>346</v>
      </c>
      <c r="Z50" s="253" t="s">
        <v>347</v>
      </c>
      <c r="AA50" s="253" t="s">
        <v>348</v>
      </c>
      <c r="AB50" s="253" t="s">
        <v>349</v>
      </c>
      <c r="AC50" s="253" t="s">
        <v>350</v>
      </c>
      <c r="AD50" s="253" t="s">
        <v>351</v>
      </c>
      <c r="AE50" s="253" t="s">
        <v>352</v>
      </c>
      <c r="AF50" s="253" t="s">
        <v>353</v>
      </c>
      <c r="AG50" s="253" t="s">
        <v>354</v>
      </c>
      <c r="AH50" s="253" t="s">
        <v>355</v>
      </c>
      <c r="AI50" s="316" t="s">
        <v>356</v>
      </c>
      <c r="AJ50" s="253" t="s">
        <v>357</v>
      </c>
      <c r="AK50" s="270" t="s">
        <v>358</v>
      </c>
      <c r="AL50" s="270" t="s">
        <v>359</v>
      </c>
      <c r="AM50" s="270" t="s">
        <v>360</v>
      </c>
      <c r="AN50" s="270" t="s">
        <v>361</v>
      </c>
      <c r="AO50" s="270" t="s">
        <v>362</v>
      </c>
      <c r="AP50" s="270" t="s">
        <v>363</v>
      </c>
      <c r="AQ50" s="270" t="s">
        <v>364</v>
      </c>
      <c r="AR50" s="539"/>
      <c r="AS50" s="269"/>
      <c r="AT50" s="542"/>
      <c r="AU50" s="543"/>
      <c r="AV50" s="252" t="s">
        <v>329</v>
      </c>
      <c r="AW50" s="253" t="s">
        <v>330</v>
      </c>
      <c r="AX50" s="253" t="s">
        <v>331</v>
      </c>
      <c r="AY50" s="316" t="s">
        <v>332</v>
      </c>
      <c r="AZ50" s="253" t="s">
        <v>333</v>
      </c>
      <c r="BA50" s="253" t="s">
        <v>334</v>
      </c>
      <c r="BB50" s="253" t="s">
        <v>335</v>
      </c>
      <c r="BC50" s="253" t="s">
        <v>336</v>
      </c>
      <c r="BD50" s="316" t="s">
        <v>337</v>
      </c>
      <c r="BE50" s="253" t="s">
        <v>338</v>
      </c>
      <c r="BF50" s="270" t="s">
        <v>339</v>
      </c>
      <c r="BG50" s="253" t="s">
        <v>340</v>
      </c>
      <c r="BH50" s="253" t="s">
        <v>225</v>
      </c>
      <c r="BI50" s="253" t="s">
        <v>226</v>
      </c>
      <c r="BJ50" s="253" t="s">
        <v>227</v>
      </c>
      <c r="BK50" s="253" t="s">
        <v>341</v>
      </c>
      <c r="BL50" s="253" t="s">
        <v>342</v>
      </c>
      <c r="BM50" s="253" t="s">
        <v>343</v>
      </c>
      <c r="BN50" s="253" t="s">
        <v>344</v>
      </c>
      <c r="BO50" s="253" t="s">
        <v>345</v>
      </c>
      <c r="BP50" s="316" t="s">
        <v>346</v>
      </c>
      <c r="BQ50" s="316" t="s">
        <v>347</v>
      </c>
      <c r="BR50" s="316" t="s">
        <v>348</v>
      </c>
      <c r="BS50" s="316" t="s">
        <v>349</v>
      </c>
      <c r="BT50" s="316" t="s">
        <v>350</v>
      </c>
      <c r="BU50" s="316" t="s">
        <v>351</v>
      </c>
      <c r="BV50" s="316" t="s">
        <v>352</v>
      </c>
      <c r="BW50" s="316" t="s">
        <v>353</v>
      </c>
      <c r="BX50" s="316" t="s">
        <v>354</v>
      </c>
      <c r="BY50" s="316" t="s">
        <v>355</v>
      </c>
      <c r="BZ50" s="316" t="s">
        <v>356</v>
      </c>
      <c r="CA50" s="316" t="s">
        <v>357</v>
      </c>
      <c r="CB50" s="316" t="s">
        <v>358</v>
      </c>
      <c r="CC50" s="316" t="s">
        <v>359</v>
      </c>
      <c r="CD50" s="316" t="s">
        <v>360</v>
      </c>
      <c r="CE50" s="316" t="s">
        <v>361</v>
      </c>
      <c r="CF50" s="316" t="s">
        <v>362</v>
      </c>
      <c r="CG50" s="316" t="s">
        <v>363</v>
      </c>
      <c r="CH50" s="316" t="s">
        <v>364</v>
      </c>
      <c r="CI50" s="539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  <c r="DI50" s="269"/>
      <c r="DJ50" s="269"/>
      <c r="DK50" s="269"/>
      <c r="DL50" s="269"/>
      <c r="DM50" s="269"/>
      <c r="DN50" s="269"/>
      <c r="DO50" s="269"/>
      <c r="DP50" s="269"/>
    </row>
    <row r="51" spans="1:120" ht="18.75" customHeight="1">
      <c r="A51" s="82"/>
      <c r="B51" s="82"/>
      <c r="C51" s="390">
        <v>0</v>
      </c>
      <c r="D51" s="254">
        <v>37995.041666666199</v>
      </c>
      <c r="E51" s="255">
        <v>0</v>
      </c>
      <c r="F51" s="123">
        <v>0</v>
      </c>
      <c r="G51" s="123">
        <v>0</v>
      </c>
      <c r="H51" s="313">
        <v>0</v>
      </c>
      <c r="I51" s="123">
        <v>0</v>
      </c>
      <c r="J51" s="123">
        <v>0</v>
      </c>
      <c r="K51" s="123">
        <v>0</v>
      </c>
      <c r="L51" s="123">
        <v>0</v>
      </c>
      <c r="M51" s="313">
        <v>0</v>
      </c>
      <c r="N51" s="123">
        <v>0</v>
      </c>
      <c r="O51" s="123">
        <v>0</v>
      </c>
      <c r="P51" s="313">
        <v>0</v>
      </c>
      <c r="Q51" s="123">
        <v>0</v>
      </c>
      <c r="R51" s="123">
        <v>10.36</v>
      </c>
      <c r="S51" s="123">
        <v>10.36</v>
      </c>
      <c r="T51" s="123">
        <v>10</v>
      </c>
      <c r="U51" s="123">
        <v>10</v>
      </c>
      <c r="V51" s="123">
        <v>17.29</v>
      </c>
      <c r="W51" s="123">
        <v>17.29</v>
      </c>
      <c r="X51" s="123">
        <v>1</v>
      </c>
      <c r="Y51" s="123">
        <v>2.62</v>
      </c>
      <c r="Z51" s="123">
        <v>2.62</v>
      </c>
      <c r="AA51" s="123">
        <v>0</v>
      </c>
      <c r="AB51" s="123">
        <v>0</v>
      </c>
      <c r="AC51" s="123">
        <v>0</v>
      </c>
      <c r="AD51" s="123">
        <v>2.78</v>
      </c>
      <c r="AE51" s="123">
        <v>2.78</v>
      </c>
      <c r="AF51" s="123">
        <v>2.75</v>
      </c>
      <c r="AG51" s="123">
        <v>2.75</v>
      </c>
      <c r="AH51" s="123">
        <v>0</v>
      </c>
      <c r="AI51" s="313">
        <v>0</v>
      </c>
      <c r="AJ51" s="123">
        <v>0</v>
      </c>
      <c r="AK51" s="271">
        <v>14.78</v>
      </c>
      <c r="AL51" s="271">
        <v>0</v>
      </c>
      <c r="AM51" s="271">
        <v>5.08</v>
      </c>
      <c r="AN51" s="271">
        <v>0</v>
      </c>
      <c r="AO51" s="271">
        <v>0</v>
      </c>
      <c r="AP51" s="271">
        <v>0</v>
      </c>
      <c r="AQ51" s="271">
        <v>0</v>
      </c>
      <c r="AR51" s="399">
        <f t="shared" ref="AR51:AR74" si="2">+SUM(E51:AQ51)</f>
        <v>112.46000000000001</v>
      </c>
      <c r="AS51" s="269"/>
      <c r="AT51" s="390">
        <v>0</v>
      </c>
      <c r="AU51" s="254">
        <v>37995.041666666199</v>
      </c>
      <c r="AV51" s="255">
        <v>0</v>
      </c>
      <c r="AW51" s="123">
        <v>0</v>
      </c>
      <c r="AX51" s="123">
        <v>11.38</v>
      </c>
      <c r="AY51" s="313">
        <v>0</v>
      </c>
      <c r="AZ51" s="123">
        <v>0</v>
      </c>
      <c r="BA51" s="123">
        <v>0</v>
      </c>
      <c r="BB51" s="123">
        <v>0</v>
      </c>
      <c r="BC51" s="123">
        <v>0</v>
      </c>
      <c r="BD51" s="313">
        <v>0</v>
      </c>
      <c r="BE51" s="123">
        <v>0</v>
      </c>
      <c r="BF51" s="123">
        <v>0</v>
      </c>
      <c r="BG51" s="31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3">
        <v>10.98</v>
      </c>
      <c r="BZ51" s="313">
        <v>10.98</v>
      </c>
      <c r="CA51" s="123">
        <v>0</v>
      </c>
      <c r="CB51" s="271">
        <v>0</v>
      </c>
      <c r="CC51" s="271">
        <v>19</v>
      </c>
      <c r="CD51" s="271">
        <v>0</v>
      </c>
      <c r="CE51" s="271">
        <v>9.69</v>
      </c>
      <c r="CF51" s="271">
        <v>22</v>
      </c>
      <c r="CG51" s="271">
        <v>15.84</v>
      </c>
      <c r="CH51" s="271">
        <v>15.84</v>
      </c>
      <c r="CI51" s="399">
        <f t="shared" ref="CI51:CI74" si="3">+SUM(AV51:CH51)</f>
        <v>115.71000000000001</v>
      </c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  <c r="DI51" s="269"/>
      <c r="DJ51" s="269"/>
      <c r="DK51" s="269"/>
      <c r="DL51" s="269"/>
      <c r="DM51" s="269"/>
      <c r="DN51" s="269"/>
      <c r="DO51" s="269"/>
      <c r="DP51" s="269"/>
    </row>
    <row r="52" spans="1:120" ht="18.75" customHeight="1">
      <c r="A52" s="82"/>
      <c r="B52" s="82"/>
      <c r="C52" s="390">
        <f>+D51</f>
        <v>37995.041666666199</v>
      </c>
      <c r="D52" s="254">
        <v>37995.083333332863</v>
      </c>
      <c r="E52" s="255">
        <v>0</v>
      </c>
      <c r="F52" s="123">
        <v>0</v>
      </c>
      <c r="G52" s="123">
        <v>0</v>
      </c>
      <c r="H52" s="313">
        <v>0</v>
      </c>
      <c r="I52" s="123">
        <v>0</v>
      </c>
      <c r="J52" s="123">
        <v>0</v>
      </c>
      <c r="K52" s="123">
        <v>0</v>
      </c>
      <c r="L52" s="123">
        <v>0</v>
      </c>
      <c r="M52" s="313">
        <v>0</v>
      </c>
      <c r="N52" s="123">
        <v>0</v>
      </c>
      <c r="O52" s="123">
        <v>0</v>
      </c>
      <c r="P52" s="313">
        <v>0</v>
      </c>
      <c r="Q52" s="123">
        <v>0</v>
      </c>
      <c r="R52" s="123">
        <v>0</v>
      </c>
      <c r="S52" s="123">
        <v>0</v>
      </c>
      <c r="T52" s="123">
        <v>10</v>
      </c>
      <c r="U52" s="123">
        <v>10</v>
      </c>
      <c r="V52" s="123">
        <v>17.29</v>
      </c>
      <c r="W52" s="123">
        <v>17.29</v>
      </c>
      <c r="X52" s="123">
        <v>8.31</v>
      </c>
      <c r="Y52" s="123">
        <v>2.62</v>
      </c>
      <c r="Z52" s="123">
        <v>2.62</v>
      </c>
      <c r="AA52" s="123">
        <v>0</v>
      </c>
      <c r="AB52" s="123">
        <v>0</v>
      </c>
      <c r="AC52" s="123">
        <v>0</v>
      </c>
      <c r="AD52" s="123">
        <v>2.78</v>
      </c>
      <c r="AE52" s="123">
        <v>2.78</v>
      </c>
      <c r="AF52" s="123">
        <v>2.75</v>
      </c>
      <c r="AG52" s="123">
        <v>2.75</v>
      </c>
      <c r="AH52" s="123">
        <v>0</v>
      </c>
      <c r="AI52" s="313">
        <v>0</v>
      </c>
      <c r="AJ52" s="123">
        <v>0</v>
      </c>
      <c r="AK52" s="271">
        <v>17.559999999999999</v>
      </c>
      <c r="AL52" s="271">
        <v>0</v>
      </c>
      <c r="AM52" s="271">
        <v>5.08</v>
      </c>
      <c r="AN52" s="271">
        <v>0</v>
      </c>
      <c r="AO52" s="271">
        <v>0</v>
      </c>
      <c r="AP52" s="271">
        <v>0</v>
      </c>
      <c r="AQ52" s="271">
        <v>0</v>
      </c>
      <c r="AR52" s="399">
        <f t="shared" si="2"/>
        <v>101.83000000000001</v>
      </c>
      <c r="AS52" s="269"/>
      <c r="AT52" s="390">
        <f>+AU51</f>
        <v>37995.041666666199</v>
      </c>
      <c r="AU52" s="254">
        <v>37995.083333332863</v>
      </c>
      <c r="AV52" s="255">
        <v>6.73</v>
      </c>
      <c r="AW52" s="123">
        <v>0</v>
      </c>
      <c r="AX52" s="123">
        <v>11.38</v>
      </c>
      <c r="AY52" s="313">
        <v>0</v>
      </c>
      <c r="AZ52" s="123">
        <v>0</v>
      </c>
      <c r="BA52" s="123">
        <v>0</v>
      </c>
      <c r="BB52" s="123">
        <v>0</v>
      </c>
      <c r="BC52" s="123">
        <v>0</v>
      </c>
      <c r="BD52" s="313">
        <v>0</v>
      </c>
      <c r="BE52" s="123">
        <v>0</v>
      </c>
      <c r="BF52" s="123">
        <v>0</v>
      </c>
      <c r="BG52" s="31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3">
        <v>10.98</v>
      </c>
      <c r="BZ52" s="313">
        <v>10.98</v>
      </c>
      <c r="CA52" s="123">
        <v>0</v>
      </c>
      <c r="CB52" s="271">
        <v>0</v>
      </c>
      <c r="CC52" s="271">
        <v>19</v>
      </c>
      <c r="CD52" s="271">
        <v>0</v>
      </c>
      <c r="CE52" s="271">
        <v>22</v>
      </c>
      <c r="CF52" s="271">
        <v>22</v>
      </c>
      <c r="CG52" s="271">
        <v>0</v>
      </c>
      <c r="CH52" s="271">
        <v>0</v>
      </c>
      <c r="CI52" s="399">
        <f t="shared" si="3"/>
        <v>103.07</v>
      </c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  <c r="DI52" s="269"/>
      <c r="DJ52" s="269"/>
      <c r="DK52" s="269"/>
      <c r="DL52" s="269"/>
      <c r="DM52" s="269"/>
      <c r="DN52" s="269"/>
      <c r="DO52" s="269"/>
      <c r="DP52" s="269"/>
    </row>
    <row r="53" spans="1:120" ht="18.75" customHeight="1">
      <c r="A53" s="82"/>
      <c r="B53" s="82"/>
      <c r="C53" s="390">
        <v>37995.083333332863</v>
      </c>
      <c r="D53" s="254">
        <v>37995.124999999527</v>
      </c>
      <c r="E53" s="255">
        <v>0</v>
      </c>
      <c r="F53" s="123">
        <v>0</v>
      </c>
      <c r="G53" s="123">
        <v>0</v>
      </c>
      <c r="H53" s="313">
        <v>0</v>
      </c>
      <c r="I53" s="123">
        <v>0</v>
      </c>
      <c r="J53" s="123">
        <v>0</v>
      </c>
      <c r="K53" s="123">
        <v>0</v>
      </c>
      <c r="L53" s="123">
        <v>0</v>
      </c>
      <c r="M53" s="313">
        <v>0</v>
      </c>
      <c r="N53" s="123">
        <v>0</v>
      </c>
      <c r="O53" s="123">
        <v>0</v>
      </c>
      <c r="P53" s="313">
        <v>0</v>
      </c>
      <c r="Q53" s="123">
        <v>0</v>
      </c>
      <c r="R53" s="123">
        <v>0</v>
      </c>
      <c r="S53" s="123">
        <v>0</v>
      </c>
      <c r="T53" s="123">
        <v>10</v>
      </c>
      <c r="U53" s="123">
        <v>10</v>
      </c>
      <c r="V53" s="123">
        <v>17.29</v>
      </c>
      <c r="W53" s="123">
        <v>17.29</v>
      </c>
      <c r="X53" s="123">
        <v>1.05</v>
      </c>
      <c r="Y53" s="123">
        <v>2.62</v>
      </c>
      <c r="Z53" s="123">
        <v>2.62</v>
      </c>
      <c r="AA53" s="123">
        <v>0</v>
      </c>
      <c r="AB53" s="123">
        <v>0</v>
      </c>
      <c r="AC53" s="123">
        <v>0</v>
      </c>
      <c r="AD53" s="123">
        <v>2.78</v>
      </c>
      <c r="AE53" s="123">
        <v>2.78</v>
      </c>
      <c r="AF53" s="123">
        <v>2.75</v>
      </c>
      <c r="AG53" s="123">
        <v>2.75</v>
      </c>
      <c r="AH53" s="123">
        <v>0</v>
      </c>
      <c r="AI53" s="313">
        <v>0</v>
      </c>
      <c r="AJ53" s="123">
        <v>22.8</v>
      </c>
      <c r="AK53" s="271">
        <v>1</v>
      </c>
      <c r="AL53" s="271">
        <v>0</v>
      </c>
      <c r="AM53" s="271">
        <v>5.08</v>
      </c>
      <c r="AN53" s="271">
        <v>0</v>
      </c>
      <c r="AO53" s="271">
        <v>0</v>
      </c>
      <c r="AP53" s="271">
        <v>0</v>
      </c>
      <c r="AQ53" s="271">
        <v>0</v>
      </c>
      <c r="AR53" s="399">
        <f t="shared" si="2"/>
        <v>100.80999999999999</v>
      </c>
      <c r="AS53" s="269"/>
      <c r="AT53" s="390">
        <v>37995.083333332863</v>
      </c>
      <c r="AU53" s="254">
        <v>37995.124999999527</v>
      </c>
      <c r="AV53" s="255">
        <v>7.96</v>
      </c>
      <c r="AW53" s="123">
        <v>0</v>
      </c>
      <c r="AX53" s="123">
        <v>11.38</v>
      </c>
      <c r="AY53" s="313">
        <v>0</v>
      </c>
      <c r="AZ53" s="123">
        <v>0</v>
      </c>
      <c r="BA53" s="123">
        <v>0</v>
      </c>
      <c r="BB53" s="123">
        <v>0</v>
      </c>
      <c r="BC53" s="123">
        <v>0</v>
      </c>
      <c r="BD53" s="313">
        <v>0</v>
      </c>
      <c r="BE53" s="123">
        <v>0</v>
      </c>
      <c r="BF53" s="123">
        <v>0</v>
      </c>
      <c r="BG53" s="31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3">
        <v>10.98</v>
      </c>
      <c r="BZ53" s="313">
        <v>10.98</v>
      </c>
      <c r="CA53" s="123">
        <v>0</v>
      </c>
      <c r="CB53" s="271">
        <v>0</v>
      </c>
      <c r="CC53" s="271">
        <v>19</v>
      </c>
      <c r="CD53" s="271">
        <v>0</v>
      </c>
      <c r="CE53" s="271">
        <v>22</v>
      </c>
      <c r="CF53" s="271">
        <v>22</v>
      </c>
      <c r="CG53" s="271">
        <v>0</v>
      </c>
      <c r="CH53" s="271">
        <v>0</v>
      </c>
      <c r="CI53" s="399">
        <f t="shared" si="3"/>
        <v>104.3</v>
      </c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  <c r="DI53" s="269"/>
      <c r="DJ53" s="269"/>
      <c r="DK53" s="269"/>
      <c r="DL53" s="269"/>
      <c r="DM53" s="269"/>
      <c r="DN53" s="269"/>
      <c r="DO53" s="269"/>
      <c r="DP53" s="269"/>
    </row>
    <row r="54" spans="1:120" ht="18.75" customHeight="1">
      <c r="A54" s="82"/>
      <c r="B54" s="82"/>
      <c r="C54" s="390">
        <v>37995.124999999527</v>
      </c>
      <c r="D54" s="254">
        <v>37995.166666666191</v>
      </c>
      <c r="E54" s="255">
        <v>0</v>
      </c>
      <c r="F54" s="123">
        <v>0</v>
      </c>
      <c r="G54" s="123">
        <v>0</v>
      </c>
      <c r="H54" s="313">
        <v>0</v>
      </c>
      <c r="I54" s="123">
        <v>0</v>
      </c>
      <c r="J54" s="123">
        <v>0</v>
      </c>
      <c r="K54" s="123">
        <v>0</v>
      </c>
      <c r="L54" s="123">
        <v>0</v>
      </c>
      <c r="M54" s="313">
        <v>0</v>
      </c>
      <c r="N54" s="123">
        <v>0</v>
      </c>
      <c r="O54" s="123">
        <v>0</v>
      </c>
      <c r="P54" s="313">
        <v>0</v>
      </c>
      <c r="Q54" s="123">
        <v>0</v>
      </c>
      <c r="R54" s="123">
        <v>0</v>
      </c>
      <c r="S54" s="123">
        <v>0</v>
      </c>
      <c r="T54" s="123">
        <v>10</v>
      </c>
      <c r="U54" s="123">
        <v>8.73</v>
      </c>
      <c r="V54" s="123">
        <v>17.29</v>
      </c>
      <c r="W54" s="123">
        <v>17.29</v>
      </c>
      <c r="X54" s="123">
        <v>4.59</v>
      </c>
      <c r="Y54" s="123">
        <v>2.62</v>
      </c>
      <c r="Z54" s="123">
        <v>2.62</v>
      </c>
      <c r="AA54" s="123">
        <v>0</v>
      </c>
      <c r="AB54" s="123">
        <v>0</v>
      </c>
      <c r="AC54" s="123">
        <v>0</v>
      </c>
      <c r="AD54" s="123">
        <v>2.78</v>
      </c>
      <c r="AE54" s="123">
        <v>2.78</v>
      </c>
      <c r="AF54" s="123">
        <v>2.75</v>
      </c>
      <c r="AG54" s="123">
        <v>2.75</v>
      </c>
      <c r="AH54" s="123">
        <v>0</v>
      </c>
      <c r="AI54" s="313">
        <v>0</v>
      </c>
      <c r="AJ54" s="123">
        <v>0</v>
      </c>
      <c r="AK54" s="271">
        <v>21.62</v>
      </c>
      <c r="AL54" s="271">
        <v>0</v>
      </c>
      <c r="AM54" s="271">
        <v>5.08</v>
      </c>
      <c r="AN54" s="271">
        <v>0</v>
      </c>
      <c r="AO54" s="271">
        <v>0</v>
      </c>
      <c r="AP54" s="271">
        <v>0</v>
      </c>
      <c r="AQ54" s="271">
        <v>0</v>
      </c>
      <c r="AR54" s="399">
        <f t="shared" si="2"/>
        <v>100.89999999999999</v>
      </c>
      <c r="AS54" s="269"/>
      <c r="AT54" s="390">
        <v>37995.124999999527</v>
      </c>
      <c r="AU54" s="254">
        <v>37995.166666666191</v>
      </c>
      <c r="AV54" s="255">
        <v>16.82</v>
      </c>
      <c r="AW54" s="123">
        <v>0</v>
      </c>
      <c r="AX54" s="123">
        <v>11.38</v>
      </c>
      <c r="AY54" s="313">
        <v>0</v>
      </c>
      <c r="AZ54" s="123">
        <v>0</v>
      </c>
      <c r="BA54" s="123">
        <v>0</v>
      </c>
      <c r="BB54" s="123">
        <v>0</v>
      </c>
      <c r="BC54" s="123">
        <v>0</v>
      </c>
      <c r="BD54" s="313">
        <v>0</v>
      </c>
      <c r="BE54" s="123">
        <v>0</v>
      </c>
      <c r="BF54" s="123">
        <v>0</v>
      </c>
      <c r="BG54" s="31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3">
        <v>10.98</v>
      </c>
      <c r="BZ54" s="313">
        <v>10.98</v>
      </c>
      <c r="CA54" s="123">
        <v>0</v>
      </c>
      <c r="CB54" s="271">
        <v>0</v>
      </c>
      <c r="CC54" s="271">
        <v>19</v>
      </c>
      <c r="CD54" s="271">
        <v>0</v>
      </c>
      <c r="CE54" s="271">
        <v>0</v>
      </c>
      <c r="CF54" s="271">
        <v>22</v>
      </c>
      <c r="CG54" s="271">
        <v>15.84</v>
      </c>
      <c r="CH54" s="271">
        <v>0</v>
      </c>
      <c r="CI54" s="399">
        <f t="shared" si="3"/>
        <v>107.00000000000001</v>
      </c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  <c r="DI54" s="269"/>
      <c r="DJ54" s="269"/>
      <c r="DK54" s="269"/>
      <c r="DL54" s="269"/>
      <c r="DM54" s="269"/>
      <c r="DN54" s="269"/>
      <c r="DO54" s="269"/>
      <c r="DP54" s="269"/>
    </row>
    <row r="55" spans="1:120" ht="18.75" customHeight="1">
      <c r="A55" s="82"/>
      <c r="B55" s="82"/>
      <c r="C55" s="390">
        <v>37995.166666666191</v>
      </c>
      <c r="D55" s="254">
        <v>37995.208333332856</v>
      </c>
      <c r="E55" s="255">
        <v>0</v>
      </c>
      <c r="F55" s="123">
        <v>0</v>
      </c>
      <c r="G55" s="123">
        <v>0</v>
      </c>
      <c r="H55" s="313">
        <v>0</v>
      </c>
      <c r="I55" s="123">
        <v>0</v>
      </c>
      <c r="J55" s="123">
        <v>0</v>
      </c>
      <c r="K55" s="123">
        <v>0</v>
      </c>
      <c r="L55" s="123">
        <v>0</v>
      </c>
      <c r="M55" s="313">
        <v>0</v>
      </c>
      <c r="N55" s="123">
        <v>0</v>
      </c>
      <c r="O55" s="123">
        <v>0</v>
      </c>
      <c r="P55" s="313">
        <v>0</v>
      </c>
      <c r="Q55" s="123">
        <v>0</v>
      </c>
      <c r="R55" s="123">
        <v>0</v>
      </c>
      <c r="S55" s="123">
        <v>0</v>
      </c>
      <c r="T55" s="123">
        <v>10</v>
      </c>
      <c r="U55" s="123">
        <v>10</v>
      </c>
      <c r="V55" s="123">
        <v>17.29</v>
      </c>
      <c r="W55" s="123">
        <v>17.29</v>
      </c>
      <c r="X55" s="123">
        <v>5.44</v>
      </c>
      <c r="Y55" s="123">
        <v>2.62</v>
      </c>
      <c r="Z55" s="123">
        <v>2.62</v>
      </c>
      <c r="AA55" s="123">
        <v>0</v>
      </c>
      <c r="AB55" s="123">
        <v>0</v>
      </c>
      <c r="AC55" s="123">
        <v>0</v>
      </c>
      <c r="AD55" s="123">
        <v>2.78</v>
      </c>
      <c r="AE55" s="123">
        <v>2.78</v>
      </c>
      <c r="AF55" s="123">
        <v>2.75</v>
      </c>
      <c r="AG55" s="123">
        <v>2.75</v>
      </c>
      <c r="AH55" s="123">
        <v>0</v>
      </c>
      <c r="AI55" s="313">
        <v>0</v>
      </c>
      <c r="AJ55" s="123">
        <v>22.8</v>
      </c>
      <c r="AK55" s="271">
        <v>0</v>
      </c>
      <c r="AL55" s="271">
        <v>0</v>
      </c>
      <c r="AM55" s="271">
        <v>5.08</v>
      </c>
      <c r="AN55" s="271">
        <v>0</v>
      </c>
      <c r="AO55" s="271">
        <v>0</v>
      </c>
      <c r="AP55" s="271">
        <v>0</v>
      </c>
      <c r="AQ55" s="271">
        <v>0</v>
      </c>
      <c r="AR55" s="399">
        <f t="shared" si="2"/>
        <v>104.19999999999999</v>
      </c>
      <c r="AS55" s="269"/>
      <c r="AT55" s="390">
        <v>37995.166666666191</v>
      </c>
      <c r="AU55" s="254">
        <v>37995.208333332856</v>
      </c>
      <c r="AV55" s="255">
        <v>14.42</v>
      </c>
      <c r="AW55" s="123">
        <v>0</v>
      </c>
      <c r="AX55" s="123">
        <v>11.38</v>
      </c>
      <c r="AY55" s="313">
        <v>0</v>
      </c>
      <c r="AZ55" s="123">
        <v>0</v>
      </c>
      <c r="BA55" s="123">
        <v>0</v>
      </c>
      <c r="BB55" s="123">
        <v>0</v>
      </c>
      <c r="BC55" s="123">
        <v>0</v>
      </c>
      <c r="BD55" s="313">
        <v>0</v>
      </c>
      <c r="BE55" s="123">
        <v>0</v>
      </c>
      <c r="BF55" s="123">
        <v>0</v>
      </c>
      <c r="BG55" s="31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3">
        <v>10.98</v>
      </c>
      <c r="BZ55" s="313">
        <v>10.98</v>
      </c>
      <c r="CA55" s="123">
        <v>0</v>
      </c>
      <c r="CB55" s="271">
        <v>0</v>
      </c>
      <c r="CC55" s="271">
        <v>19</v>
      </c>
      <c r="CD55" s="271">
        <v>0</v>
      </c>
      <c r="CE55" s="271">
        <v>22</v>
      </c>
      <c r="CF55" s="271">
        <v>22</v>
      </c>
      <c r="CG55" s="271">
        <v>0</v>
      </c>
      <c r="CH55" s="271">
        <v>1</v>
      </c>
      <c r="CI55" s="399">
        <f t="shared" si="3"/>
        <v>111.76</v>
      </c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  <c r="DI55" s="269"/>
      <c r="DJ55" s="269"/>
      <c r="DK55" s="269"/>
      <c r="DL55" s="269"/>
      <c r="DM55" s="269"/>
      <c r="DN55" s="269"/>
      <c r="DO55" s="269"/>
      <c r="DP55" s="269"/>
    </row>
    <row r="56" spans="1:120" ht="18.75" customHeight="1">
      <c r="A56" s="82"/>
      <c r="B56" s="82"/>
      <c r="C56" s="390">
        <v>37995.208333332856</v>
      </c>
      <c r="D56" s="254">
        <v>37995.24999999952</v>
      </c>
      <c r="E56" s="255">
        <v>0</v>
      </c>
      <c r="F56" s="123">
        <v>0</v>
      </c>
      <c r="G56" s="123">
        <v>0</v>
      </c>
      <c r="H56" s="313">
        <v>0</v>
      </c>
      <c r="I56" s="123">
        <v>0</v>
      </c>
      <c r="J56" s="123">
        <v>0</v>
      </c>
      <c r="K56" s="123">
        <v>0</v>
      </c>
      <c r="L56" s="123">
        <v>0</v>
      </c>
      <c r="M56" s="313">
        <v>0</v>
      </c>
      <c r="N56" s="123">
        <v>0</v>
      </c>
      <c r="O56" s="123">
        <v>0</v>
      </c>
      <c r="P56" s="313">
        <v>0</v>
      </c>
      <c r="Q56" s="123">
        <v>10.1</v>
      </c>
      <c r="R56" s="123">
        <v>10.36</v>
      </c>
      <c r="S56" s="123">
        <v>10.36</v>
      </c>
      <c r="T56" s="123">
        <v>10</v>
      </c>
      <c r="U56" s="123">
        <v>10</v>
      </c>
      <c r="V56" s="123">
        <v>0</v>
      </c>
      <c r="W56" s="123">
        <v>13.76</v>
      </c>
      <c r="X56" s="123">
        <v>2.6</v>
      </c>
      <c r="Y56" s="123">
        <v>2.62</v>
      </c>
      <c r="Z56" s="123">
        <v>2.62</v>
      </c>
      <c r="AA56" s="123">
        <v>0</v>
      </c>
      <c r="AB56" s="123">
        <v>0</v>
      </c>
      <c r="AC56" s="123">
        <v>0</v>
      </c>
      <c r="AD56" s="123">
        <v>2.78</v>
      </c>
      <c r="AE56" s="123">
        <v>2.78</v>
      </c>
      <c r="AF56" s="123">
        <v>2.75</v>
      </c>
      <c r="AG56" s="123">
        <v>2.75</v>
      </c>
      <c r="AH56" s="123">
        <v>0</v>
      </c>
      <c r="AI56" s="313">
        <v>0</v>
      </c>
      <c r="AJ56" s="123">
        <v>22.8</v>
      </c>
      <c r="AK56" s="271">
        <v>1</v>
      </c>
      <c r="AL56" s="271">
        <v>0</v>
      </c>
      <c r="AM56" s="271">
        <v>5.08</v>
      </c>
      <c r="AN56" s="271">
        <v>0</v>
      </c>
      <c r="AO56" s="271">
        <v>0</v>
      </c>
      <c r="AP56" s="271">
        <v>0</v>
      </c>
      <c r="AQ56" s="271">
        <v>0</v>
      </c>
      <c r="AR56" s="399">
        <f t="shared" si="2"/>
        <v>112.36</v>
      </c>
      <c r="AS56" s="269"/>
      <c r="AT56" s="390">
        <v>37995.208333332856</v>
      </c>
      <c r="AU56" s="254">
        <v>37995.24999999952</v>
      </c>
      <c r="AV56" s="255">
        <v>8.61</v>
      </c>
      <c r="AW56" s="123">
        <v>19.690000000000001</v>
      </c>
      <c r="AX56" s="123">
        <v>11.38</v>
      </c>
      <c r="AY56" s="313">
        <v>0</v>
      </c>
      <c r="AZ56" s="123">
        <v>0</v>
      </c>
      <c r="BA56" s="123">
        <v>0</v>
      </c>
      <c r="BB56" s="123">
        <v>0</v>
      </c>
      <c r="BC56" s="123">
        <v>0</v>
      </c>
      <c r="BD56" s="313">
        <v>0</v>
      </c>
      <c r="BE56" s="123">
        <v>0</v>
      </c>
      <c r="BF56" s="123">
        <v>0</v>
      </c>
      <c r="BG56" s="31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3">
        <v>10.98</v>
      </c>
      <c r="BZ56" s="313">
        <v>10.98</v>
      </c>
      <c r="CA56" s="123">
        <v>0</v>
      </c>
      <c r="CB56" s="271">
        <v>0</v>
      </c>
      <c r="CC56" s="271">
        <v>19</v>
      </c>
      <c r="CD56" s="271">
        <v>0</v>
      </c>
      <c r="CE56" s="271">
        <v>22</v>
      </c>
      <c r="CF56" s="271">
        <v>1</v>
      </c>
      <c r="CG56" s="271">
        <v>1</v>
      </c>
      <c r="CH56" s="271">
        <v>15.84</v>
      </c>
      <c r="CI56" s="399">
        <f t="shared" si="3"/>
        <v>120.48</v>
      </c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  <c r="DI56" s="269"/>
      <c r="DJ56" s="269"/>
      <c r="DK56" s="269"/>
      <c r="DL56" s="269"/>
      <c r="DM56" s="269"/>
      <c r="DN56" s="269"/>
      <c r="DO56" s="269"/>
      <c r="DP56" s="269"/>
    </row>
    <row r="57" spans="1:120" ht="18.75" customHeight="1">
      <c r="A57" s="82"/>
      <c r="B57" s="82"/>
      <c r="C57" s="391">
        <v>37995.24999999952</v>
      </c>
      <c r="D57" s="257">
        <v>37995.291666666184</v>
      </c>
      <c r="E57" s="258">
        <v>0</v>
      </c>
      <c r="F57" s="124">
        <v>0</v>
      </c>
      <c r="G57" s="124">
        <v>0</v>
      </c>
      <c r="H57" s="314">
        <v>10.3</v>
      </c>
      <c r="I57" s="124">
        <v>10.3</v>
      </c>
      <c r="J57" s="124">
        <v>10.3</v>
      </c>
      <c r="K57" s="124">
        <v>0</v>
      </c>
      <c r="L57" s="124">
        <v>0</v>
      </c>
      <c r="M57" s="314">
        <v>0</v>
      </c>
      <c r="N57" s="124">
        <v>0</v>
      </c>
      <c r="O57" s="124">
        <v>0</v>
      </c>
      <c r="P57" s="314">
        <v>0</v>
      </c>
      <c r="Q57" s="124">
        <v>10.1</v>
      </c>
      <c r="R57" s="124">
        <v>10.36</v>
      </c>
      <c r="S57" s="124">
        <v>10.36</v>
      </c>
      <c r="T57" s="124">
        <v>10</v>
      </c>
      <c r="U57" s="124">
        <v>10</v>
      </c>
      <c r="V57" s="124">
        <v>6</v>
      </c>
      <c r="W57" s="124">
        <v>17.29</v>
      </c>
      <c r="X57" s="124">
        <v>0</v>
      </c>
      <c r="Y57" s="124">
        <v>2.62</v>
      </c>
      <c r="Z57" s="124">
        <v>2.62</v>
      </c>
      <c r="AA57" s="124">
        <v>0</v>
      </c>
      <c r="AB57" s="124">
        <v>0</v>
      </c>
      <c r="AC57" s="124">
        <v>0</v>
      </c>
      <c r="AD57" s="124">
        <v>2.78</v>
      </c>
      <c r="AE57" s="124">
        <v>2.78</v>
      </c>
      <c r="AF57" s="124">
        <v>2.75</v>
      </c>
      <c r="AG57" s="124">
        <v>2.75</v>
      </c>
      <c r="AH57" s="124">
        <v>0</v>
      </c>
      <c r="AI57" s="314">
        <v>0</v>
      </c>
      <c r="AJ57" s="124">
        <v>0</v>
      </c>
      <c r="AK57" s="272">
        <v>0</v>
      </c>
      <c r="AL57" s="272">
        <v>0</v>
      </c>
      <c r="AM57" s="272">
        <v>5.08</v>
      </c>
      <c r="AN57" s="272">
        <v>0</v>
      </c>
      <c r="AO57" s="272">
        <v>0</v>
      </c>
      <c r="AP57" s="272">
        <v>0</v>
      </c>
      <c r="AQ57" s="272">
        <v>0</v>
      </c>
      <c r="AR57" s="400">
        <f t="shared" si="2"/>
        <v>126.39</v>
      </c>
      <c r="AS57" s="269"/>
      <c r="AT57" s="391">
        <v>37995.24999999952</v>
      </c>
      <c r="AU57" s="257">
        <v>37995.291666666184</v>
      </c>
      <c r="AV57" s="258">
        <v>18.690000000000001</v>
      </c>
      <c r="AW57" s="124">
        <v>0</v>
      </c>
      <c r="AX57" s="124">
        <v>11.38</v>
      </c>
      <c r="AY57" s="314">
        <v>0</v>
      </c>
      <c r="AZ57" s="124">
        <v>0</v>
      </c>
      <c r="BA57" s="124">
        <v>0</v>
      </c>
      <c r="BB57" s="124">
        <v>0</v>
      </c>
      <c r="BC57" s="124">
        <v>0</v>
      </c>
      <c r="BD57" s="314">
        <v>0</v>
      </c>
      <c r="BE57" s="124">
        <v>0</v>
      </c>
      <c r="BF57" s="124">
        <v>0</v>
      </c>
      <c r="BG57" s="314">
        <v>0</v>
      </c>
      <c r="BH57" s="124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0</v>
      </c>
      <c r="BW57" s="124">
        <v>0</v>
      </c>
      <c r="BX57" s="124">
        <v>0</v>
      </c>
      <c r="BY57" s="124">
        <v>10.98</v>
      </c>
      <c r="BZ57" s="314">
        <v>10.98</v>
      </c>
      <c r="CA57" s="124">
        <v>0</v>
      </c>
      <c r="CB57" s="272">
        <v>0</v>
      </c>
      <c r="CC57" s="272">
        <v>19</v>
      </c>
      <c r="CD57" s="272">
        <v>0</v>
      </c>
      <c r="CE57" s="272">
        <v>22</v>
      </c>
      <c r="CF57" s="272">
        <v>22</v>
      </c>
      <c r="CG57" s="272">
        <v>0</v>
      </c>
      <c r="CH57" s="272">
        <v>15.84</v>
      </c>
      <c r="CI57" s="400">
        <f t="shared" si="3"/>
        <v>130.87</v>
      </c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  <c r="DI57" s="269"/>
      <c r="DJ57" s="269"/>
      <c r="DK57" s="269"/>
      <c r="DL57" s="269"/>
      <c r="DM57" s="269"/>
      <c r="DN57" s="269"/>
      <c r="DO57" s="269"/>
      <c r="DP57" s="269"/>
    </row>
    <row r="58" spans="1:120" ht="18.75" customHeight="1">
      <c r="A58" s="82"/>
      <c r="B58" s="82"/>
      <c r="C58" s="391">
        <v>37995.291666666184</v>
      </c>
      <c r="D58" s="257">
        <v>37995.333333332848</v>
      </c>
      <c r="E58" s="258">
        <v>0</v>
      </c>
      <c r="F58" s="124">
        <v>0</v>
      </c>
      <c r="G58" s="124">
        <v>0</v>
      </c>
      <c r="H58" s="314">
        <v>10.3</v>
      </c>
      <c r="I58" s="124">
        <v>10.3</v>
      </c>
      <c r="J58" s="124">
        <v>10.3</v>
      </c>
      <c r="K58" s="124">
        <v>0</v>
      </c>
      <c r="L58" s="124">
        <v>0</v>
      </c>
      <c r="M58" s="314">
        <v>0</v>
      </c>
      <c r="N58" s="124">
        <v>0</v>
      </c>
      <c r="O58" s="124">
        <v>0</v>
      </c>
      <c r="P58" s="314">
        <v>0</v>
      </c>
      <c r="Q58" s="124">
        <v>10.1</v>
      </c>
      <c r="R58" s="124">
        <v>10.36</v>
      </c>
      <c r="S58" s="124">
        <v>10.36</v>
      </c>
      <c r="T58" s="124">
        <v>10</v>
      </c>
      <c r="U58" s="124">
        <v>10</v>
      </c>
      <c r="V58" s="124">
        <v>15.83</v>
      </c>
      <c r="W58" s="124">
        <v>17.29</v>
      </c>
      <c r="X58" s="124">
        <v>0</v>
      </c>
      <c r="Y58" s="124">
        <v>2.62</v>
      </c>
      <c r="Z58" s="124">
        <v>2.62</v>
      </c>
      <c r="AA58" s="124">
        <v>0</v>
      </c>
      <c r="AB58" s="124">
        <v>0</v>
      </c>
      <c r="AC58" s="124">
        <v>0</v>
      </c>
      <c r="AD58" s="124">
        <v>2.78</v>
      </c>
      <c r="AE58" s="124">
        <v>2.78</v>
      </c>
      <c r="AF58" s="124">
        <v>2.75</v>
      </c>
      <c r="AG58" s="124">
        <v>2.75</v>
      </c>
      <c r="AH58" s="124">
        <v>0</v>
      </c>
      <c r="AI58" s="314">
        <v>0</v>
      </c>
      <c r="AJ58" s="124">
        <v>0</v>
      </c>
      <c r="AK58" s="272">
        <v>0</v>
      </c>
      <c r="AL58" s="272">
        <v>0</v>
      </c>
      <c r="AM58" s="272">
        <v>5.08</v>
      </c>
      <c r="AN58" s="272">
        <v>0</v>
      </c>
      <c r="AO58" s="272">
        <v>0</v>
      </c>
      <c r="AP58" s="272">
        <v>0</v>
      </c>
      <c r="AQ58" s="272">
        <v>0</v>
      </c>
      <c r="AR58" s="400">
        <f t="shared" si="2"/>
        <v>136.22000000000003</v>
      </c>
      <c r="AS58" s="269"/>
      <c r="AT58" s="391">
        <v>37995.291666666184</v>
      </c>
      <c r="AU58" s="257">
        <v>37995.333333332848</v>
      </c>
      <c r="AV58" s="258">
        <v>3.62</v>
      </c>
      <c r="AW58" s="124">
        <v>19.690000000000001</v>
      </c>
      <c r="AX58" s="124">
        <v>11.38</v>
      </c>
      <c r="AY58" s="314">
        <v>0</v>
      </c>
      <c r="AZ58" s="124">
        <v>0</v>
      </c>
      <c r="BA58" s="124">
        <v>0</v>
      </c>
      <c r="BB58" s="124">
        <v>0</v>
      </c>
      <c r="BC58" s="124">
        <v>0</v>
      </c>
      <c r="BD58" s="314">
        <v>0</v>
      </c>
      <c r="BE58" s="124">
        <v>0</v>
      </c>
      <c r="BF58" s="124">
        <v>0</v>
      </c>
      <c r="BG58" s="31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0</v>
      </c>
      <c r="BW58" s="124">
        <v>0</v>
      </c>
      <c r="BX58" s="124">
        <v>0</v>
      </c>
      <c r="BY58" s="124">
        <v>10.98</v>
      </c>
      <c r="BZ58" s="314">
        <v>10.98</v>
      </c>
      <c r="CA58" s="124">
        <v>0</v>
      </c>
      <c r="CB58" s="272">
        <v>0</v>
      </c>
      <c r="CC58" s="272">
        <v>19</v>
      </c>
      <c r="CD58" s="272">
        <v>0</v>
      </c>
      <c r="CE58" s="272">
        <v>22</v>
      </c>
      <c r="CF58" s="272">
        <v>0</v>
      </c>
      <c r="CG58" s="272">
        <v>15.84</v>
      </c>
      <c r="CH58" s="272">
        <v>15.84</v>
      </c>
      <c r="CI58" s="400">
        <f t="shared" si="3"/>
        <v>129.33000000000001</v>
      </c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  <c r="DI58" s="269"/>
      <c r="DJ58" s="269"/>
      <c r="DK58" s="269"/>
      <c r="DL58" s="269"/>
      <c r="DM58" s="269"/>
      <c r="DN58" s="269"/>
      <c r="DO58" s="269"/>
      <c r="DP58" s="269"/>
    </row>
    <row r="59" spans="1:120" ht="18.75" customHeight="1">
      <c r="A59" s="82"/>
      <c r="B59" s="82"/>
      <c r="C59" s="391">
        <v>37995.333333332848</v>
      </c>
      <c r="D59" s="257">
        <v>37995.374999999513</v>
      </c>
      <c r="E59" s="258">
        <v>5.08</v>
      </c>
      <c r="F59" s="124">
        <v>0</v>
      </c>
      <c r="G59" s="124">
        <v>0</v>
      </c>
      <c r="H59" s="314">
        <v>10.3</v>
      </c>
      <c r="I59" s="124">
        <v>10.3</v>
      </c>
      <c r="J59" s="124">
        <v>10.3</v>
      </c>
      <c r="K59" s="124">
        <v>0</v>
      </c>
      <c r="L59" s="124">
        <v>0</v>
      </c>
      <c r="M59" s="314">
        <v>0</v>
      </c>
      <c r="N59" s="124">
        <v>0</v>
      </c>
      <c r="O59" s="124">
        <v>0</v>
      </c>
      <c r="P59" s="314">
        <v>0</v>
      </c>
      <c r="Q59" s="124">
        <v>10.1</v>
      </c>
      <c r="R59" s="124">
        <v>10.36</v>
      </c>
      <c r="S59" s="124">
        <v>10.36</v>
      </c>
      <c r="T59" s="124">
        <v>10</v>
      </c>
      <c r="U59" s="124">
        <v>10</v>
      </c>
      <c r="V59" s="124">
        <v>17.29</v>
      </c>
      <c r="W59" s="124">
        <v>17.29</v>
      </c>
      <c r="X59" s="124">
        <v>0</v>
      </c>
      <c r="Y59" s="124">
        <v>2.62</v>
      </c>
      <c r="Z59" s="124">
        <v>2.62</v>
      </c>
      <c r="AA59" s="124">
        <v>0</v>
      </c>
      <c r="AB59" s="124">
        <v>0</v>
      </c>
      <c r="AC59" s="124">
        <v>0</v>
      </c>
      <c r="AD59" s="124">
        <v>2.78</v>
      </c>
      <c r="AE59" s="124">
        <v>2.78</v>
      </c>
      <c r="AF59" s="124">
        <v>2.75</v>
      </c>
      <c r="AG59" s="124">
        <v>2.75</v>
      </c>
      <c r="AH59" s="124">
        <v>0</v>
      </c>
      <c r="AI59" s="314">
        <v>0</v>
      </c>
      <c r="AJ59" s="124">
        <v>0</v>
      </c>
      <c r="AK59" s="272">
        <v>1.1100000000000001</v>
      </c>
      <c r="AL59" s="272">
        <v>0</v>
      </c>
      <c r="AM59" s="272">
        <v>0</v>
      </c>
      <c r="AN59" s="272">
        <v>0</v>
      </c>
      <c r="AO59" s="272">
        <v>0</v>
      </c>
      <c r="AP59" s="272">
        <v>0</v>
      </c>
      <c r="AQ59" s="272">
        <v>0</v>
      </c>
      <c r="AR59" s="400">
        <f t="shared" si="2"/>
        <v>138.79000000000002</v>
      </c>
      <c r="AS59" s="269"/>
      <c r="AT59" s="391">
        <v>37995.333333332848</v>
      </c>
      <c r="AU59" s="257">
        <v>37995.374999999513</v>
      </c>
      <c r="AV59" s="258">
        <v>8.17</v>
      </c>
      <c r="AW59" s="124">
        <v>0</v>
      </c>
      <c r="AX59" s="124">
        <v>11.38</v>
      </c>
      <c r="AY59" s="314">
        <v>0</v>
      </c>
      <c r="AZ59" s="124">
        <v>0</v>
      </c>
      <c r="BA59" s="124">
        <v>0</v>
      </c>
      <c r="BB59" s="124">
        <v>0</v>
      </c>
      <c r="BC59" s="124">
        <v>0</v>
      </c>
      <c r="BD59" s="314">
        <v>0</v>
      </c>
      <c r="BE59" s="124">
        <v>0</v>
      </c>
      <c r="BF59" s="124">
        <v>0</v>
      </c>
      <c r="BG59" s="314">
        <v>0</v>
      </c>
      <c r="BH59" s="124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0</v>
      </c>
      <c r="BT59" s="124">
        <v>0</v>
      </c>
      <c r="BU59" s="124">
        <v>0</v>
      </c>
      <c r="BV59" s="124">
        <v>0</v>
      </c>
      <c r="BW59" s="124">
        <v>0</v>
      </c>
      <c r="BX59" s="124">
        <v>0</v>
      </c>
      <c r="BY59" s="124">
        <v>10.98</v>
      </c>
      <c r="BZ59" s="314">
        <v>10.98</v>
      </c>
      <c r="CA59" s="124">
        <v>0</v>
      </c>
      <c r="CB59" s="272">
        <v>0</v>
      </c>
      <c r="CC59" s="272">
        <v>19</v>
      </c>
      <c r="CD59" s="272">
        <v>0</v>
      </c>
      <c r="CE59" s="272">
        <v>0</v>
      </c>
      <c r="CF59" s="272">
        <v>22</v>
      </c>
      <c r="CG59" s="272">
        <v>15.84</v>
      </c>
      <c r="CH59" s="272">
        <v>15.84</v>
      </c>
      <c r="CI59" s="400">
        <f t="shared" si="3"/>
        <v>114.19000000000001</v>
      </c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  <c r="DI59" s="269"/>
      <c r="DJ59" s="269"/>
      <c r="DK59" s="269"/>
      <c r="DL59" s="269"/>
      <c r="DM59" s="269"/>
      <c r="DN59" s="269"/>
      <c r="DO59" s="269"/>
      <c r="DP59" s="269"/>
    </row>
    <row r="60" spans="1:120" ht="18.75" customHeight="1">
      <c r="A60" s="82"/>
      <c r="B60" s="82"/>
      <c r="C60" s="391">
        <v>37995.374999999513</v>
      </c>
      <c r="D60" s="257">
        <v>37995.416666666177</v>
      </c>
      <c r="E60" s="258">
        <v>0</v>
      </c>
      <c r="F60" s="124">
        <v>0</v>
      </c>
      <c r="G60" s="124">
        <v>0</v>
      </c>
      <c r="H60" s="314">
        <v>0</v>
      </c>
      <c r="I60" s="124">
        <v>0</v>
      </c>
      <c r="J60" s="124">
        <v>0</v>
      </c>
      <c r="K60" s="124">
        <v>0</v>
      </c>
      <c r="L60" s="124">
        <v>0</v>
      </c>
      <c r="M60" s="314">
        <v>0</v>
      </c>
      <c r="N60" s="124">
        <v>0</v>
      </c>
      <c r="O60" s="124">
        <v>0</v>
      </c>
      <c r="P60" s="314">
        <v>0</v>
      </c>
      <c r="Q60" s="124">
        <v>0</v>
      </c>
      <c r="R60" s="124">
        <v>0</v>
      </c>
      <c r="S60" s="124">
        <v>10.36</v>
      </c>
      <c r="T60" s="124">
        <v>10</v>
      </c>
      <c r="U60" s="124">
        <v>10</v>
      </c>
      <c r="V60" s="124">
        <v>17.29</v>
      </c>
      <c r="W60" s="124">
        <v>17.29</v>
      </c>
      <c r="X60" s="124">
        <v>0</v>
      </c>
      <c r="Y60" s="124">
        <v>2.62</v>
      </c>
      <c r="Z60" s="124">
        <v>2.62</v>
      </c>
      <c r="AA60" s="124">
        <v>0</v>
      </c>
      <c r="AB60" s="124">
        <v>0</v>
      </c>
      <c r="AC60" s="124">
        <v>0</v>
      </c>
      <c r="AD60" s="124">
        <v>2.78</v>
      </c>
      <c r="AE60" s="124">
        <v>2.78</v>
      </c>
      <c r="AF60" s="124">
        <v>2.75</v>
      </c>
      <c r="AG60" s="124">
        <v>2.75</v>
      </c>
      <c r="AH60" s="124">
        <v>0</v>
      </c>
      <c r="AI60" s="314">
        <v>0</v>
      </c>
      <c r="AJ60" s="124">
        <v>22.8</v>
      </c>
      <c r="AK60" s="272">
        <v>13.9</v>
      </c>
      <c r="AL60" s="272">
        <v>15.9</v>
      </c>
      <c r="AM60" s="272">
        <v>5.08</v>
      </c>
      <c r="AN60" s="272">
        <v>0</v>
      </c>
      <c r="AO60" s="272">
        <v>0</v>
      </c>
      <c r="AP60" s="272">
        <v>0</v>
      </c>
      <c r="AQ60" s="272">
        <v>0</v>
      </c>
      <c r="AR60" s="400">
        <f t="shared" si="2"/>
        <v>138.92000000000002</v>
      </c>
      <c r="AS60" s="269"/>
      <c r="AT60" s="391">
        <v>37995.374999999513</v>
      </c>
      <c r="AU60" s="257">
        <v>37995.416666666177</v>
      </c>
      <c r="AV60" s="258">
        <v>4.24</v>
      </c>
      <c r="AW60" s="124">
        <v>19.690000000000001</v>
      </c>
      <c r="AX60" s="124">
        <v>11.38</v>
      </c>
      <c r="AY60" s="314">
        <v>0</v>
      </c>
      <c r="AZ60" s="124">
        <v>0</v>
      </c>
      <c r="BA60" s="124">
        <v>0</v>
      </c>
      <c r="BB60" s="124">
        <v>0</v>
      </c>
      <c r="BC60" s="124">
        <v>0</v>
      </c>
      <c r="BD60" s="314">
        <v>0</v>
      </c>
      <c r="BE60" s="124">
        <v>0</v>
      </c>
      <c r="BF60" s="124">
        <v>0</v>
      </c>
      <c r="BG60" s="314">
        <v>0</v>
      </c>
      <c r="BH60" s="124">
        <v>0</v>
      </c>
      <c r="BI60" s="124">
        <v>0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0</v>
      </c>
      <c r="BT60" s="124">
        <v>0</v>
      </c>
      <c r="BU60" s="124">
        <v>0</v>
      </c>
      <c r="BV60" s="124">
        <v>0</v>
      </c>
      <c r="BW60" s="124">
        <v>0</v>
      </c>
      <c r="BX60" s="124">
        <v>0</v>
      </c>
      <c r="BY60" s="124">
        <v>10.98</v>
      </c>
      <c r="BZ60" s="314">
        <v>10.98</v>
      </c>
      <c r="CA60" s="124">
        <v>0</v>
      </c>
      <c r="CB60" s="272">
        <v>0</v>
      </c>
      <c r="CC60" s="272">
        <v>0</v>
      </c>
      <c r="CD60" s="272">
        <v>0</v>
      </c>
      <c r="CE60" s="272">
        <v>0</v>
      </c>
      <c r="CF60" s="272">
        <v>22</v>
      </c>
      <c r="CG60" s="272">
        <v>15.84</v>
      </c>
      <c r="CH60" s="272">
        <v>15.84</v>
      </c>
      <c r="CI60" s="400">
        <f t="shared" si="3"/>
        <v>110.95000000000002</v>
      </c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  <c r="DI60" s="269"/>
      <c r="DJ60" s="269"/>
      <c r="DK60" s="269"/>
      <c r="DL60" s="269"/>
      <c r="DM60" s="269"/>
      <c r="DN60" s="269"/>
      <c r="DO60" s="269"/>
      <c r="DP60" s="269"/>
    </row>
    <row r="61" spans="1:120" ht="18.75" customHeight="1">
      <c r="A61" s="82"/>
      <c r="B61" s="82"/>
      <c r="C61" s="392">
        <v>37995.416666666177</v>
      </c>
      <c r="D61" s="260">
        <v>37995.458333332841</v>
      </c>
      <c r="E61" s="261">
        <v>0</v>
      </c>
      <c r="F61" s="125">
        <v>0</v>
      </c>
      <c r="G61" s="125">
        <v>0</v>
      </c>
      <c r="H61" s="315">
        <v>0</v>
      </c>
      <c r="I61" s="125">
        <v>0</v>
      </c>
      <c r="J61" s="125">
        <v>0</v>
      </c>
      <c r="K61" s="125">
        <v>0</v>
      </c>
      <c r="L61" s="125">
        <v>0</v>
      </c>
      <c r="M61" s="315">
        <v>0</v>
      </c>
      <c r="N61" s="125">
        <v>0</v>
      </c>
      <c r="O61" s="125">
        <v>0</v>
      </c>
      <c r="P61" s="315">
        <v>0</v>
      </c>
      <c r="Q61" s="125">
        <v>0</v>
      </c>
      <c r="R61" s="125">
        <v>0</v>
      </c>
      <c r="S61" s="125">
        <v>0</v>
      </c>
      <c r="T61" s="125">
        <v>10</v>
      </c>
      <c r="U61" s="125">
        <v>9.82</v>
      </c>
      <c r="V61" s="125">
        <v>17.29</v>
      </c>
      <c r="W61" s="125">
        <v>17.29</v>
      </c>
      <c r="X61" s="125">
        <v>8.31</v>
      </c>
      <c r="Y61" s="125">
        <v>2.62</v>
      </c>
      <c r="Z61" s="125">
        <v>2.62</v>
      </c>
      <c r="AA61" s="125">
        <v>0</v>
      </c>
      <c r="AB61" s="125">
        <v>0</v>
      </c>
      <c r="AC61" s="125">
        <v>0</v>
      </c>
      <c r="AD61" s="125">
        <v>2.78</v>
      </c>
      <c r="AE61" s="125">
        <v>2.78</v>
      </c>
      <c r="AF61" s="125">
        <v>2.75</v>
      </c>
      <c r="AG61" s="125">
        <v>2.75</v>
      </c>
      <c r="AH61" s="125">
        <v>0</v>
      </c>
      <c r="AI61" s="315">
        <v>0</v>
      </c>
      <c r="AJ61" s="125">
        <v>22.8</v>
      </c>
      <c r="AK61" s="273">
        <v>22.8</v>
      </c>
      <c r="AL61" s="273">
        <v>4.55</v>
      </c>
      <c r="AM61" s="273">
        <v>5.08</v>
      </c>
      <c r="AN61" s="273">
        <v>0</v>
      </c>
      <c r="AO61" s="273">
        <v>0</v>
      </c>
      <c r="AP61" s="273">
        <v>0</v>
      </c>
      <c r="AQ61" s="273">
        <v>0</v>
      </c>
      <c r="AR61" s="401">
        <f t="shared" si="2"/>
        <v>134.24</v>
      </c>
      <c r="AS61" s="269"/>
      <c r="AT61" s="392">
        <v>37995.416666666177</v>
      </c>
      <c r="AU61" s="260">
        <v>37995.458333332841</v>
      </c>
      <c r="AV61" s="261">
        <v>15.72</v>
      </c>
      <c r="AW61" s="125">
        <v>19.690000000000001</v>
      </c>
      <c r="AX61" s="125">
        <v>11.38</v>
      </c>
      <c r="AY61" s="315">
        <v>0</v>
      </c>
      <c r="AZ61" s="125">
        <v>0</v>
      </c>
      <c r="BA61" s="125">
        <v>0</v>
      </c>
      <c r="BB61" s="125">
        <v>0</v>
      </c>
      <c r="BC61" s="125">
        <v>0</v>
      </c>
      <c r="BD61" s="315">
        <v>0</v>
      </c>
      <c r="BE61" s="125">
        <v>0</v>
      </c>
      <c r="BF61" s="125">
        <v>0</v>
      </c>
      <c r="BG61" s="31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0</v>
      </c>
      <c r="BW61" s="125">
        <v>0</v>
      </c>
      <c r="BX61" s="125">
        <v>0</v>
      </c>
      <c r="BY61" s="125">
        <v>10.98</v>
      </c>
      <c r="BZ61" s="315">
        <v>10.98</v>
      </c>
      <c r="CA61" s="125">
        <v>0</v>
      </c>
      <c r="CB61" s="273">
        <v>0</v>
      </c>
      <c r="CC61" s="273">
        <v>14.45</v>
      </c>
      <c r="CD61" s="273">
        <v>0</v>
      </c>
      <c r="CE61" s="273">
        <v>0</v>
      </c>
      <c r="CF61" s="273">
        <v>22</v>
      </c>
      <c r="CG61" s="273">
        <v>1</v>
      </c>
      <c r="CH61" s="273">
        <v>1</v>
      </c>
      <c r="CI61" s="401">
        <f t="shared" si="3"/>
        <v>107.20000000000002</v>
      </c>
      <c r="CJ61" s="269"/>
      <c r="CK61" s="269"/>
      <c r="CL61" s="269"/>
      <c r="CM61" s="269"/>
      <c r="CN61" s="269"/>
      <c r="CO61" s="269"/>
      <c r="CP61" s="269"/>
      <c r="CQ61" s="269"/>
      <c r="CR61" s="269"/>
      <c r="CS61" s="269"/>
      <c r="CT61" s="269"/>
      <c r="CU61" s="269"/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  <c r="DI61" s="269"/>
      <c r="DJ61" s="269"/>
      <c r="DK61" s="269"/>
      <c r="DL61" s="269"/>
      <c r="DM61" s="269"/>
      <c r="DN61" s="269"/>
      <c r="DO61" s="269"/>
      <c r="DP61" s="269"/>
    </row>
    <row r="62" spans="1:120" ht="18.75" customHeight="1">
      <c r="A62" s="82"/>
      <c r="B62" s="82"/>
      <c r="C62" s="392">
        <v>37995.458333332841</v>
      </c>
      <c r="D62" s="260">
        <v>37995.499999999505</v>
      </c>
      <c r="E62" s="261">
        <v>0</v>
      </c>
      <c r="F62" s="125">
        <v>0</v>
      </c>
      <c r="G62" s="125">
        <v>10.02</v>
      </c>
      <c r="H62" s="315">
        <v>0</v>
      </c>
      <c r="I62" s="125">
        <v>0</v>
      </c>
      <c r="J62" s="125">
        <v>0</v>
      </c>
      <c r="K62" s="125">
        <v>0</v>
      </c>
      <c r="L62" s="125">
        <v>0</v>
      </c>
      <c r="M62" s="315">
        <v>0</v>
      </c>
      <c r="N62" s="125">
        <v>0</v>
      </c>
      <c r="O62" s="125">
        <v>0</v>
      </c>
      <c r="P62" s="315">
        <v>0</v>
      </c>
      <c r="Q62" s="125">
        <v>0</v>
      </c>
      <c r="R62" s="125">
        <v>0</v>
      </c>
      <c r="S62" s="125">
        <v>0</v>
      </c>
      <c r="T62" s="125">
        <v>10</v>
      </c>
      <c r="U62" s="125">
        <v>6.67</v>
      </c>
      <c r="V62" s="125">
        <v>17.29</v>
      </c>
      <c r="W62" s="125">
        <v>17.29</v>
      </c>
      <c r="X62" s="125">
        <v>8.31</v>
      </c>
      <c r="Y62" s="125">
        <v>2.62</v>
      </c>
      <c r="Z62" s="125">
        <v>2.62</v>
      </c>
      <c r="AA62" s="125">
        <v>0</v>
      </c>
      <c r="AB62" s="125">
        <v>0</v>
      </c>
      <c r="AC62" s="125">
        <v>0</v>
      </c>
      <c r="AD62" s="125">
        <v>2.78</v>
      </c>
      <c r="AE62" s="125">
        <v>2.78</v>
      </c>
      <c r="AF62" s="125">
        <v>2.75</v>
      </c>
      <c r="AG62" s="125">
        <v>2.75</v>
      </c>
      <c r="AH62" s="125">
        <v>0</v>
      </c>
      <c r="AI62" s="315">
        <v>0</v>
      </c>
      <c r="AJ62" s="125">
        <v>22.8</v>
      </c>
      <c r="AK62" s="273">
        <v>22.8</v>
      </c>
      <c r="AL62" s="273">
        <v>1</v>
      </c>
      <c r="AM62" s="273">
        <v>5.08</v>
      </c>
      <c r="AN62" s="273">
        <v>0</v>
      </c>
      <c r="AO62" s="273">
        <v>0</v>
      </c>
      <c r="AP62" s="273">
        <v>0</v>
      </c>
      <c r="AQ62" s="273">
        <v>0</v>
      </c>
      <c r="AR62" s="401">
        <f t="shared" si="2"/>
        <v>137.56000000000003</v>
      </c>
      <c r="AS62" s="269"/>
      <c r="AT62" s="392">
        <v>37995.458333332841</v>
      </c>
      <c r="AU62" s="260">
        <v>37995.499999999505</v>
      </c>
      <c r="AV62" s="261">
        <v>12.11</v>
      </c>
      <c r="AW62" s="125">
        <v>0</v>
      </c>
      <c r="AX62" s="125">
        <v>1.36</v>
      </c>
      <c r="AY62" s="315">
        <v>0</v>
      </c>
      <c r="AZ62" s="125">
        <v>0</v>
      </c>
      <c r="BA62" s="125">
        <v>0</v>
      </c>
      <c r="BB62" s="125">
        <v>0</v>
      </c>
      <c r="BC62" s="125">
        <v>0</v>
      </c>
      <c r="BD62" s="315">
        <v>0</v>
      </c>
      <c r="BE62" s="125">
        <v>0</v>
      </c>
      <c r="BF62" s="125">
        <v>0</v>
      </c>
      <c r="BG62" s="315">
        <v>0</v>
      </c>
      <c r="BH62" s="125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0</v>
      </c>
      <c r="BT62" s="125">
        <v>0</v>
      </c>
      <c r="BU62" s="125">
        <v>0</v>
      </c>
      <c r="BV62" s="125">
        <v>0</v>
      </c>
      <c r="BW62" s="125">
        <v>0</v>
      </c>
      <c r="BX62" s="125">
        <v>0</v>
      </c>
      <c r="BY62" s="125">
        <v>10.98</v>
      </c>
      <c r="BZ62" s="315">
        <v>10.98</v>
      </c>
      <c r="CA62" s="125">
        <v>0</v>
      </c>
      <c r="CB62" s="273">
        <v>0</v>
      </c>
      <c r="CC62" s="273">
        <v>18</v>
      </c>
      <c r="CD62" s="273">
        <v>0</v>
      </c>
      <c r="CE62" s="273">
        <v>22</v>
      </c>
      <c r="CF62" s="273">
        <v>0</v>
      </c>
      <c r="CG62" s="273">
        <v>15.84</v>
      </c>
      <c r="CH62" s="273">
        <v>15.84</v>
      </c>
      <c r="CI62" s="401">
        <f t="shared" si="3"/>
        <v>107.11000000000001</v>
      </c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  <c r="DO62" s="269"/>
      <c r="DP62" s="269"/>
    </row>
    <row r="63" spans="1:120" ht="18.75" customHeight="1">
      <c r="A63" s="82"/>
      <c r="B63" s="82"/>
      <c r="C63" s="392">
        <v>37995.499999999505</v>
      </c>
      <c r="D63" s="260">
        <v>37995.541666666169</v>
      </c>
      <c r="E63" s="261">
        <v>0</v>
      </c>
      <c r="F63" s="125">
        <v>0</v>
      </c>
      <c r="G63" s="125">
        <v>0</v>
      </c>
      <c r="H63" s="315">
        <v>0</v>
      </c>
      <c r="I63" s="125">
        <v>0</v>
      </c>
      <c r="J63" s="125">
        <v>0</v>
      </c>
      <c r="K63" s="125">
        <v>0</v>
      </c>
      <c r="L63" s="125">
        <v>0</v>
      </c>
      <c r="M63" s="315">
        <v>0</v>
      </c>
      <c r="N63" s="125">
        <v>0</v>
      </c>
      <c r="O63" s="125">
        <v>0</v>
      </c>
      <c r="P63" s="315">
        <v>0</v>
      </c>
      <c r="Q63" s="125">
        <v>0</v>
      </c>
      <c r="R63" s="125">
        <v>0</v>
      </c>
      <c r="S63" s="125">
        <v>0</v>
      </c>
      <c r="T63" s="125">
        <v>10</v>
      </c>
      <c r="U63" s="125">
        <v>10</v>
      </c>
      <c r="V63" s="125">
        <v>17.29</v>
      </c>
      <c r="W63" s="125">
        <v>17.29</v>
      </c>
      <c r="X63" s="125">
        <v>5.52</v>
      </c>
      <c r="Y63" s="125">
        <v>2.62</v>
      </c>
      <c r="Z63" s="125">
        <v>2.62</v>
      </c>
      <c r="AA63" s="125">
        <v>0</v>
      </c>
      <c r="AB63" s="125">
        <v>0</v>
      </c>
      <c r="AC63" s="125">
        <v>0</v>
      </c>
      <c r="AD63" s="125">
        <v>2.78</v>
      </c>
      <c r="AE63" s="125">
        <v>2.78</v>
      </c>
      <c r="AF63" s="125">
        <v>2.75</v>
      </c>
      <c r="AG63" s="125">
        <v>2.75</v>
      </c>
      <c r="AH63" s="125">
        <v>0</v>
      </c>
      <c r="AI63" s="315">
        <v>0</v>
      </c>
      <c r="AJ63" s="125">
        <v>22.8</v>
      </c>
      <c r="AK63" s="273">
        <v>22.8</v>
      </c>
      <c r="AL63" s="273">
        <v>10.98</v>
      </c>
      <c r="AM63" s="273">
        <v>5.08</v>
      </c>
      <c r="AN63" s="273">
        <v>0</v>
      </c>
      <c r="AO63" s="273">
        <v>0</v>
      </c>
      <c r="AP63" s="273">
        <v>0</v>
      </c>
      <c r="AQ63" s="273">
        <v>0</v>
      </c>
      <c r="AR63" s="401">
        <f t="shared" si="2"/>
        <v>138.06</v>
      </c>
      <c r="AS63" s="269"/>
      <c r="AT63" s="392">
        <v>37995.499999999505</v>
      </c>
      <c r="AU63" s="260">
        <v>37995.541666666169</v>
      </c>
      <c r="AV63" s="261">
        <v>6.22</v>
      </c>
      <c r="AW63" s="125">
        <v>19.690000000000001</v>
      </c>
      <c r="AX63" s="125">
        <v>11.38</v>
      </c>
      <c r="AY63" s="315">
        <v>0</v>
      </c>
      <c r="AZ63" s="125">
        <v>0</v>
      </c>
      <c r="BA63" s="125">
        <v>0</v>
      </c>
      <c r="BB63" s="125">
        <v>0</v>
      </c>
      <c r="BC63" s="125">
        <v>0</v>
      </c>
      <c r="BD63" s="315">
        <v>0</v>
      </c>
      <c r="BE63" s="125">
        <v>0</v>
      </c>
      <c r="BF63" s="125">
        <v>0</v>
      </c>
      <c r="BG63" s="315">
        <v>0</v>
      </c>
      <c r="BH63" s="125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0</v>
      </c>
      <c r="BO63" s="125">
        <v>0</v>
      </c>
      <c r="BP63" s="125">
        <v>0</v>
      </c>
      <c r="BQ63" s="125">
        <v>0</v>
      </c>
      <c r="BR63" s="125">
        <v>0</v>
      </c>
      <c r="BS63" s="125">
        <v>0</v>
      </c>
      <c r="BT63" s="125">
        <v>0</v>
      </c>
      <c r="BU63" s="125">
        <v>0</v>
      </c>
      <c r="BV63" s="125">
        <v>0</v>
      </c>
      <c r="BW63" s="125">
        <v>0</v>
      </c>
      <c r="BX63" s="125">
        <v>0</v>
      </c>
      <c r="BY63" s="125">
        <v>10.98</v>
      </c>
      <c r="BZ63" s="315">
        <v>10.98</v>
      </c>
      <c r="CA63" s="125">
        <v>0</v>
      </c>
      <c r="CB63" s="273">
        <v>0</v>
      </c>
      <c r="CC63" s="273">
        <v>8.02</v>
      </c>
      <c r="CD63" s="273">
        <v>0</v>
      </c>
      <c r="CE63" s="273">
        <v>22</v>
      </c>
      <c r="CF63" s="273">
        <v>0</v>
      </c>
      <c r="CG63" s="273">
        <v>0</v>
      </c>
      <c r="CH63" s="273">
        <v>15.84</v>
      </c>
      <c r="CI63" s="401">
        <f t="shared" si="3"/>
        <v>105.11</v>
      </c>
      <c r="CJ63" s="269"/>
      <c r="CK63" s="269"/>
      <c r="CL63" s="269"/>
      <c r="CM63" s="269"/>
      <c r="CN63" s="269"/>
      <c r="CO63" s="269"/>
      <c r="CP63" s="269"/>
      <c r="CQ63" s="269"/>
      <c r="CR63" s="269"/>
      <c r="CS63" s="269"/>
      <c r="CT63" s="269"/>
      <c r="CU63" s="269"/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  <c r="DI63" s="269"/>
      <c r="DJ63" s="269"/>
      <c r="DK63" s="269"/>
      <c r="DL63" s="269"/>
      <c r="DM63" s="269"/>
      <c r="DN63" s="269"/>
      <c r="DO63" s="269"/>
      <c r="DP63" s="269"/>
    </row>
    <row r="64" spans="1:120" ht="18.75" customHeight="1">
      <c r="A64" s="82"/>
      <c r="B64" s="82"/>
      <c r="C64" s="391">
        <v>37995.541666666169</v>
      </c>
      <c r="D64" s="257">
        <v>37995.583333332834</v>
      </c>
      <c r="E64" s="258">
        <v>0</v>
      </c>
      <c r="F64" s="124">
        <v>0</v>
      </c>
      <c r="G64" s="124">
        <v>0</v>
      </c>
      <c r="H64" s="314">
        <v>10.3</v>
      </c>
      <c r="I64" s="124">
        <v>0</v>
      </c>
      <c r="J64" s="124">
        <v>10.3</v>
      </c>
      <c r="K64" s="124">
        <v>0</v>
      </c>
      <c r="L64" s="124">
        <v>0</v>
      </c>
      <c r="M64" s="314">
        <v>0</v>
      </c>
      <c r="N64" s="124">
        <v>0</v>
      </c>
      <c r="O64" s="124">
        <v>0</v>
      </c>
      <c r="P64" s="314">
        <v>10.3</v>
      </c>
      <c r="Q64" s="124">
        <v>10.1</v>
      </c>
      <c r="R64" s="124">
        <v>10.36</v>
      </c>
      <c r="S64" s="124">
        <v>10.36</v>
      </c>
      <c r="T64" s="124">
        <v>10</v>
      </c>
      <c r="U64" s="124">
        <v>10</v>
      </c>
      <c r="V64" s="124">
        <v>17.29</v>
      </c>
      <c r="W64" s="124">
        <v>17.29</v>
      </c>
      <c r="X64" s="124">
        <v>3.05</v>
      </c>
      <c r="Y64" s="124">
        <v>2.62</v>
      </c>
      <c r="Z64" s="124">
        <v>2.62</v>
      </c>
      <c r="AA64" s="124">
        <v>0</v>
      </c>
      <c r="AB64" s="124">
        <v>0</v>
      </c>
      <c r="AC64" s="124">
        <v>0</v>
      </c>
      <c r="AD64" s="124">
        <v>2.78</v>
      </c>
      <c r="AE64" s="124">
        <v>2.78</v>
      </c>
      <c r="AF64" s="124">
        <v>2.75</v>
      </c>
      <c r="AG64" s="124">
        <v>2.75</v>
      </c>
      <c r="AH64" s="124">
        <v>0</v>
      </c>
      <c r="AI64" s="314">
        <v>0</v>
      </c>
      <c r="AJ64" s="124">
        <v>4.34</v>
      </c>
      <c r="AK64" s="272">
        <v>0</v>
      </c>
      <c r="AL64" s="272">
        <v>0</v>
      </c>
      <c r="AM64" s="272">
        <v>5.08</v>
      </c>
      <c r="AN64" s="272">
        <v>0</v>
      </c>
      <c r="AO64" s="272">
        <v>0</v>
      </c>
      <c r="AP64" s="272">
        <v>0</v>
      </c>
      <c r="AQ64" s="272">
        <v>0</v>
      </c>
      <c r="AR64" s="400">
        <f t="shared" si="2"/>
        <v>145.07</v>
      </c>
      <c r="AS64" s="269"/>
      <c r="AT64" s="391">
        <v>37995.541666666169</v>
      </c>
      <c r="AU64" s="257">
        <v>37995.583333332834</v>
      </c>
      <c r="AV64" s="258">
        <v>16.82</v>
      </c>
      <c r="AW64" s="124">
        <v>0</v>
      </c>
      <c r="AX64" s="124">
        <v>11.38</v>
      </c>
      <c r="AY64" s="314">
        <v>0</v>
      </c>
      <c r="AZ64" s="124">
        <v>0</v>
      </c>
      <c r="BA64" s="124">
        <v>0</v>
      </c>
      <c r="BB64" s="124">
        <v>0</v>
      </c>
      <c r="BC64" s="124">
        <v>0</v>
      </c>
      <c r="BD64" s="314">
        <v>0</v>
      </c>
      <c r="BE64" s="124">
        <v>0</v>
      </c>
      <c r="BF64" s="124">
        <v>0</v>
      </c>
      <c r="BG64" s="31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0</v>
      </c>
      <c r="BQ64" s="124">
        <v>0</v>
      </c>
      <c r="BR64" s="124">
        <v>0</v>
      </c>
      <c r="BS64" s="124">
        <v>0</v>
      </c>
      <c r="BT64" s="124">
        <v>0</v>
      </c>
      <c r="BU64" s="124">
        <v>0</v>
      </c>
      <c r="BV64" s="124">
        <v>0</v>
      </c>
      <c r="BW64" s="124">
        <v>0</v>
      </c>
      <c r="BX64" s="124">
        <v>0</v>
      </c>
      <c r="BY64" s="124">
        <v>10.98</v>
      </c>
      <c r="BZ64" s="314">
        <v>10.98</v>
      </c>
      <c r="CA64" s="124">
        <v>0</v>
      </c>
      <c r="CB64" s="272">
        <v>0</v>
      </c>
      <c r="CC64" s="272">
        <v>19</v>
      </c>
      <c r="CD64" s="272">
        <v>0</v>
      </c>
      <c r="CE64" s="272">
        <v>22</v>
      </c>
      <c r="CF64" s="272">
        <v>22</v>
      </c>
      <c r="CG64" s="272">
        <v>0</v>
      </c>
      <c r="CH64" s="272">
        <v>0</v>
      </c>
      <c r="CI64" s="400">
        <f t="shared" si="3"/>
        <v>113.16000000000001</v>
      </c>
      <c r="CJ64" s="269"/>
      <c r="CK64" s="269"/>
      <c r="CL64" s="269"/>
      <c r="CM64" s="269"/>
      <c r="CN64" s="269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  <c r="DI64" s="269"/>
      <c r="DJ64" s="269"/>
      <c r="DK64" s="269"/>
      <c r="DL64" s="269"/>
      <c r="DM64" s="269"/>
      <c r="DN64" s="269"/>
      <c r="DO64" s="269"/>
      <c r="DP64" s="269"/>
    </row>
    <row r="65" spans="1:120" ht="18.75" customHeight="1">
      <c r="A65" s="82"/>
      <c r="B65" s="82"/>
      <c r="C65" s="391">
        <v>37995.583333332834</v>
      </c>
      <c r="D65" s="257">
        <v>37995.624999999498</v>
      </c>
      <c r="E65" s="258">
        <v>0</v>
      </c>
      <c r="F65" s="124">
        <v>0</v>
      </c>
      <c r="G65" s="124">
        <v>0</v>
      </c>
      <c r="H65" s="314">
        <v>10.3</v>
      </c>
      <c r="I65" s="124">
        <v>0</v>
      </c>
      <c r="J65" s="124">
        <v>10.3</v>
      </c>
      <c r="K65" s="124">
        <v>10.3</v>
      </c>
      <c r="L65" s="124">
        <v>0</v>
      </c>
      <c r="M65" s="314">
        <v>0</v>
      </c>
      <c r="N65" s="124">
        <v>0</v>
      </c>
      <c r="O65" s="124">
        <v>10.3</v>
      </c>
      <c r="P65" s="314">
        <v>0</v>
      </c>
      <c r="Q65" s="124">
        <v>10.1</v>
      </c>
      <c r="R65" s="124">
        <v>10.36</v>
      </c>
      <c r="S65" s="124">
        <v>10.36</v>
      </c>
      <c r="T65" s="124">
        <v>10</v>
      </c>
      <c r="U65" s="124">
        <v>6.04</v>
      </c>
      <c r="V65" s="124">
        <v>6.52</v>
      </c>
      <c r="W65" s="124">
        <v>17.29</v>
      </c>
      <c r="X65" s="124">
        <v>3.05</v>
      </c>
      <c r="Y65" s="124">
        <v>2.62</v>
      </c>
      <c r="Z65" s="124">
        <v>2.62</v>
      </c>
      <c r="AA65" s="124">
        <v>3.67</v>
      </c>
      <c r="AB65" s="124">
        <v>3.67</v>
      </c>
      <c r="AC65" s="124">
        <v>3.67</v>
      </c>
      <c r="AD65" s="124">
        <v>2.78</v>
      </c>
      <c r="AE65" s="124">
        <v>2.78</v>
      </c>
      <c r="AF65" s="124">
        <v>2.75</v>
      </c>
      <c r="AG65" s="124">
        <v>2.75</v>
      </c>
      <c r="AH65" s="124">
        <v>0</v>
      </c>
      <c r="AI65" s="314">
        <v>0</v>
      </c>
      <c r="AJ65" s="124">
        <v>0</v>
      </c>
      <c r="AK65" s="272">
        <v>0</v>
      </c>
      <c r="AL65" s="272">
        <v>0</v>
      </c>
      <c r="AM65" s="272">
        <v>5.08</v>
      </c>
      <c r="AN65" s="272">
        <v>0</v>
      </c>
      <c r="AO65" s="272">
        <v>0</v>
      </c>
      <c r="AP65" s="272">
        <v>0</v>
      </c>
      <c r="AQ65" s="272">
        <v>0</v>
      </c>
      <c r="AR65" s="400">
        <f t="shared" si="2"/>
        <v>147.31000000000003</v>
      </c>
      <c r="AS65" s="269"/>
      <c r="AT65" s="391">
        <v>37995.583333332834</v>
      </c>
      <c r="AU65" s="257">
        <v>37995.624999999498</v>
      </c>
      <c r="AV65" s="258">
        <v>8.5</v>
      </c>
      <c r="AW65" s="124">
        <v>0</v>
      </c>
      <c r="AX65" s="124">
        <v>11.38</v>
      </c>
      <c r="AY65" s="314">
        <v>0</v>
      </c>
      <c r="AZ65" s="124">
        <v>0</v>
      </c>
      <c r="BA65" s="124">
        <v>0</v>
      </c>
      <c r="BB65" s="124">
        <v>0</v>
      </c>
      <c r="BC65" s="124">
        <v>0</v>
      </c>
      <c r="BD65" s="314">
        <v>0</v>
      </c>
      <c r="BE65" s="124">
        <v>0</v>
      </c>
      <c r="BF65" s="124">
        <v>0</v>
      </c>
      <c r="BG65" s="314">
        <v>0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0</v>
      </c>
      <c r="BN65" s="124">
        <v>0</v>
      </c>
      <c r="BO65" s="124">
        <v>0</v>
      </c>
      <c r="BP65" s="124">
        <v>0</v>
      </c>
      <c r="BQ65" s="124">
        <v>0</v>
      </c>
      <c r="BR65" s="124">
        <v>0</v>
      </c>
      <c r="BS65" s="124">
        <v>0</v>
      </c>
      <c r="BT65" s="124">
        <v>0</v>
      </c>
      <c r="BU65" s="124">
        <v>0</v>
      </c>
      <c r="BV65" s="124">
        <v>0</v>
      </c>
      <c r="BW65" s="124">
        <v>0</v>
      </c>
      <c r="BX65" s="124">
        <v>0</v>
      </c>
      <c r="BY65" s="124">
        <v>10.98</v>
      </c>
      <c r="BZ65" s="314">
        <v>10.98</v>
      </c>
      <c r="CA65" s="124">
        <v>0</v>
      </c>
      <c r="CB65" s="272">
        <v>0</v>
      </c>
      <c r="CC65" s="272">
        <v>19</v>
      </c>
      <c r="CD65" s="272">
        <v>0</v>
      </c>
      <c r="CE65" s="272">
        <v>0</v>
      </c>
      <c r="CF65" s="272">
        <v>22</v>
      </c>
      <c r="CG65" s="272">
        <v>15.84</v>
      </c>
      <c r="CH65" s="272">
        <v>15.84</v>
      </c>
      <c r="CI65" s="400">
        <f t="shared" si="3"/>
        <v>114.52000000000001</v>
      </c>
      <c r="CJ65" s="269"/>
      <c r="CK65" s="269"/>
      <c r="CL65" s="269"/>
      <c r="CM65" s="269"/>
      <c r="CN65" s="269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  <c r="DI65" s="269"/>
      <c r="DJ65" s="269"/>
      <c r="DK65" s="269"/>
      <c r="DL65" s="269"/>
      <c r="DM65" s="269"/>
      <c r="DN65" s="269"/>
      <c r="DO65" s="269"/>
      <c r="DP65" s="269"/>
    </row>
    <row r="66" spans="1:120" ht="18.75" customHeight="1">
      <c r="A66" s="82"/>
      <c r="B66" s="82"/>
      <c r="C66" s="391">
        <v>37995.624999999498</v>
      </c>
      <c r="D66" s="257">
        <v>37995.666666666162</v>
      </c>
      <c r="E66" s="258">
        <v>0</v>
      </c>
      <c r="F66" s="124">
        <v>0</v>
      </c>
      <c r="G66" s="124">
        <v>0</v>
      </c>
      <c r="H66" s="314">
        <v>10.3</v>
      </c>
      <c r="I66" s="124">
        <v>0</v>
      </c>
      <c r="J66" s="124">
        <v>10.3</v>
      </c>
      <c r="K66" s="124">
        <v>10.3</v>
      </c>
      <c r="L66" s="124">
        <v>10.3</v>
      </c>
      <c r="M66" s="314">
        <v>0</v>
      </c>
      <c r="N66" s="124">
        <v>8.1</v>
      </c>
      <c r="O66" s="124">
        <v>10.3</v>
      </c>
      <c r="P66" s="314">
        <v>10.3</v>
      </c>
      <c r="Q66" s="124">
        <v>10.1</v>
      </c>
      <c r="R66" s="124">
        <v>10.36</v>
      </c>
      <c r="S66" s="124">
        <v>10.36</v>
      </c>
      <c r="T66" s="124">
        <v>10</v>
      </c>
      <c r="U66" s="124">
        <v>10</v>
      </c>
      <c r="V66" s="124">
        <v>0</v>
      </c>
      <c r="W66" s="124">
        <v>0</v>
      </c>
      <c r="X66" s="124">
        <v>3.05</v>
      </c>
      <c r="Y66" s="124">
        <v>2.62</v>
      </c>
      <c r="Z66" s="124">
        <v>2.62</v>
      </c>
      <c r="AA66" s="124">
        <v>3.67</v>
      </c>
      <c r="AB66" s="124">
        <v>3.67</v>
      </c>
      <c r="AC66" s="124">
        <v>3.67</v>
      </c>
      <c r="AD66" s="124">
        <v>2.78</v>
      </c>
      <c r="AE66" s="124">
        <v>2.78</v>
      </c>
      <c r="AF66" s="124">
        <v>2.75</v>
      </c>
      <c r="AG66" s="124">
        <v>2.75</v>
      </c>
      <c r="AH66" s="124">
        <v>0</v>
      </c>
      <c r="AI66" s="314">
        <v>0</v>
      </c>
      <c r="AJ66" s="124">
        <v>0</v>
      </c>
      <c r="AK66" s="272">
        <v>0</v>
      </c>
      <c r="AL66" s="272">
        <v>0</v>
      </c>
      <c r="AM66" s="272">
        <v>1.06</v>
      </c>
      <c r="AN66" s="272">
        <v>0</v>
      </c>
      <c r="AO66" s="272">
        <v>0</v>
      </c>
      <c r="AP66" s="272">
        <v>0</v>
      </c>
      <c r="AQ66" s="272">
        <v>0</v>
      </c>
      <c r="AR66" s="400">
        <f t="shared" si="2"/>
        <v>152.13999999999996</v>
      </c>
      <c r="AS66" s="269"/>
      <c r="AT66" s="391">
        <v>37995.624999999498</v>
      </c>
      <c r="AU66" s="257">
        <v>37995.666666666162</v>
      </c>
      <c r="AV66" s="258">
        <v>0</v>
      </c>
      <c r="AW66" s="124">
        <v>0</v>
      </c>
      <c r="AX66" s="124">
        <v>11.38</v>
      </c>
      <c r="AY66" s="314">
        <v>0</v>
      </c>
      <c r="AZ66" s="124">
        <v>0</v>
      </c>
      <c r="BA66" s="124">
        <v>0</v>
      </c>
      <c r="BB66" s="124">
        <v>0</v>
      </c>
      <c r="BC66" s="124">
        <v>0</v>
      </c>
      <c r="BD66" s="314">
        <v>0</v>
      </c>
      <c r="BE66" s="124">
        <v>0</v>
      </c>
      <c r="BF66" s="124">
        <v>0</v>
      </c>
      <c r="BG66" s="314">
        <v>0</v>
      </c>
      <c r="BH66" s="124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0</v>
      </c>
      <c r="BN66" s="124">
        <v>17.29</v>
      </c>
      <c r="BO66" s="124">
        <v>0</v>
      </c>
      <c r="BP66" s="124">
        <v>0</v>
      </c>
      <c r="BQ66" s="124">
        <v>0</v>
      </c>
      <c r="BR66" s="124">
        <v>0</v>
      </c>
      <c r="BS66" s="124">
        <v>0</v>
      </c>
      <c r="BT66" s="124">
        <v>0</v>
      </c>
      <c r="BU66" s="124">
        <v>0</v>
      </c>
      <c r="BV66" s="124">
        <v>0</v>
      </c>
      <c r="BW66" s="124">
        <v>0</v>
      </c>
      <c r="BX66" s="124">
        <v>0</v>
      </c>
      <c r="BY66" s="124">
        <v>10.98</v>
      </c>
      <c r="BZ66" s="314">
        <v>10.98</v>
      </c>
      <c r="CA66" s="124">
        <v>0</v>
      </c>
      <c r="CB66" s="272">
        <v>0</v>
      </c>
      <c r="CC66" s="272">
        <v>19</v>
      </c>
      <c r="CD66" s="272">
        <v>4.0199999999999996</v>
      </c>
      <c r="CE66" s="272">
        <v>12.26</v>
      </c>
      <c r="CF66" s="272">
        <v>22</v>
      </c>
      <c r="CG66" s="272">
        <v>15.84</v>
      </c>
      <c r="CH66" s="272">
        <v>0</v>
      </c>
      <c r="CI66" s="400">
        <f t="shared" si="3"/>
        <v>123.75000000000001</v>
      </c>
      <c r="CJ66" s="269"/>
      <c r="CK66" s="269"/>
      <c r="CL66" s="269"/>
      <c r="CM66" s="269"/>
      <c r="CN66" s="269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  <c r="DI66" s="269"/>
      <c r="DJ66" s="269"/>
      <c r="DK66" s="269"/>
      <c r="DL66" s="269"/>
      <c r="DM66" s="269"/>
      <c r="DN66" s="269"/>
      <c r="DO66" s="269"/>
      <c r="DP66" s="269"/>
    </row>
    <row r="67" spans="1:120" ht="18.75" customHeight="1">
      <c r="A67" s="82"/>
      <c r="B67" s="82"/>
      <c r="C67" s="391">
        <v>37995.666666666162</v>
      </c>
      <c r="D67" s="257">
        <v>37995.708333332826</v>
      </c>
      <c r="E67" s="258">
        <v>0</v>
      </c>
      <c r="F67" s="124">
        <v>0</v>
      </c>
      <c r="G67" s="124">
        <v>0</v>
      </c>
      <c r="H67" s="314">
        <v>10.3</v>
      </c>
      <c r="I67" s="124">
        <v>10.3</v>
      </c>
      <c r="J67" s="124">
        <v>10.3</v>
      </c>
      <c r="K67" s="124">
        <v>10.3</v>
      </c>
      <c r="L67" s="124">
        <v>10.3</v>
      </c>
      <c r="M67" s="314">
        <v>10.3</v>
      </c>
      <c r="N67" s="124">
        <v>8.1</v>
      </c>
      <c r="O67" s="124">
        <v>10.3</v>
      </c>
      <c r="P67" s="314">
        <v>10.3</v>
      </c>
      <c r="Q67" s="124">
        <v>10.1</v>
      </c>
      <c r="R67" s="124">
        <v>10.36</v>
      </c>
      <c r="S67" s="124">
        <v>10.36</v>
      </c>
      <c r="T67" s="124">
        <v>3.64</v>
      </c>
      <c r="U67" s="124">
        <v>0</v>
      </c>
      <c r="V67" s="124">
        <v>0</v>
      </c>
      <c r="W67" s="124">
        <v>0</v>
      </c>
      <c r="X67" s="124">
        <v>0</v>
      </c>
      <c r="Y67" s="124">
        <v>2.62</v>
      </c>
      <c r="Z67" s="124">
        <v>2.62</v>
      </c>
      <c r="AA67" s="124">
        <v>3.67</v>
      </c>
      <c r="AB67" s="124">
        <v>3.67</v>
      </c>
      <c r="AC67" s="124">
        <v>3.67</v>
      </c>
      <c r="AD67" s="124">
        <v>2.78</v>
      </c>
      <c r="AE67" s="124">
        <v>2.78</v>
      </c>
      <c r="AF67" s="124">
        <v>2.75</v>
      </c>
      <c r="AG67" s="124">
        <v>2.75</v>
      </c>
      <c r="AH67" s="124">
        <v>0</v>
      </c>
      <c r="AI67" s="314">
        <v>0</v>
      </c>
      <c r="AJ67" s="124">
        <v>0</v>
      </c>
      <c r="AK67" s="272">
        <v>0</v>
      </c>
      <c r="AL67" s="272">
        <v>0</v>
      </c>
      <c r="AM67" s="272">
        <v>0</v>
      </c>
      <c r="AN67" s="272">
        <v>0</v>
      </c>
      <c r="AO67" s="272">
        <v>0</v>
      </c>
      <c r="AP67" s="272">
        <v>0</v>
      </c>
      <c r="AQ67" s="272">
        <v>0</v>
      </c>
      <c r="AR67" s="400">
        <f t="shared" si="2"/>
        <v>152.26999999999995</v>
      </c>
      <c r="AS67" s="269"/>
      <c r="AT67" s="391">
        <v>37995.666666666162</v>
      </c>
      <c r="AU67" s="257">
        <v>37995.708333332826</v>
      </c>
      <c r="AV67" s="258">
        <v>13.96</v>
      </c>
      <c r="AW67" s="124">
        <v>0</v>
      </c>
      <c r="AX67" s="124">
        <v>11.38</v>
      </c>
      <c r="AY67" s="314">
        <v>0</v>
      </c>
      <c r="AZ67" s="124">
        <v>0</v>
      </c>
      <c r="BA67" s="124">
        <v>0</v>
      </c>
      <c r="BB67" s="124">
        <v>0</v>
      </c>
      <c r="BC67" s="124">
        <v>0</v>
      </c>
      <c r="BD67" s="314">
        <v>0</v>
      </c>
      <c r="BE67" s="124">
        <v>0</v>
      </c>
      <c r="BF67" s="124">
        <v>0</v>
      </c>
      <c r="BG67" s="314">
        <v>0</v>
      </c>
      <c r="BH67" s="124">
        <v>0</v>
      </c>
      <c r="BI67" s="124">
        <v>0</v>
      </c>
      <c r="BJ67" s="124">
        <v>0</v>
      </c>
      <c r="BK67" s="124">
        <v>0</v>
      </c>
      <c r="BL67" s="124">
        <v>0</v>
      </c>
      <c r="BM67" s="124">
        <v>0</v>
      </c>
      <c r="BN67" s="124">
        <v>17.29</v>
      </c>
      <c r="BO67" s="124">
        <v>0</v>
      </c>
      <c r="BP67" s="124">
        <v>0</v>
      </c>
      <c r="BQ67" s="124">
        <v>0</v>
      </c>
      <c r="BR67" s="124">
        <v>0</v>
      </c>
      <c r="BS67" s="124">
        <v>0</v>
      </c>
      <c r="BT67" s="124">
        <v>0</v>
      </c>
      <c r="BU67" s="124">
        <v>0</v>
      </c>
      <c r="BV67" s="124">
        <v>0</v>
      </c>
      <c r="BW67" s="124">
        <v>0</v>
      </c>
      <c r="BX67" s="124">
        <v>0</v>
      </c>
      <c r="BY67" s="124">
        <v>10.98</v>
      </c>
      <c r="BZ67" s="314">
        <v>10.98</v>
      </c>
      <c r="CA67" s="124">
        <v>0</v>
      </c>
      <c r="CB67" s="272">
        <v>0</v>
      </c>
      <c r="CC67" s="272">
        <v>19</v>
      </c>
      <c r="CD67" s="272">
        <v>5.08</v>
      </c>
      <c r="CE67" s="272">
        <v>22</v>
      </c>
      <c r="CF67" s="272">
        <v>0</v>
      </c>
      <c r="CG67" s="272">
        <v>1</v>
      </c>
      <c r="CH67" s="272">
        <v>15.84</v>
      </c>
      <c r="CI67" s="400">
        <f t="shared" si="3"/>
        <v>127.51</v>
      </c>
      <c r="CJ67" s="269"/>
      <c r="CK67" s="269"/>
      <c r="CL67" s="269"/>
      <c r="CM67" s="269"/>
      <c r="CN67" s="269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  <c r="DI67" s="269"/>
      <c r="DJ67" s="269"/>
      <c r="DK67" s="269"/>
      <c r="DL67" s="269"/>
      <c r="DM67" s="269"/>
      <c r="DN67" s="269"/>
      <c r="DO67" s="269"/>
      <c r="DP67" s="269"/>
    </row>
    <row r="68" spans="1:120" ht="18.75" customHeight="1">
      <c r="A68" s="82"/>
      <c r="B68" s="82"/>
      <c r="C68" s="391">
        <v>37995.708333332826</v>
      </c>
      <c r="D68" s="257">
        <v>37995.749999999491</v>
      </c>
      <c r="E68" s="258">
        <v>0</v>
      </c>
      <c r="F68" s="124">
        <v>0</v>
      </c>
      <c r="G68" s="124">
        <v>0</v>
      </c>
      <c r="H68" s="314">
        <v>10.3</v>
      </c>
      <c r="I68" s="124">
        <v>10.3</v>
      </c>
      <c r="J68" s="124">
        <v>10.3</v>
      </c>
      <c r="K68" s="124">
        <v>8.83</v>
      </c>
      <c r="L68" s="124">
        <v>10.3</v>
      </c>
      <c r="M68" s="314">
        <v>10.3</v>
      </c>
      <c r="N68" s="124">
        <v>0</v>
      </c>
      <c r="O68" s="124">
        <v>10.3</v>
      </c>
      <c r="P68" s="314">
        <v>1</v>
      </c>
      <c r="Q68" s="124">
        <v>10.1</v>
      </c>
      <c r="R68" s="124">
        <v>10.36</v>
      </c>
      <c r="S68" s="124">
        <v>10.36</v>
      </c>
      <c r="T68" s="124">
        <v>0</v>
      </c>
      <c r="U68" s="124">
        <v>0</v>
      </c>
      <c r="V68" s="124">
        <v>0</v>
      </c>
      <c r="W68" s="124">
        <v>0</v>
      </c>
      <c r="X68" s="124">
        <v>0</v>
      </c>
      <c r="Y68" s="124">
        <v>2.62</v>
      </c>
      <c r="Z68" s="124">
        <v>2.62</v>
      </c>
      <c r="AA68" s="124">
        <v>3.67</v>
      </c>
      <c r="AB68" s="124">
        <v>3.67</v>
      </c>
      <c r="AC68" s="124">
        <v>3.67</v>
      </c>
      <c r="AD68" s="124">
        <v>2.78</v>
      </c>
      <c r="AE68" s="124">
        <v>2.78</v>
      </c>
      <c r="AF68" s="124">
        <v>2.75</v>
      </c>
      <c r="AG68" s="124">
        <v>2.75</v>
      </c>
      <c r="AH68" s="124">
        <v>0</v>
      </c>
      <c r="AI68" s="314">
        <v>0</v>
      </c>
      <c r="AJ68" s="124">
        <v>0</v>
      </c>
      <c r="AK68" s="272">
        <v>0</v>
      </c>
      <c r="AL68" s="272">
        <v>0</v>
      </c>
      <c r="AM68" s="272">
        <v>0</v>
      </c>
      <c r="AN68" s="272">
        <v>0</v>
      </c>
      <c r="AO68" s="272">
        <v>0</v>
      </c>
      <c r="AP68" s="272">
        <v>0</v>
      </c>
      <c r="AQ68" s="272">
        <v>0</v>
      </c>
      <c r="AR68" s="400">
        <f t="shared" si="2"/>
        <v>129.76</v>
      </c>
      <c r="AS68" s="269"/>
      <c r="AT68" s="391">
        <v>37995.708333332826</v>
      </c>
      <c r="AU68" s="257">
        <v>37995.749999999491</v>
      </c>
      <c r="AV68" s="258">
        <v>13.55</v>
      </c>
      <c r="AW68" s="124">
        <v>0</v>
      </c>
      <c r="AX68" s="124">
        <v>11.38</v>
      </c>
      <c r="AY68" s="314">
        <v>0</v>
      </c>
      <c r="AZ68" s="124">
        <v>0</v>
      </c>
      <c r="BA68" s="124">
        <v>0</v>
      </c>
      <c r="BB68" s="124">
        <v>1.47</v>
      </c>
      <c r="BC68" s="124">
        <v>0</v>
      </c>
      <c r="BD68" s="314">
        <v>0</v>
      </c>
      <c r="BE68" s="124">
        <v>8.1</v>
      </c>
      <c r="BF68" s="124">
        <v>0</v>
      </c>
      <c r="BG68" s="314">
        <v>9.3000000000000007</v>
      </c>
      <c r="BH68" s="124">
        <v>0</v>
      </c>
      <c r="BI68" s="124">
        <v>0</v>
      </c>
      <c r="BJ68" s="124">
        <v>0</v>
      </c>
      <c r="BK68" s="124">
        <v>0</v>
      </c>
      <c r="BL68" s="124">
        <v>0</v>
      </c>
      <c r="BM68" s="124">
        <v>0</v>
      </c>
      <c r="BN68" s="124">
        <v>17.29</v>
      </c>
      <c r="BO68" s="124">
        <v>0</v>
      </c>
      <c r="BP68" s="124">
        <v>0</v>
      </c>
      <c r="BQ68" s="124">
        <v>0</v>
      </c>
      <c r="BR68" s="124">
        <v>0</v>
      </c>
      <c r="BS68" s="124">
        <v>0</v>
      </c>
      <c r="BT68" s="124">
        <v>0</v>
      </c>
      <c r="BU68" s="124">
        <v>0</v>
      </c>
      <c r="BV68" s="124">
        <v>0</v>
      </c>
      <c r="BW68" s="124">
        <v>0</v>
      </c>
      <c r="BX68" s="124">
        <v>0</v>
      </c>
      <c r="BY68" s="124">
        <v>10.98</v>
      </c>
      <c r="BZ68" s="314">
        <v>10.98</v>
      </c>
      <c r="CA68" s="124">
        <v>0</v>
      </c>
      <c r="CB68" s="272">
        <v>0</v>
      </c>
      <c r="CC68" s="272">
        <v>19</v>
      </c>
      <c r="CD68" s="272">
        <v>5.08</v>
      </c>
      <c r="CE68" s="272">
        <v>0</v>
      </c>
      <c r="CF68" s="272">
        <v>22</v>
      </c>
      <c r="CG68" s="272">
        <v>0</v>
      </c>
      <c r="CH68" s="272">
        <v>0</v>
      </c>
      <c r="CI68" s="400">
        <f t="shared" si="3"/>
        <v>129.13</v>
      </c>
      <c r="CJ68" s="269"/>
      <c r="CK68" s="269"/>
      <c r="CL68" s="269"/>
      <c r="CM68" s="269"/>
      <c r="CN68" s="269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  <c r="DI68" s="269"/>
      <c r="DJ68" s="269"/>
      <c r="DK68" s="269"/>
      <c r="DL68" s="269"/>
      <c r="DM68" s="269"/>
      <c r="DN68" s="269"/>
      <c r="DO68" s="269"/>
      <c r="DP68" s="269"/>
    </row>
    <row r="69" spans="1:120" ht="18.75" customHeight="1">
      <c r="A69" s="82"/>
      <c r="B69" s="82"/>
      <c r="C69" s="392">
        <v>37995.749999999491</v>
      </c>
      <c r="D69" s="260">
        <v>37995.791666666155</v>
      </c>
      <c r="E69" s="261">
        <v>0</v>
      </c>
      <c r="F69" s="125">
        <v>0</v>
      </c>
      <c r="G69" s="125">
        <v>0</v>
      </c>
      <c r="H69" s="315">
        <v>10.3</v>
      </c>
      <c r="I69" s="125">
        <v>0</v>
      </c>
      <c r="J69" s="125">
        <v>7.4</v>
      </c>
      <c r="K69" s="125">
        <v>10.3</v>
      </c>
      <c r="L69" s="125">
        <v>10.3</v>
      </c>
      <c r="M69" s="315">
        <v>10.3</v>
      </c>
      <c r="N69" s="125">
        <v>0</v>
      </c>
      <c r="O69" s="125">
        <v>10.3</v>
      </c>
      <c r="P69" s="315">
        <v>10.3</v>
      </c>
      <c r="Q69" s="125">
        <v>10.1</v>
      </c>
      <c r="R69" s="125">
        <v>10.36</v>
      </c>
      <c r="S69" s="125">
        <v>10.36</v>
      </c>
      <c r="T69" s="125">
        <v>0</v>
      </c>
      <c r="U69" s="125">
        <v>0</v>
      </c>
      <c r="V69" s="125">
        <v>0</v>
      </c>
      <c r="W69" s="125">
        <v>0</v>
      </c>
      <c r="X69" s="125">
        <v>0</v>
      </c>
      <c r="Y69" s="125">
        <v>0</v>
      </c>
      <c r="Z69" s="125">
        <v>0</v>
      </c>
      <c r="AA69" s="125">
        <v>3.67</v>
      </c>
      <c r="AB69" s="125">
        <v>3.67</v>
      </c>
      <c r="AC69" s="125">
        <v>3.67</v>
      </c>
      <c r="AD69" s="125">
        <v>2.78</v>
      </c>
      <c r="AE69" s="125">
        <v>2.78</v>
      </c>
      <c r="AF69" s="125">
        <v>2.72</v>
      </c>
      <c r="AG69" s="125">
        <v>2.72</v>
      </c>
      <c r="AH69" s="125">
        <v>0</v>
      </c>
      <c r="AI69" s="315">
        <v>0</v>
      </c>
      <c r="AJ69" s="125">
        <v>0</v>
      </c>
      <c r="AK69" s="273">
        <v>0</v>
      </c>
      <c r="AL69" s="273">
        <v>0</v>
      </c>
      <c r="AM69" s="273">
        <v>0</v>
      </c>
      <c r="AN69" s="273">
        <v>0</v>
      </c>
      <c r="AO69" s="273">
        <v>0</v>
      </c>
      <c r="AP69" s="273">
        <v>0</v>
      </c>
      <c r="AQ69" s="273">
        <v>0</v>
      </c>
      <c r="AR69" s="401">
        <f t="shared" si="2"/>
        <v>122.03</v>
      </c>
      <c r="AS69" s="269"/>
      <c r="AT69" s="392">
        <v>37995.749999999491</v>
      </c>
      <c r="AU69" s="260">
        <v>37995.791666666155</v>
      </c>
      <c r="AV69" s="261">
        <v>11.99</v>
      </c>
      <c r="AW69" s="125">
        <v>0</v>
      </c>
      <c r="AX69" s="125">
        <v>11.38</v>
      </c>
      <c r="AY69" s="315">
        <v>0</v>
      </c>
      <c r="AZ69" s="125">
        <v>10.3</v>
      </c>
      <c r="BA69" s="125">
        <v>2.9</v>
      </c>
      <c r="BB69" s="125">
        <v>0</v>
      </c>
      <c r="BC69" s="125">
        <v>0</v>
      </c>
      <c r="BD69" s="315">
        <v>0</v>
      </c>
      <c r="BE69" s="125">
        <v>8.1</v>
      </c>
      <c r="BF69" s="125">
        <v>0</v>
      </c>
      <c r="BG69" s="315">
        <v>0</v>
      </c>
      <c r="BH69" s="125">
        <v>0</v>
      </c>
      <c r="BI69" s="125">
        <v>0</v>
      </c>
      <c r="BJ69" s="125">
        <v>0</v>
      </c>
      <c r="BK69" s="125">
        <v>0</v>
      </c>
      <c r="BL69" s="125">
        <v>0</v>
      </c>
      <c r="BM69" s="125">
        <v>0</v>
      </c>
      <c r="BN69" s="125">
        <v>17.29</v>
      </c>
      <c r="BO69" s="125">
        <v>0</v>
      </c>
      <c r="BP69" s="125">
        <v>2.62</v>
      </c>
      <c r="BQ69" s="125">
        <v>2.62</v>
      </c>
      <c r="BR69" s="125">
        <v>0</v>
      </c>
      <c r="BS69" s="125">
        <v>0</v>
      </c>
      <c r="BT69" s="125">
        <v>0</v>
      </c>
      <c r="BU69" s="125">
        <v>0</v>
      </c>
      <c r="BV69" s="125">
        <v>0</v>
      </c>
      <c r="BW69" s="125">
        <v>0</v>
      </c>
      <c r="BX69" s="125">
        <v>0</v>
      </c>
      <c r="BY69" s="125">
        <v>10.98</v>
      </c>
      <c r="BZ69" s="315">
        <v>10.98</v>
      </c>
      <c r="CA69" s="125">
        <v>0</v>
      </c>
      <c r="CB69" s="273">
        <v>0</v>
      </c>
      <c r="CC69" s="273">
        <v>19</v>
      </c>
      <c r="CD69" s="273">
        <v>5.08</v>
      </c>
      <c r="CE69" s="273">
        <v>22</v>
      </c>
      <c r="CF69" s="273">
        <v>0</v>
      </c>
      <c r="CG69" s="273">
        <v>1</v>
      </c>
      <c r="CH69" s="273">
        <v>15.84</v>
      </c>
      <c r="CI69" s="401">
        <f t="shared" si="3"/>
        <v>152.08000000000001</v>
      </c>
      <c r="CJ69" s="269"/>
      <c r="CK69" s="269"/>
      <c r="CL69" s="269"/>
      <c r="CM69" s="269"/>
      <c r="CN69" s="269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  <c r="DI69" s="269"/>
      <c r="DJ69" s="269"/>
      <c r="DK69" s="269"/>
      <c r="DL69" s="269"/>
      <c r="DM69" s="269"/>
      <c r="DN69" s="269"/>
      <c r="DO69" s="269"/>
      <c r="DP69" s="269"/>
    </row>
    <row r="70" spans="1:120" ht="18.75" customHeight="1">
      <c r="A70" s="82"/>
      <c r="B70" s="82"/>
      <c r="C70" s="392">
        <v>37995.791666666155</v>
      </c>
      <c r="D70" s="260">
        <v>37995.833333332819</v>
      </c>
      <c r="E70" s="261">
        <v>0</v>
      </c>
      <c r="F70" s="125">
        <v>0</v>
      </c>
      <c r="G70" s="125">
        <v>0</v>
      </c>
      <c r="H70" s="315">
        <v>10.3</v>
      </c>
      <c r="I70" s="125">
        <v>5.81</v>
      </c>
      <c r="J70" s="125">
        <v>0</v>
      </c>
      <c r="K70" s="125">
        <v>10.3</v>
      </c>
      <c r="L70" s="125">
        <v>0</v>
      </c>
      <c r="M70" s="315">
        <v>10.3</v>
      </c>
      <c r="N70" s="125">
        <v>0</v>
      </c>
      <c r="O70" s="125">
        <v>10.3</v>
      </c>
      <c r="P70" s="315">
        <v>10.3</v>
      </c>
      <c r="Q70" s="125">
        <v>7.88</v>
      </c>
      <c r="R70" s="125">
        <v>10.36</v>
      </c>
      <c r="S70" s="125">
        <v>0</v>
      </c>
      <c r="T70" s="125">
        <v>0</v>
      </c>
      <c r="U70" s="125">
        <v>0</v>
      </c>
      <c r="V70" s="125">
        <v>0</v>
      </c>
      <c r="W70" s="125">
        <v>0</v>
      </c>
      <c r="X70" s="125">
        <v>0</v>
      </c>
      <c r="Y70" s="125">
        <v>2.0699999999999998</v>
      </c>
      <c r="Z70" s="125">
        <v>2.0699999999999998</v>
      </c>
      <c r="AA70" s="125">
        <v>3.67</v>
      </c>
      <c r="AB70" s="125">
        <v>3.67</v>
      </c>
      <c r="AC70" s="125">
        <v>3.67</v>
      </c>
      <c r="AD70" s="125">
        <v>2.78</v>
      </c>
      <c r="AE70" s="125">
        <v>2.78</v>
      </c>
      <c r="AF70" s="125">
        <v>2.75</v>
      </c>
      <c r="AG70" s="125">
        <v>2.75</v>
      </c>
      <c r="AH70" s="125">
        <v>0</v>
      </c>
      <c r="AI70" s="315">
        <v>0</v>
      </c>
      <c r="AJ70" s="125">
        <v>0</v>
      </c>
      <c r="AK70" s="273">
        <v>0</v>
      </c>
      <c r="AL70" s="273">
        <v>0</v>
      </c>
      <c r="AM70" s="273">
        <v>0</v>
      </c>
      <c r="AN70" s="273">
        <v>0</v>
      </c>
      <c r="AO70" s="273">
        <v>0</v>
      </c>
      <c r="AP70" s="273">
        <v>0</v>
      </c>
      <c r="AQ70" s="273">
        <v>0</v>
      </c>
      <c r="AR70" s="401">
        <f t="shared" si="2"/>
        <v>101.75999999999999</v>
      </c>
      <c r="AS70" s="269"/>
      <c r="AT70" s="392">
        <v>37995.791666666155</v>
      </c>
      <c r="AU70" s="260">
        <v>37995.833333332819</v>
      </c>
      <c r="AV70" s="261">
        <v>13.73</v>
      </c>
      <c r="AW70" s="125">
        <v>19.690000000000001</v>
      </c>
      <c r="AX70" s="125">
        <v>11.38</v>
      </c>
      <c r="AY70" s="315">
        <v>0</v>
      </c>
      <c r="AZ70" s="125">
        <v>4.49</v>
      </c>
      <c r="BA70" s="125">
        <v>0</v>
      </c>
      <c r="BB70" s="125">
        <v>0</v>
      </c>
      <c r="BC70" s="125">
        <v>0</v>
      </c>
      <c r="BD70" s="315">
        <v>0</v>
      </c>
      <c r="BE70" s="125">
        <v>0</v>
      </c>
      <c r="BF70" s="125">
        <v>0</v>
      </c>
      <c r="BG70" s="315">
        <v>0</v>
      </c>
      <c r="BH70" s="125">
        <v>0</v>
      </c>
      <c r="BI70" s="125">
        <v>0</v>
      </c>
      <c r="BJ70" s="125">
        <v>0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0.55000000000000004</v>
      </c>
      <c r="BQ70" s="125">
        <v>0.55000000000000004</v>
      </c>
      <c r="BR70" s="125">
        <v>0</v>
      </c>
      <c r="BS70" s="125">
        <v>0</v>
      </c>
      <c r="BT70" s="125">
        <v>0</v>
      </c>
      <c r="BU70" s="125">
        <v>0</v>
      </c>
      <c r="BV70" s="125">
        <v>0</v>
      </c>
      <c r="BW70" s="125">
        <v>0</v>
      </c>
      <c r="BX70" s="125">
        <v>0</v>
      </c>
      <c r="BY70" s="125">
        <v>10.98</v>
      </c>
      <c r="BZ70" s="315">
        <v>10.98</v>
      </c>
      <c r="CA70" s="125">
        <v>0</v>
      </c>
      <c r="CB70" s="273">
        <v>0</v>
      </c>
      <c r="CC70" s="273">
        <v>19</v>
      </c>
      <c r="CD70" s="273">
        <v>5.08</v>
      </c>
      <c r="CE70" s="273">
        <v>0</v>
      </c>
      <c r="CF70" s="273">
        <v>0</v>
      </c>
      <c r="CG70" s="273">
        <v>0</v>
      </c>
      <c r="CH70" s="273">
        <v>1</v>
      </c>
      <c r="CI70" s="401">
        <f t="shared" si="3"/>
        <v>97.43</v>
      </c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/>
      <c r="DO70" s="269"/>
      <c r="DP70" s="269"/>
    </row>
    <row r="71" spans="1:120" ht="18.75" customHeight="1">
      <c r="A71" s="82"/>
      <c r="B71" s="82"/>
      <c r="C71" s="392">
        <v>37995.833333332819</v>
      </c>
      <c r="D71" s="260">
        <v>37995.874999999483</v>
      </c>
      <c r="E71" s="261">
        <v>0</v>
      </c>
      <c r="F71" s="125">
        <v>0</v>
      </c>
      <c r="G71" s="125">
        <v>0</v>
      </c>
      <c r="H71" s="315">
        <v>10.3</v>
      </c>
      <c r="I71" s="125">
        <v>10.3</v>
      </c>
      <c r="J71" s="125">
        <v>0</v>
      </c>
      <c r="K71" s="125">
        <v>10.3</v>
      </c>
      <c r="L71" s="125">
        <v>0</v>
      </c>
      <c r="M71" s="315">
        <v>0</v>
      </c>
      <c r="N71" s="125">
        <v>0</v>
      </c>
      <c r="O71" s="125">
        <v>10.3</v>
      </c>
      <c r="P71" s="315">
        <v>0</v>
      </c>
      <c r="Q71" s="125">
        <v>9.85</v>
      </c>
      <c r="R71" s="125">
        <v>10.36</v>
      </c>
      <c r="S71" s="125">
        <v>10.36</v>
      </c>
      <c r="T71" s="125">
        <v>0</v>
      </c>
      <c r="U71" s="125">
        <v>0</v>
      </c>
      <c r="V71" s="125">
        <v>0</v>
      </c>
      <c r="W71" s="125">
        <v>0</v>
      </c>
      <c r="X71" s="125">
        <v>1</v>
      </c>
      <c r="Y71" s="125">
        <v>2.1</v>
      </c>
      <c r="Z71" s="125">
        <v>2.1</v>
      </c>
      <c r="AA71" s="125">
        <v>3.67</v>
      </c>
      <c r="AB71" s="125">
        <v>3.67</v>
      </c>
      <c r="AC71" s="125">
        <v>3.67</v>
      </c>
      <c r="AD71" s="125">
        <v>2.78</v>
      </c>
      <c r="AE71" s="125">
        <v>2.78</v>
      </c>
      <c r="AF71" s="125">
        <v>2.75</v>
      </c>
      <c r="AG71" s="125">
        <v>2.75</v>
      </c>
      <c r="AH71" s="125">
        <v>0</v>
      </c>
      <c r="AI71" s="315">
        <v>0</v>
      </c>
      <c r="AJ71" s="125">
        <v>0</v>
      </c>
      <c r="AK71" s="273">
        <v>0</v>
      </c>
      <c r="AL71" s="273">
        <v>0</v>
      </c>
      <c r="AM71" s="273">
        <v>0</v>
      </c>
      <c r="AN71" s="273">
        <v>0</v>
      </c>
      <c r="AO71" s="273">
        <v>0</v>
      </c>
      <c r="AP71" s="273">
        <v>0</v>
      </c>
      <c r="AQ71" s="273">
        <v>0</v>
      </c>
      <c r="AR71" s="401">
        <f t="shared" si="2"/>
        <v>99.04</v>
      </c>
      <c r="AS71" s="269"/>
      <c r="AT71" s="392">
        <v>37995.833333332819</v>
      </c>
      <c r="AU71" s="260">
        <v>37995.874999999483</v>
      </c>
      <c r="AV71" s="261">
        <v>12.26</v>
      </c>
      <c r="AW71" s="125">
        <v>0</v>
      </c>
      <c r="AX71" s="125">
        <v>11.38</v>
      </c>
      <c r="AY71" s="315">
        <v>0</v>
      </c>
      <c r="AZ71" s="125">
        <v>0</v>
      </c>
      <c r="BA71" s="125">
        <v>0</v>
      </c>
      <c r="BB71" s="125">
        <v>0</v>
      </c>
      <c r="BC71" s="125">
        <v>0</v>
      </c>
      <c r="BD71" s="315">
        <v>0</v>
      </c>
      <c r="BE71" s="125">
        <v>0</v>
      </c>
      <c r="BF71" s="125">
        <v>0</v>
      </c>
      <c r="BG71" s="315">
        <v>0</v>
      </c>
      <c r="BH71" s="125">
        <v>0</v>
      </c>
      <c r="BI71" s="125">
        <v>0</v>
      </c>
      <c r="BJ71" s="125">
        <v>0</v>
      </c>
      <c r="BK71" s="125">
        <v>0</v>
      </c>
      <c r="BL71" s="125">
        <v>0</v>
      </c>
      <c r="BM71" s="125">
        <v>0</v>
      </c>
      <c r="BN71" s="125">
        <v>0</v>
      </c>
      <c r="BO71" s="125">
        <v>0</v>
      </c>
      <c r="BP71" s="125">
        <v>0.52</v>
      </c>
      <c r="BQ71" s="125">
        <v>0.52</v>
      </c>
      <c r="BR71" s="125">
        <v>0</v>
      </c>
      <c r="BS71" s="125">
        <v>0</v>
      </c>
      <c r="BT71" s="125">
        <v>0</v>
      </c>
      <c r="BU71" s="125">
        <v>0</v>
      </c>
      <c r="BV71" s="125">
        <v>0</v>
      </c>
      <c r="BW71" s="125">
        <v>0</v>
      </c>
      <c r="BX71" s="125">
        <v>0</v>
      </c>
      <c r="BY71" s="125">
        <v>10.98</v>
      </c>
      <c r="BZ71" s="315">
        <v>10.98</v>
      </c>
      <c r="CA71" s="125">
        <v>0</v>
      </c>
      <c r="CB71" s="273">
        <v>0</v>
      </c>
      <c r="CC71" s="273">
        <v>19</v>
      </c>
      <c r="CD71" s="273">
        <v>5.08</v>
      </c>
      <c r="CE71" s="273">
        <v>22</v>
      </c>
      <c r="CF71" s="273">
        <v>22</v>
      </c>
      <c r="CG71" s="273">
        <v>0</v>
      </c>
      <c r="CH71" s="273">
        <v>0</v>
      </c>
      <c r="CI71" s="401">
        <f t="shared" si="3"/>
        <v>114.72</v>
      </c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  <c r="DO71" s="269"/>
      <c r="DP71" s="269"/>
    </row>
    <row r="72" spans="1:120" ht="18.75" customHeight="1">
      <c r="A72" s="82"/>
      <c r="B72" s="82"/>
      <c r="C72" s="391">
        <v>37995.874999999483</v>
      </c>
      <c r="D72" s="257">
        <v>37995.916666666148</v>
      </c>
      <c r="E72" s="258">
        <v>0</v>
      </c>
      <c r="F72" s="124">
        <v>0</v>
      </c>
      <c r="G72" s="124">
        <v>0</v>
      </c>
      <c r="H72" s="314">
        <v>0</v>
      </c>
      <c r="I72" s="124">
        <v>0</v>
      </c>
      <c r="J72" s="124">
        <v>0</v>
      </c>
      <c r="K72" s="124">
        <v>0</v>
      </c>
      <c r="L72" s="124">
        <v>0</v>
      </c>
      <c r="M72" s="314">
        <v>0</v>
      </c>
      <c r="N72" s="124">
        <v>0</v>
      </c>
      <c r="O72" s="124">
        <v>0</v>
      </c>
      <c r="P72" s="314">
        <v>0</v>
      </c>
      <c r="Q72" s="124">
        <v>10.1</v>
      </c>
      <c r="R72" s="124">
        <v>10.36</v>
      </c>
      <c r="S72" s="124">
        <v>10.36</v>
      </c>
      <c r="T72" s="124">
        <v>10</v>
      </c>
      <c r="U72" s="124">
        <v>2.4300000000000002</v>
      </c>
      <c r="V72" s="124">
        <v>0</v>
      </c>
      <c r="W72" s="124">
        <v>16.100000000000001</v>
      </c>
      <c r="X72" s="124">
        <v>3.05</v>
      </c>
      <c r="Y72" s="124">
        <v>2.62</v>
      </c>
      <c r="Z72" s="124">
        <v>2.62</v>
      </c>
      <c r="AA72" s="124">
        <v>3.67</v>
      </c>
      <c r="AB72" s="124">
        <v>3.67</v>
      </c>
      <c r="AC72" s="124">
        <v>3.67</v>
      </c>
      <c r="AD72" s="124">
        <v>2.78</v>
      </c>
      <c r="AE72" s="124">
        <v>2.78</v>
      </c>
      <c r="AF72" s="124">
        <v>2.75</v>
      </c>
      <c r="AG72" s="124">
        <v>2.75</v>
      </c>
      <c r="AH72" s="124">
        <v>0</v>
      </c>
      <c r="AI72" s="314">
        <v>0</v>
      </c>
      <c r="AJ72" s="124">
        <v>0</v>
      </c>
      <c r="AK72" s="272">
        <v>0</v>
      </c>
      <c r="AL72" s="272">
        <v>0</v>
      </c>
      <c r="AM72" s="272">
        <v>5.08</v>
      </c>
      <c r="AN72" s="272">
        <v>0</v>
      </c>
      <c r="AO72" s="272">
        <v>0</v>
      </c>
      <c r="AP72" s="272">
        <v>0</v>
      </c>
      <c r="AQ72" s="272">
        <v>0</v>
      </c>
      <c r="AR72" s="400">
        <f t="shared" si="2"/>
        <v>94.79</v>
      </c>
      <c r="AS72" s="269"/>
      <c r="AT72" s="391">
        <v>37995.874999999483</v>
      </c>
      <c r="AU72" s="257">
        <v>37995.916666666148</v>
      </c>
      <c r="AV72" s="258">
        <v>19.45</v>
      </c>
      <c r="AW72" s="124">
        <v>0</v>
      </c>
      <c r="AX72" s="124">
        <v>11.38</v>
      </c>
      <c r="AY72" s="314">
        <v>0</v>
      </c>
      <c r="AZ72" s="124">
        <v>0</v>
      </c>
      <c r="BA72" s="124">
        <v>0</v>
      </c>
      <c r="BB72" s="124">
        <v>0</v>
      </c>
      <c r="BC72" s="124">
        <v>0</v>
      </c>
      <c r="BD72" s="314">
        <v>0</v>
      </c>
      <c r="BE72" s="124">
        <v>0</v>
      </c>
      <c r="BF72" s="124">
        <v>0</v>
      </c>
      <c r="BG72" s="314">
        <v>0</v>
      </c>
      <c r="BH72" s="124">
        <v>0</v>
      </c>
      <c r="BI72" s="124">
        <v>0</v>
      </c>
      <c r="BJ72" s="124">
        <v>0</v>
      </c>
      <c r="BK72" s="124">
        <v>0</v>
      </c>
      <c r="BL72" s="124">
        <v>0</v>
      </c>
      <c r="BM72" s="124">
        <v>0</v>
      </c>
      <c r="BN72" s="124">
        <v>1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0</v>
      </c>
      <c r="BW72" s="124">
        <v>0</v>
      </c>
      <c r="BX72" s="124">
        <v>0</v>
      </c>
      <c r="BY72" s="124">
        <v>10.98</v>
      </c>
      <c r="BZ72" s="314">
        <v>10.98</v>
      </c>
      <c r="CA72" s="124">
        <v>0</v>
      </c>
      <c r="CB72" s="272">
        <v>0</v>
      </c>
      <c r="CC72" s="272">
        <v>19</v>
      </c>
      <c r="CD72" s="272">
        <v>0</v>
      </c>
      <c r="CE72" s="272">
        <v>22</v>
      </c>
      <c r="CF72" s="272">
        <v>0</v>
      </c>
      <c r="CG72" s="272">
        <v>15.84</v>
      </c>
      <c r="CH72" s="272">
        <v>15.73</v>
      </c>
      <c r="CI72" s="400">
        <f t="shared" si="3"/>
        <v>126.36000000000001</v>
      </c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  <c r="DO72" s="269"/>
      <c r="DP72" s="269"/>
    </row>
    <row r="73" spans="1:120" ht="18.75" customHeight="1">
      <c r="A73" s="82"/>
      <c r="B73" s="82"/>
      <c r="C73" s="391">
        <v>37995.916666666148</v>
      </c>
      <c r="D73" s="257">
        <v>37995.958333332812</v>
      </c>
      <c r="E73" s="258">
        <v>0</v>
      </c>
      <c r="F73" s="124">
        <v>0</v>
      </c>
      <c r="G73" s="124">
        <v>0</v>
      </c>
      <c r="H73" s="314">
        <v>0</v>
      </c>
      <c r="I73" s="124">
        <v>0</v>
      </c>
      <c r="J73" s="124">
        <v>0</v>
      </c>
      <c r="K73" s="124">
        <v>10.3</v>
      </c>
      <c r="L73" s="124">
        <v>0</v>
      </c>
      <c r="M73" s="314">
        <v>0</v>
      </c>
      <c r="N73" s="124">
        <v>0</v>
      </c>
      <c r="O73" s="124">
        <v>0</v>
      </c>
      <c r="P73" s="314">
        <v>0</v>
      </c>
      <c r="Q73" s="124">
        <v>10.1</v>
      </c>
      <c r="R73" s="124">
        <v>10.36</v>
      </c>
      <c r="S73" s="124">
        <v>10.36</v>
      </c>
      <c r="T73" s="124">
        <v>10</v>
      </c>
      <c r="U73" s="124">
        <v>10</v>
      </c>
      <c r="V73" s="124">
        <v>13.73</v>
      </c>
      <c r="W73" s="124">
        <v>17.29</v>
      </c>
      <c r="X73" s="124">
        <v>3.05</v>
      </c>
      <c r="Y73" s="124">
        <v>2.62</v>
      </c>
      <c r="Z73" s="124">
        <v>2.62</v>
      </c>
      <c r="AA73" s="124">
        <v>3.67</v>
      </c>
      <c r="AB73" s="124">
        <v>3.67</v>
      </c>
      <c r="AC73" s="124">
        <v>3.67</v>
      </c>
      <c r="AD73" s="124">
        <v>2.78</v>
      </c>
      <c r="AE73" s="124">
        <v>2.78</v>
      </c>
      <c r="AF73" s="124">
        <v>2.75</v>
      </c>
      <c r="AG73" s="124">
        <v>2.75</v>
      </c>
      <c r="AH73" s="124">
        <v>0</v>
      </c>
      <c r="AI73" s="314">
        <v>0</v>
      </c>
      <c r="AJ73" s="124">
        <v>0</v>
      </c>
      <c r="AK73" s="272">
        <v>0</v>
      </c>
      <c r="AL73" s="272">
        <v>0</v>
      </c>
      <c r="AM73" s="272">
        <v>5.08</v>
      </c>
      <c r="AN73" s="272">
        <v>0</v>
      </c>
      <c r="AO73" s="272">
        <v>0</v>
      </c>
      <c r="AP73" s="272">
        <v>0</v>
      </c>
      <c r="AQ73" s="272">
        <v>0</v>
      </c>
      <c r="AR73" s="400">
        <f t="shared" si="2"/>
        <v>127.58</v>
      </c>
      <c r="AS73" s="269"/>
      <c r="AT73" s="391">
        <v>37995.916666666148</v>
      </c>
      <c r="AU73" s="257">
        <v>37995.958333332812</v>
      </c>
      <c r="AV73" s="258">
        <v>9.5399999999999991</v>
      </c>
      <c r="AW73" s="124">
        <v>19.690000000000001</v>
      </c>
      <c r="AX73" s="124">
        <v>11.38</v>
      </c>
      <c r="AY73" s="314">
        <v>0</v>
      </c>
      <c r="AZ73" s="124">
        <v>0</v>
      </c>
      <c r="BA73" s="124">
        <v>0</v>
      </c>
      <c r="BB73" s="124">
        <v>0</v>
      </c>
      <c r="BC73" s="124">
        <v>0</v>
      </c>
      <c r="BD73" s="314">
        <v>0</v>
      </c>
      <c r="BE73" s="124">
        <v>0</v>
      </c>
      <c r="BF73" s="124">
        <v>0</v>
      </c>
      <c r="BG73" s="314">
        <v>0</v>
      </c>
      <c r="BH73" s="124">
        <v>0</v>
      </c>
      <c r="BI73" s="124">
        <v>0</v>
      </c>
      <c r="BJ73" s="124">
        <v>0</v>
      </c>
      <c r="BK73" s="124">
        <v>0</v>
      </c>
      <c r="BL73" s="124">
        <v>0</v>
      </c>
      <c r="BM73" s="124">
        <v>0</v>
      </c>
      <c r="BN73" s="124">
        <v>0</v>
      </c>
      <c r="BO73" s="124">
        <v>0</v>
      </c>
      <c r="BP73" s="124">
        <v>0</v>
      </c>
      <c r="BQ73" s="124">
        <v>0</v>
      </c>
      <c r="BR73" s="124">
        <v>0</v>
      </c>
      <c r="BS73" s="124">
        <v>0</v>
      </c>
      <c r="BT73" s="124">
        <v>0</v>
      </c>
      <c r="BU73" s="124">
        <v>0</v>
      </c>
      <c r="BV73" s="124">
        <v>0</v>
      </c>
      <c r="BW73" s="124">
        <v>0</v>
      </c>
      <c r="BX73" s="124">
        <v>0</v>
      </c>
      <c r="BY73" s="124">
        <v>10.98</v>
      </c>
      <c r="BZ73" s="314">
        <v>10.98</v>
      </c>
      <c r="CA73" s="124">
        <v>0</v>
      </c>
      <c r="CB73" s="272">
        <v>0</v>
      </c>
      <c r="CC73" s="272">
        <v>19</v>
      </c>
      <c r="CD73" s="272">
        <v>0</v>
      </c>
      <c r="CE73" s="272">
        <v>22</v>
      </c>
      <c r="CF73" s="272">
        <v>22</v>
      </c>
      <c r="CG73" s="272">
        <v>0</v>
      </c>
      <c r="CH73" s="272">
        <v>1</v>
      </c>
      <c r="CI73" s="400">
        <f t="shared" si="3"/>
        <v>126.57000000000001</v>
      </c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  <c r="DO73" s="269"/>
      <c r="DP73" s="269"/>
    </row>
    <row r="74" spans="1:120" ht="18.75" customHeight="1" thickBot="1">
      <c r="A74" s="82"/>
      <c r="B74" s="82"/>
      <c r="C74" s="396">
        <v>37995.958333332812</v>
      </c>
      <c r="D74" s="398">
        <v>37995.999999999476</v>
      </c>
      <c r="E74" s="263">
        <v>0</v>
      </c>
      <c r="F74" s="264">
        <v>0</v>
      </c>
      <c r="G74" s="264">
        <v>5.72</v>
      </c>
      <c r="H74" s="317">
        <v>0</v>
      </c>
      <c r="I74" s="264">
        <v>0</v>
      </c>
      <c r="J74" s="264">
        <v>0</v>
      </c>
      <c r="K74" s="264">
        <v>0</v>
      </c>
      <c r="L74" s="264">
        <v>0</v>
      </c>
      <c r="M74" s="317">
        <v>0</v>
      </c>
      <c r="N74" s="264">
        <v>0</v>
      </c>
      <c r="O74" s="264">
        <v>0</v>
      </c>
      <c r="P74" s="317">
        <v>0</v>
      </c>
      <c r="Q74" s="264">
        <v>0</v>
      </c>
      <c r="R74" s="264">
        <v>0</v>
      </c>
      <c r="S74" s="264">
        <v>10.36</v>
      </c>
      <c r="T74" s="264">
        <v>10</v>
      </c>
      <c r="U74" s="264">
        <v>10</v>
      </c>
      <c r="V74" s="264">
        <v>3.01</v>
      </c>
      <c r="W74" s="264">
        <v>17.29</v>
      </c>
      <c r="X74" s="264">
        <v>3.05</v>
      </c>
      <c r="Y74" s="264">
        <v>2.62</v>
      </c>
      <c r="Z74" s="264">
        <v>2.62</v>
      </c>
      <c r="AA74" s="264">
        <v>3.67</v>
      </c>
      <c r="AB74" s="264">
        <v>3.67</v>
      </c>
      <c r="AC74" s="264">
        <v>3.67</v>
      </c>
      <c r="AD74" s="264">
        <v>2.78</v>
      </c>
      <c r="AE74" s="264">
        <v>2.78</v>
      </c>
      <c r="AF74" s="264">
        <v>2.75</v>
      </c>
      <c r="AG74" s="264">
        <v>2.75</v>
      </c>
      <c r="AH74" s="264">
        <v>0</v>
      </c>
      <c r="AI74" s="317">
        <v>0</v>
      </c>
      <c r="AJ74" s="264">
        <v>1</v>
      </c>
      <c r="AK74" s="353">
        <v>13.77</v>
      </c>
      <c r="AL74" s="353">
        <v>4.42</v>
      </c>
      <c r="AM74" s="353">
        <v>5.08</v>
      </c>
      <c r="AN74" s="353">
        <v>0</v>
      </c>
      <c r="AO74" s="353">
        <v>0</v>
      </c>
      <c r="AP74" s="353">
        <v>0</v>
      </c>
      <c r="AQ74" s="353">
        <v>0</v>
      </c>
      <c r="AR74" s="399">
        <f t="shared" si="2"/>
        <v>111.00999999999999</v>
      </c>
      <c r="AS74" s="269"/>
      <c r="AT74" s="396">
        <v>37995.958333332812</v>
      </c>
      <c r="AU74" s="398">
        <v>37995.999999999476</v>
      </c>
      <c r="AV74" s="263">
        <v>9.39</v>
      </c>
      <c r="AW74" s="264">
        <v>19.690000000000001</v>
      </c>
      <c r="AX74" s="264">
        <v>5.66</v>
      </c>
      <c r="AY74" s="317">
        <v>0</v>
      </c>
      <c r="AZ74" s="264">
        <v>0</v>
      </c>
      <c r="BA74" s="264">
        <v>0</v>
      </c>
      <c r="BB74" s="264">
        <v>0</v>
      </c>
      <c r="BC74" s="264">
        <v>0</v>
      </c>
      <c r="BD74" s="317">
        <v>0</v>
      </c>
      <c r="BE74" s="264">
        <v>0</v>
      </c>
      <c r="BF74" s="264">
        <v>0</v>
      </c>
      <c r="BG74" s="317">
        <v>0</v>
      </c>
      <c r="BH74" s="264">
        <v>0</v>
      </c>
      <c r="BI74" s="264">
        <v>0</v>
      </c>
      <c r="BJ74" s="264">
        <v>0</v>
      </c>
      <c r="BK74" s="264">
        <v>0</v>
      </c>
      <c r="BL74" s="264">
        <v>0</v>
      </c>
      <c r="BM74" s="264">
        <v>0</v>
      </c>
      <c r="BN74" s="264">
        <v>0</v>
      </c>
      <c r="BO74" s="264">
        <v>0</v>
      </c>
      <c r="BP74" s="264">
        <v>0</v>
      </c>
      <c r="BQ74" s="264">
        <v>0</v>
      </c>
      <c r="BR74" s="264">
        <v>0</v>
      </c>
      <c r="BS74" s="264">
        <v>0</v>
      </c>
      <c r="BT74" s="264">
        <v>0</v>
      </c>
      <c r="BU74" s="264">
        <v>0</v>
      </c>
      <c r="BV74" s="264">
        <v>0</v>
      </c>
      <c r="BW74" s="264">
        <v>0</v>
      </c>
      <c r="BX74" s="264">
        <v>0</v>
      </c>
      <c r="BY74" s="264">
        <v>10.98</v>
      </c>
      <c r="BZ74" s="317">
        <v>10.98</v>
      </c>
      <c r="CA74" s="264">
        <v>0</v>
      </c>
      <c r="CB74" s="353">
        <v>0</v>
      </c>
      <c r="CC74" s="353">
        <v>14.58</v>
      </c>
      <c r="CD74" s="353">
        <v>0</v>
      </c>
      <c r="CE74" s="353">
        <v>22</v>
      </c>
      <c r="CF74" s="353">
        <v>22</v>
      </c>
      <c r="CG74" s="353">
        <v>1</v>
      </c>
      <c r="CH74" s="353">
        <v>0</v>
      </c>
      <c r="CI74" s="399">
        <f t="shared" si="3"/>
        <v>116.28</v>
      </c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  <c r="DO74" s="269"/>
      <c r="DP74" s="269"/>
    </row>
    <row r="75" spans="1:120" ht="18.75" customHeight="1" thickBot="1">
      <c r="A75" s="82"/>
      <c r="B75" s="82"/>
      <c r="C75" s="521" t="s">
        <v>13</v>
      </c>
      <c r="D75" s="522"/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2"/>
      <c r="AB75" s="522"/>
      <c r="AC75" s="522"/>
      <c r="AD75" s="522"/>
      <c r="AE75" s="522"/>
      <c r="AF75" s="522"/>
      <c r="AG75" s="522"/>
      <c r="AH75" s="522"/>
      <c r="AI75" s="522"/>
      <c r="AJ75" s="522"/>
      <c r="AK75" s="522"/>
      <c r="AL75" s="522"/>
      <c r="AM75" s="522"/>
      <c r="AN75" s="522"/>
      <c r="AO75" s="522"/>
      <c r="AP75" s="522"/>
      <c r="AQ75" s="522"/>
      <c r="AR75" s="402">
        <f>SUM(AR51:AR74)</f>
        <v>2965.5</v>
      </c>
      <c r="AS75" s="274"/>
      <c r="AT75" s="521" t="s">
        <v>13</v>
      </c>
      <c r="AU75" s="522"/>
      <c r="AV75" s="522"/>
      <c r="AW75" s="522"/>
      <c r="AX75" s="522"/>
      <c r="AY75" s="522"/>
      <c r="AZ75" s="522"/>
      <c r="BA75" s="522"/>
      <c r="BB75" s="522"/>
      <c r="BC75" s="522"/>
      <c r="BD75" s="522"/>
      <c r="BE75" s="522"/>
      <c r="BF75" s="522"/>
      <c r="BG75" s="522"/>
      <c r="BH75" s="522"/>
      <c r="BI75" s="522"/>
      <c r="BJ75" s="522"/>
      <c r="BK75" s="522"/>
      <c r="BL75" s="522"/>
      <c r="BM75" s="522"/>
      <c r="BN75" s="522"/>
      <c r="BO75" s="522"/>
      <c r="BP75" s="522"/>
      <c r="BQ75" s="522"/>
      <c r="BR75" s="522"/>
      <c r="BS75" s="522"/>
      <c r="BT75" s="522"/>
      <c r="BU75" s="522"/>
      <c r="BV75" s="522"/>
      <c r="BW75" s="522"/>
      <c r="BX75" s="522"/>
      <c r="BY75" s="522"/>
      <c r="BZ75" s="522"/>
      <c r="CA75" s="522"/>
      <c r="CB75" s="522"/>
      <c r="CC75" s="522"/>
      <c r="CD75" s="522"/>
      <c r="CE75" s="522"/>
      <c r="CF75" s="522"/>
      <c r="CG75" s="522"/>
      <c r="CH75" s="522"/>
      <c r="CI75" s="402">
        <f>SUM(CI51:CI74)</f>
        <v>2808.59</v>
      </c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  <c r="DO75" s="269"/>
      <c r="DP75" s="269"/>
    </row>
    <row r="76" spans="1:120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  <c r="BH76" s="269"/>
      <c r="BI76" s="269"/>
      <c r="BJ76" s="269"/>
      <c r="BK76" s="269"/>
      <c r="BL76" s="269"/>
      <c r="BM76" s="269"/>
      <c r="BN76" s="269"/>
      <c r="BO76" s="269"/>
      <c r="BP76" s="269"/>
      <c r="BQ76" s="269"/>
      <c r="BR76" s="269"/>
      <c r="BS76" s="269"/>
      <c r="BT76" s="269"/>
      <c r="BU76" s="269"/>
      <c r="BV76" s="269"/>
      <c r="BW76" s="269"/>
      <c r="BX76" s="269"/>
      <c r="BY76" s="269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  <c r="DO76" s="269"/>
      <c r="DP76" s="269"/>
    </row>
    <row r="77" spans="1:120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  <c r="BH77" s="269"/>
      <c r="BI77" s="269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9"/>
      <c r="CA77" s="269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  <c r="DO77" s="269"/>
      <c r="DP77" s="269"/>
    </row>
    <row r="78" spans="1:120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269"/>
      <c r="AV78" s="269"/>
      <c r="AW78" s="269"/>
      <c r="AX78" s="269"/>
      <c r="AY78" s="269"/>
      <c r="AZ78" s="269"/>
      <c r="BA78" s="269"/>
      <c r="BB78" s="269"/>
      <c r="BC78" s="269"/>
      <c r="BD78" s="269"/>
      <c r="BE78" s="269"/>
      <c r="BF78" s="269"/>
      <c r="BG78" s="269"/>
      <c r="BH78" s="269"/>
      <c r="BI78" s="269"/>
      <c r="BJ78" s="269"/>
      <c r="BK78" s="269"/>
      <c r="BL78" s="269"/>
      <c r="BM78" s="269"/>
      <c r="BN78" s="269"/>
      <c r="BO78" s="269"/>
      <c r="BP78" s="269"/>
      <c r="BQ78" s="269"/>
      <c r="BR78" s="269"/>
      <c r="BS78" s="269"/>
      <c r="BT78" s="269"/>
      <c r="BU78" s="269"/>
      <c r="BV78" s="269"/>
      <c r="BW78" s="269"/>
      <c r="BX78" s="269"/>
      <c r="BY78" s="269"/>
      <c r="BZ78" s="269"/>
      <c r="CA78" s="269"/>
      <c r="CB78" s="269"/>
      <c r="CC78" s="269"/>
      <c r="CD78" s="269"/>
      <c r="CE78" s="269"/>
      <c r="CF78" s="269"/>
      <c r="CG78" s="269"/>
      <c r="CH78" s="269"/>
      <c r="CI78" s="269"/>
      <c r="CJ78" s="269"/>
      <c r="CK78" s="269"/>
      <c r="CL78" s="269"/>
      <c r="CM78" s="269"/>
      <c r="CN78" s="269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  <c r="DI78" s="269"/>
      <c r="DJ78" s="269"/>
      <c r="DK78" s="269"/>
      <c r="DL78" s="269"/>
      <c r="DM78" s="269"/>
      <c r="DN78" s="269"/>
      <c r="DO78" s="269"/>
      <c r="DP78" s="269"/>
    </row>
    <row r="79" spans="1:120" ht="21" customHeight="1" thickBot="1">
      <c r="A79" s="82"/>
      <c r="B79" s="82"/>
      <c r="C79" s="527" t="s">
        <v>300</v>
      </c>
      <c r="D79" s="528"/>
      <c r="E79" s="528"/>
      <c r="F79" s="528"/>
      <c r="G79" s="528"/>
      <c r="H79" s="528"/>
      <c r="I79" s="528"/>
      <c r="J79" s="528"/>
      <c r="K79" s="528"/>
      <c r="L79" s="528"/>
      <c r="M79" s="528"/>
      <c r="N79" s="528"/>
      <c r="O79" s="528"/>
      <c r="P79" s="528"/>
      <c r="Q79" s="528"/>
      <c r="R79" s="528"/>
      <c r="S79" s="528"/>
      <c r="T79" s="528"/>
      <c r="U79" s="528"/>
      <c r="V79" s="528"/>
      <c r="W79" s="528"/>
      <c r="X79" s="528"/>
      <c r="Y79" s="528"/>
      <c r="Z79" s="528"/>
      <c r="AA79" s="528"/>
      <c r="AB79" s="528"/>
      <c r="AC79" s="528"/>
      <c r="AD79" s="528"/>
      <c r="AE79" s="528"/>
      <c r="AF79" s="528"/>
      <c r="AG79" s="528"/>
      <c r="AH79" s="528"/>
      <c r="AI79" s="528"/>
      <c r="AJ79" s="528"/>
      <c r="AK79" s="528"/>
      <c r="AL79" s="528"/>
      <c r="AM79" s="528"/>
      <c r="AN79" s="528"/>
      <c r="AO79" s="528"/>
      <c r="AP79" s="528"/>
      <c r="AQ79" s="528"/>
      <c r="AR79" s="82"/>
      <c r="AS79" s="82"/>
      <c r="AT79" s="527" t="s">
        <v>299</v>
      </c>
      <c r="AU79" s="528"/>
      <c r="AV79" s="528"/>
      <c r="AW79" s="528"/>
      <c r="AX79" s="528"/>
      <c r="AY79" s="528"/>
      <c r="AZ79" s="528"/>
      <c r="BA79" s="528"/>
      <c r="BB79" s="528"/>
      <c r="BC79" s="528"/>
      <c r="BD79" s="528"/>
      <c r="BE79" s="528"/>
      <c r="BF79" s="528"/>
      <c r="BG79" s="528"/>
      <c r="BH79" s="528"/>
      <c r="BI79" s="528"/>
      <c r="BJ79" s="528"/>
      <c r="BK79" s="528"/>
      <c r="BL79" s="528"/>
      <c r="BM79" s="528"/>
      <c r="BN79" s="528"/>
      <c r="BO79" s="528"/>
      <c r="BP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  <c r="CC79" s="528"/>
      <c r="CD79" s="528"/>
      <c r="CE79" s="528"/>
      <c r="CF79" s="528"/>
      <c r="CG79" s="528"/>
      <c r="CH79" s="528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  <c r="DI79" s="269"/>
      <c r="DJ79" s="269"/>
      <c r="DK79" s="269"/>
      <c r="DL79" s="269"/>
      <c r="DM79" s="269"/>
      <c r="DN79" s="269"/>
      <c r="DO79" s="269"/>
      <c r="DP79" s="269"/>
    </row>
    <row r="80" spans="1:120" ht="18" customHeight="1" thickBot="1">
      <c r="A80" s="82"/>
      <c r="B80" s="82"/>
      <c r="C80" s="529"/>
      <c r="D80" s="530"/>
      <c r="E80" s="413" t="s">
        <v>329</v>
      </c>
      <c r="F80" s="414" t="s">
        <v>330</v>
      </c>
      <c r="G80" s="415" t="s">
        <v>331</v>
      </c>
      <c r="H80" s="414" t="s">
        <v>332</v>
      </c>
      <c r="I80" s="416" t="s">
        <v>333</v>
      </c>
      <c r="J80" s="414" t="s">
        <v>334</v>
      </c>
      <c r="K80" s="414" t="s">
        <v>335</v>
      </c>
      <c r="L80" s="414" t="s">
        <v>336</v>
      </c>
      <c r="M80" s="414" t="s">
        <v>337</v>
      </c>
      <c r="N80" s="414" t="s">
        <v>338</v>
      </c>
      <c r="O80" s="416" t="s">
        <v>339</v>
      </c>
      <c r="P80" s="414" t="s">
        <v>340</v>
      </c>
      <c r="Q80" s="415" t="s">
        <v>225</v>
      </c>
      <c r="R80" s="415" t="s">
        <v>226</v>
      </c>
      <c r="S80" s="415" t="s">
        <v>227</v>
      </c>
      <c r="T80" s="415" t="s">
        <v>341</v>
      </c>
      <c r="U80" s="415" t="s">
        <v>342</v>
      </c>
      <c r="V80" s="415" t="s">
        <v>343</v>
      </c>
      <c r="W80" s="415" t="s">
        <v>344</v>
      </c>
      <c r="X80" s="415" t="s">
        <v>345</v>
      </c>
      <c r="Y80" s="415" t="s">
        <v>346</v>
      </c>
      <c r="Z80" s="415" t="s">
        <v>347</v>
      </c>
      <c r="AA80" s="415" t="s">
        <v>348</v>
      </c>
      <c r="AB80" s="415" t="s">
        <v>349</v>
      </c>
      <c r="AC80" s="415" t="s">
        <v>350</v>
      </c>
      <c r="AD80" s="415" t="s">
        <v>351</v>
      </c>
      <c r="AE80" s="415" t="s">
        <v>352</v>
      </c>
      <c r="AF80" s="415" t="s">
        <v>353</v>
      </c>
      <c r="AG80" s="414" t="s">
        <v>354</v>
      </c>
      <c r="AH80" s="414" t="s">
        <v>355</v>
      </c>
      <c r="AI80" s="414" t="s">
        <v>356</v>
      </c>
      <c r="AJ80" s="414" t="s">
        <v>357</v>
      </c>
      <c r="AK80" s="414" t="s">
        <v>358</v>
      </c>
      <c r="AL80" s="414" t="s">
        <v>359</v>
      </c>
      <c r="AM80" s="414" t="s">
        <v>360</v>
      </c>
      <c r="AN80" s="414" t="s">
        <v>361</v>
      </c>
      <c r="AO80" s="414" t="s">
        <v>362</v>
      </c>
      <c r="AP80" s="414" t="s">
        <v>363</v>
      </c>
      <c r="AQ80" s="414" t="s">
        <v>364</v>
      </c>
      <c r="AR80" s="82"/>
      <c r="AS80" s="82"/>
      <c r="AT80" s="525"/>
      <c r="AU80" s="526"/>
      <c r="AV80" s="404" t="s">
        <v>329</v>
      </c>
      <c r="AW80" s="403" t="s">
        <v>330</v>
      </c>
      <c r="AX80" s="405" t="s">
        <v>331</v>
      </c>
      <c r="AY80" s="403" t="s">
        <v>332</v>
      </c>
      <c r="AZ80" s="406" t="s">
        <v>333</v>
      </c>
      <c r="BA80" s="403" t="s">
        <v>334</v>
      </c>
      <c r="BB80" s="403" t="s">
        <v>335</v>
      </c>
      <c r="BC80" s="403" t="s">
        <v>336</v>
      </c>
      <c r="BD80" s="403" t="s">
        <v>337</v>
      </c>
      <c r="BE80" s="403" t="s">
        <v>338</v>
      </c>
      <c r="BF80" s="406" t="s">
        <v>339</v>
      </c>
      <c r="BG80" s="403" t="s">
        <v>340</v>
      </c>
      <c r="BH80" s="405" t="s">
        <v>225</v>
      </c>
      <c r="BI80" s="405" t="s">
        <v>226</v>
      </c>
      <c r="BJ80" s="405" t="s">
        <v>227</v>
      </c>
      <c r="BK80" s="405" t="s">
        <v>341</v>
      </c>
      <c r="BL80" s="405" t="s">
        <v>342</v>
      </c>
      <c r="BM80" s="405" t="s">
        <v>343</v>
      </c>
      <c r="BN80" s="403" t="s">
        <v>344</v>
      </c>
      <c r="BO80" s="403" t="s">
        <v>345</v>
      </c>
      <c r="BP80" s="403" t="s">
        <v>346</v>
      </c>
      <c r="BQ80" s="403" t="s">
        <v>347</v>
      </c>
      <c r="BR80" s="403" t="s">
        <v>348</v>
      </c>
      <c r="BS80" s="403" t="s">
        <v>349</v>
      </c>
      <c r="BT80" s="403" t="s">
        <v>350</v>
      </c>
      <c r="BU80" s="403" t="s">
        <v>351</v>
      </c>
      <c r="BV80" s="403" t="s">
        <v>352</v>
      </c>
      <c r="BW80" s="403" t="s">
        <v>353</v>
      </c>
      <c r="BX80" s="403" t="s">
        <v>354</v>
      </c>
      <c r="BY80" s="403" t="s">
        <v>355</v>
      </c>
      <c r="BZ80" s="403" t="s">
        <v>356</v>
      </c>
      <c r="CA80" s="403" t="s">
        <v>357</v>
      </c>
      <c r="CB80" s="403" t="s">
        <v>358</v>
      </c>
      <c r="CC80" s="403" t="s">
        <v>359</v>
      </c>
      <c r="CD80" s="403" t="s">
        <v>360</v>
      </c>
      <c r="CE80" s="403" t="s">
        <v>361</v>
      </c>
      <c r="CF80" s="403" t="s">
        <v>362</v>
      </c>
      <c r="CG80" s="403" t="s">
        <v>363</v>
      </c>
      <c r="CH80" s="403" t="s">
        <v>364</v>
      </c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269"/>
      <c r="DP80" s="269"/>
    </row>
    <row r="81" spans="1:120" ht="18" customHeight="1">
      <c r="A81" s="82"/>
      <c r="B81" s="82"/>
      <c r="C81" s="407">
        <v>0</v>
      </c>
      <c r="D81" s="408">
        <v>37995.041666666199</v>
      </c>
      <c r="E81" s="409">
        <v>100</v>
      </c>
      <c r="F81" s="410">
        <v>100</v>
      </c>
      <c r="G81" s="411">
        <v>96</v>
      </c>
      <c r="H81" s="410">
        <v>90</v>
      </c>
      <c r="I81" s="412">
        <v>90</v>
      </c>
      <c r="J81" s="410">
        <v>90</v>
      </c>
      <c r="K81" s="410">
        <v>90</v>
      </c>
      <c r="L81" s="410">
        <v>95</v>
      </c>
      <c r="M81" s="411">
        <v>90</v>
      </c>
      <c r="N81" s="410">
        <v>90</v>
      </c>
      <c r="O81" s="412">
        <v>90</v>
      </c>
      <c r="P81" s="412">
        <v>90</v>
      </c>
      <c r="Q81" s="412">
        <v>95</v>
      </c>
      <c r="R81" s="412">
        <v>95</v>
      </c>
      <c r="S81" s="412">
        <v>95</v>
      </c>
      <c r="T81" s="412">
        <v>140</v>
      </c>
      <c r="U81" s="412">
        <v>145</v>
      </c>
      <c r="V81" s="412">
        <v>100.3</v>
      </c>
      <c r="W81" s="412">
        <v>100</v>
      </c>
      <c r="X81" s="412">
        <v>101.5</v>
      </c>
      <c r="Y81" s="412">
        <v>110</v>
      </c>
      <c r="Z81" s="412">
        <v>110</v>
      </c>
      <c r="AA81" s="412">
        <v>136</v>
      </c>
      <c r="AB81" s="412">
        <v>136</v>
      </c>
      <c r="AC81" s="412">
        <v>136</v>
      </c>
      <c r="AD81" s="412">
        <v>110</v>
      </c>
      <c r="AE81" s="412">
        <v>110</v>
      </c>
      <c r="AF81" s="412">
        <v>110</v>
      </c>
      <c r="AG81" s="410">
        <v>110</v>
      </c>
      <c r="AH81" s="410">
        <v>98</v>
      </c>
      <c r="AI81" s="410">
        <v>98</v>
      </c>
      <c r="AJ81" s="410">
        <v>100.3</v>
      </c>
      <c r="AK81" s="410">
        <v>100.3</v>
      </c>
      <c r="AL81" s="410">
        <v>97.5</v>
      </c>
      <c r="AM81" s="410">
        <v>97</v>
      </c>
      <c r="AN81" s="410">
        <v>100</v>
      </c>
      <c r="AO81" s="410">
        <v>100</v>
      </c>
      <c r="AP81" s="410">
        <v>100</v>
      </c>
      <c r="AQ81" s="410">
        <v>100</v>
      </c>
      <c r="AR81" s="82"/>
      <c r="AS81" s="82"/>
      <c r="AT81" s="407">
        <v>0</v>
      </c>
      <c r="AU81" s="408">
        <v>37995.041666666199</v>
      </c>
      <c r="AV81" s="409">
        <v>100</v>
      </c>
      <c r="AW81" s="410">
        <v>100</v>
      </c>
      <c r="AX81" s="411">
        <v>96</v>
      </c>
      <c r="AY81" s="410">
        <v>90</v>
      </c>
      <c r="AZ81" s="412">
        <v>90</v>
      </c>
      <c r="BA81" s="410">
        <v>90</v>
      </c>
      <c r="BB81" s="410">
        <v>90</v>
      </c>
      <c r="BC81" s="410">
        <v>95</v>
      </c>
      <c r="BD81" s="411">
        <v>90</v>
      </c>
      <c r="BE81" s="410">
        <v>90</v>
      </c>
      <c r="BF81" s="412">
        <v>90</v>
      </c>
      <c r="BG81" s="412">
        <v>90</v>
      </c>
      <c r="BH81" s="412">
        <v>95</v>
      </c>
      <c r="BI81" s="412">
        <v>95</v>
      </c>
      <c r="BJ81" s="412">
        <v>95</v>
      </c>
      <c r="BK81" s="412">
        <v>140</v>
      </c>
      <c r="BL81" s="412">
        <v>145</v>
      </c>
      <c r="BM81" s="412">
        <v>100.3</v>
      </c>
      <c r="BN81" s="412">
        <v>100</v>
      </c>
      <c r="BO81" s="412">
        <v>101.5</v>
      </c>
      <c r="BP81" s="412">
        <v>110</v>
      </c>
      <c r="BQ81" s="412">
        <v>110</v>
      </c>
      <c r="BR81" s="412">
        <v>136</v>
      </c>
      <c r="BS81" s="412">
        <v>136</v>
      </c>
      <c r="BT81" s="412">
        <v>136</v>
      </c>
      <c r="BU81" s="412">
        <v>110</v>
      </c>
      <c r="BV81" s="412">
        <v>110</v>
      </c>
      <c r="BW81" s="412">
        <v>110</v>
      </c>
      <c r="BX81" s="410">
        <v>110</v>
      </c>
      <c r="BY81" s="410">
        <v>98</v>
      </c>
      <c r="BZ81" s="410">
        <v>98</v>
      </c>
      <c r="CA81" s="410">
        <v>100.3</v>
      </c>
      <c r="CB81" s="410">
        <v>100.3</v>
      </c>
      <c r="CC81" s="410">
        <v>97.5</v>
      </c>
      <c r="CD81" s="410">
        <v>97</v>
      </c>
      <c r="CE81" s="410">
        <v>100</v>
      </c>
      <c r="CF81" s="410">
        <v>100</v>
      </c>
      <c r="CG81" s="410">
        <v>100</v>
      </c>
      <c r="CH81" s="410">
        <v>100</v>
      </c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269"/>
      <c r="DP81" s="269"/>
    </row>
    <row r="82" spans="1:120" ht="18.75" customHeight="1">
      <c r="A82" s="82"/>
      <c r="B82" s="82"/>
      <c r="C82" s="390">
        <f>+D81</f>
        <v>37995.041666666199</v>
      </c>
      <c r="D82" s="393">
        <v>37995.083333332863</v>
      </c>
      <c r="E82" s="255">
        <v>100</v>
      </c>
      <c r="F82" s="123">
        <v>100</v>
      </c>
      <c r="G82" s="271">
        <v>96</v>
      </c>
      <c r="H82" s="123">
        <v>90</v>
      </c>
      <c r="I82" s="313">
        <v>90</v>
      </c>
      <c r="J82" s="123">
        <v>90</v>
      </c>
      <c r="K82" s="123">
        <v>90</v>
      </c>
      <c r="L82" s="123">
        <v>95</v>
      </c>
      <c r="M82" s="271">
        <v>90</v>
      </c>
      <c r="N82" s="123">
        <v>90</v>
      </c>
      <c r="O82" s="313">
        <v>90</v>
      </c>
      <c r="P82" s="313">
        <v>90</v>
      </c>
      <c r="Q82" s="313">
        <v>95</v>
      </c>
      <c r="R82" s="313">
        <v>95</v>
      </c>
      <c r="S82" s="313">
        <v>95</v>
      </c>
      <c r="T82" s="313">
        <v>140</v>
      </c>
      <c r="U82" s="313">
        <v>145</v>
      </c>
      <c r="V82" s="313">
        <v>100.3</v>
      </c>
      <c r="W82" s="313">
        <v>100</v>
      </c>
      <c r="X82" s="313">
        <v>101.5</v>
      </c>
      <c r="Y82" s="313">
        <v>110</v>
      </c>
      <c r="Z82" s="313">
        <v>110</v>
      </c>
      <c r="AA82" s="313">
        <v>136</v>
      </c>
      <c r="AB82" s="313">
        <v>136</v>
      </c>
      <c r="AC82" s="313">
        <v>136</v>
      </c>
      <c r="AD82" s="313">
        <v>110</v>
      </c>
      <c r="AE82" s="313">
        <v>110</v>
      </c>
      <c r="AF82" s="313">
        <v>110</v>
      </c>
      <c r="AG82" s="123">
        <v>110</v>
      </c>
      <c r="AH82" s="123">
        <v>98</v>
      </c>
      <c r="AI82" s="123">
        <v>98</v>
      </c>
      <c r="AJ82" s="123">
        <v>100.3</v>
      </c>
      <c r="AK82" s="123">
        <v>100.3</v>
      </c>
      <c r="AL82" s="123">
        <v>97.5</v>
      </c>
      <c r="AM82" s="123">
        <v>97</v>
      </c>
      <c r="AN82" s="123">
        <v>100</v>
      </c>
      <c r="AO82" s="123">
        <v>100</v>
      </c>
      <c r="AP82" s="123">
        <v>100</v>
      </c>
      <c r="AQ82" s="123">
        <v>100</v>
      </c>
      <c r="AR82" s="82"/>
      <c r="AS82" s="82"/>
      <c r="AT82" s="390">
        <f>+AU81</f>
        <v>37995.041666666199</v>
      </c>
      <c r="AU82" s="393">
        <v>37995.083333332863</v>
      </c>
      <c r="AV82" s="255">
        <v>100</v>
      </c>
      <c r="AW82" s="123">
        <v>100</v>
      </c>
      <c r="AX82" s="271">
        <v>96</v>
      </c>
      <c r="AY82" s="123">
        <v>90</v>
      </c>
      <c r="AZ82" s="313">
        <v>90</v>
      </c>
      <c r="BA82" s="123">
        <v>90</v>
      </c>
      <c r="BB82" s="123">
        <v>90</v>
      </c>
      <c r="BC82" s="123">
        <v>95</v>
      </c>
      <c r="BD82" s="271">
        <v>90</v>
      </c>
      <c r="BE82" s="123">
        <v>90</v>
      </c>
      <c r="BF82" s="313">
        <v>90</v>
      </c>
      <c r="BG82" s="313">
        <v>90</v>
      </c>
      <c r="BH82" s="313">
        <v>95</v>
      </c>
      <c r="BI82" s="313">
        <v>95</v>
      </c>
      <c r="BJ82" s="313">
        <v>95</v>
      </c>
      <c r="BK82" s="313">
        <v>140</v>
      </c>
      <c r="BL82" s="313">
        <v>145</v>
      </c>
      <c r="BM82" s="313">
        <v>100.3</v>
      </c>
      <c r="BN82" s="313">
        <v>100</v>
      </c>
      <c r="BO82" s="313">
        <v>101.5</v>
      </c>
      <c r="BP82" s="313">
        <v>110</v>
      </c>
      <c r="BQ82" s="313">
        <v>110</v>
      </c>
      <c r="BR82" s="313">
        <v>136</v>
      </c>
      <c r="BS82" s="313">
        <v>136</v>
      </c>
      <c r="BT82" s="313">
        <v>136</v>
      </c>
      <c r="BU82" s="313">
        <v>110</v>
      </c>
      <c r="BV82" s="313">
        <v>110</v>
      </c>
      <c r="BW82" s="313">
        <v>110</v>
      </c>
      <c r="BX82" s="123">
        <v>110</v>
      </c>
      <c r="BY82" s="123">
        <v>98</v>
      </c>
      <c r="BZ82" s="123">
        <v>98</v>
      </c>
      <c r="CA82" s="123">
        <v>100.3</v>
      </c>
      <c r="CB82" s="123">
        <v>100.3</v>
      </c>
      <c r="CC82" s="123">
        <v>97.5</v>
      </c>
      <c r="CD82" s="123">
        <v>97</v>
      </c>
      <c r="CE82" s="123">
        <v>100</v>
      </c>
      <c r="CF82" s="123">
        <v>100</v>
      </c>
      <c r="CG82" s="123">
        <v>100</v>
      </c>
      <c r="CH82" s="123">
        <v>100</v>
      </c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269"/>
      <c r="DP82" s="269"/>
    </row>
    <row r="83" spans="1:120" ht="15">
      <c r="A83" s="82"/>
      <c r="B83" s="82"/>
      <c r="C83" s="390">
        <v>37995.083333332863</v>
      </c>
      <c r="D83" s="393">
        <v>37995.124999999527</v>
      </c>
      <c r="E83" s="255">
        <v>100</v>
      </c>
      <c r="F83" s="123">
        <v>100</v>
      </c>
      <c r="G83" s="271">
        <v>96</v>
      </c>
      <c r="H83" s="123">
        <v>90</v>
      </c>
      <c r="I83" s="313">
        <v>90</v>
      </c>
      <c r="J83" s="123">
        <v>90</v>
      </c>
      <c r="K83" s="123">
        <v>90</v>
      </c>
      <c r="L83" s="123">
        <v>95</v>
      </c>
      <c r="M83" s="271">
        <v>90</v>
      </c>
      <c r="N83" s="123">
        <v>90</v>
      </c>
      <c r="O83" s="313">
        <v>90</v>
      </c>
      <c r="P83" s="313">
        <v>90</v>
      </c>
      <c r="Q83" s="313">
        <v>95</v>
      </c>
      <c r="R83" s="313">
        <v>95</v>
      </c>
      <c r="S83" s="313">
        <v>95</v>
      </c>
      <c r="T83" s="313">
        <v>140</v>
      </c>
      <c r="U83" s="313">
        <v>145</v>
      </c>
      <c r="V83" s="313">
        <v>100.3</v>
      </c>
      <c r="W83" s="313">
        <v>100</v>
      </c>
      <c r="X83" s="313">
        <v>101.5</v>
      </c>
      <c r="Y83" s="313">
        <v>110</v>
      </c>
      <c r="Z83" s="313">
        <v>110</v>
      </c>
      <c r="AA83" s="313">
        <v>136</v>
      </c>
      <c r="AB83" s="313">
        <v>136</v>
      </c>
      <c r="AC83" s="313">
        <v>136</v>
      </c>
      <c r="AD83" s="313">
        <v>110</v>
      </c>
      <c r="AE83" s="313">
        <v>110</v>
      </c>
      <c r="AF83" s="313">
        <v>110</v>
      </c>
      <c r="AG83" s="123">
        <v>110</v>
      </c>
      <c r="AH83" s="123">
        <v>98</v>
      </c>
      <c r="AI83" s="123">
        <v>98</v>
      </c>
      <c r="AJ83" s="123">
        <v>100.3</v>
      </c>
      <c r="AK83" s="123">
        <v>100.3</v>
      </c>
      <c r="AL83" s="123">
        <v>97.5</v>
      </c>
      <c r="AM83" s="123">
        <v>97</v>
      </c>
      <c r="AN83" s="123">
        <v>100</v>
      </c>
      <c r="AO83" s="123">
        <v>100</v>
      </c>
      <c r="AP83" s="123">
        <v>100</v>
      </c>
      <c r="AQ83" s="123">
        <v>100</v>
      </c>
      <c r="AR83" s="82"/>
      <c r="AS83" s="82"/>
      <c r="AT83" s="390">
        <v>37995.083333332863</v>
      </c>
      <c r="AU83" s="393">
        <v>37995.124999999527</v>
      </c>
      <c r="AV83" s="255">
        <v>100</v>
      </c>
      <c r="AW83" s="123">
        <v>100</v>
      </c>
      <c r="AX83" s="271">
        <v>96</v>
      </c>
      <c r="AY83" s="123">
        <v>90</v>
      </c>
      <c r="AZ83" s="313">
        <v>90</v>
      </c>
      <c r="BA83" s="123">
        <v>90</v>
      </c>
      <c r="BB83" s="123">
        <v>90</v>
      </c>
      <c r="BC83" s="123">
        <v>95</v>
      </c>
      <c r="BD83" s="271">
        <v>90</v>
      </c>
      <c r="BE83" s="123">
        <v>90</v>
      </c>
      <c r="BF83" s="313">
        <v>90</v>
      </c>
      <c r="BG83" s="313">
        <v>90</v>
      </c>
      <c r="BH83" s="313">
        <v>95</v>
      </c>
      <c r="BI83" s="313">
        <v>95</v>
      </c>
      <c r="BJ83" s="313">
        <v>95</v>
      </c>
      <c r="BK83" s="313">
        <v>140</v>
      </c>
      <c r="BL83" s="313">
        <v>145</v>
      </c>
      <c r="BM83" s="313">
        <v>100.3</v>
      </c>
      <c r="BN83" s="313">
        <v>100</v>
      </c>
      <c r="BO83" s="313">
        <v>101.5</v>
      </c>
      <c r="BP83" s="313">
        <v>110</v>
      </c>
      <c r="BQ83" s="313">
        <v>110</v>
      </c>
      <c r="BR83" s="313">
        <v>136</v>
      </c>
      <c r="BS83" s="313">
        <v>136</v>
      </c>
      <c r="BT83" s="313">
        <v>136</v>
      </c>
      <c r="BU83" s="313">
        <v>110</v>
      </c>
      <c r="BV83" s="313">
        <v>110</v>
      </c>
      <c r="BW83" s="313">
        <v>110</v>
      </c>
      <c r="BX83" s="123">
        <v>110</v>
      </c>
      <c r="BY83" s="123">
        <v>98</v>
      </c>
      <c r="BZ83" s="123">
        <v>98</v>
      </c>
      <c r="CA83" s="123">
        <v>100.3</v>
      </c>
      <c r="CB83" s="123">
        <v>100.3</v>
      </c>
      <c r="CC83" s="123">
        <v>97.5</v>
      </c>
      <c r="CD83" s="123">
        <v>97</v>
      </c>
      <c r="CE83" s="123">
        <v>100</v>
      </c>
      <c r="CF83" s="123">
        <v>100</v>
      </c>
      <c r="CG83" s="123">
        <v>100</v>
      </c>
      <c r="CH83" s="123">
        <v>100</v>
      </c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269"/>
      <c r="DP83" s="269"/>
    </row>
    <row r="84" spans="1:120" ht="15">
      <c r="A84" s="82"/>
      <c r="B84" s="82"/>
      <c r="C84" s="390">
        <v>37995.124999999527</v>
      </c>
      <c r="D84" s="393">
        <v>37995.166666666191</v>
      </c>
      <c r="E84" s="255">
        <v>100</v>
      </c>
      <c r="F84" s="123">
        <v>100</v>
      </c>
      <c r="G84" s="271">
        <v>96</v>
      </c>
      <c r="H84" s="123">
        <v>90</v>
      </c>
      <c r="I84" s="313">
        <v>90</v>
      </c>
      <c r="J84" s="123">
        <v>90</v>
      </c>
      <c r="K84" s="123">
        <v>90</v>
      </c>
      <c r="L84" s="123">
        <v>95</v>
      </c>
      <c r="M84" s="271">
        <v>90</v>
      </c>
      <c r="N84" s="123">
        <v>90</v>
      </c>
      <c r="O84" s="313">
        <v>90</v>
      </c>
      <c r="P84" s="313">
        <v>90</v>
      </c>
      <c r="Q84" s="313">
        <v>95</v>
      </c>
      <c r="R84" s="313">
        <v>95</v>
      </c>
      <c r="S84" s="313">
        <v>95</v>
      </c>
      <c r="T84" s="313">
        <v>140</v>
      </c>
      <c r="U84" s="313">
        <v>145</v>
      </c>
      <c r="V84" s="313">
        <v>100.3</v>
      </c>
      <c r="W84" s="313">
        <v>100</v>
      </c>
      <c r="X84" s="313">
        <v>101.5</v>
      </c>
      <c r="Y84" s="313">
        <v>110</v>
      </c>
      <c r="Z84" s="313">
        <v>110</v>
      </c>
      <c r="AA84" s="313">
        <v>136</v>
      </c>
      <c r="AB84" s="313">
        <v>136</v>
      </c>
      <c r="AC84" s="313">
        <v>136</v>
      </c>
      <c r="AD84" s="313">
        <v>110</v>
      </c>
      <c r="AE84" s="313">
        <v>110</v>
      </c>
      <c r="AF84" s="313">
        <v>110</v>
      </c>
      <c r="AG84" s="123">
        <v>110</v>
      </c>
      <c r="AH84" s="123">
        <v>98</v>
      </c>
      <c r="AI84" s="123">
        <v>98</v>
      </c>
      <c r="AJ84" s="123">
        <v>100.3</v>
      </c>
      <c r="AK84" s="123">
        <v>100.3</v>
      </c>
      <c r="AL84" s="123">
        <v>97.5</v>
      </c>
      <c r="AM84" s="123">
        <v>97</v>
      </c>
      <c r="AN84" s="123">
        <v>100</v>
      </c>
      <c r="AO84" s="123">
        <v>100</v>
      </c>
      <c r="AP84" s="123">
        <v>100</v>
      </c>
      <c r="AQ84" s="123">
        <v>100</v>
      </c>
      <c r="AR84" s="82"/>
      <c r="AS84" s="82"/>
      <c r="AT84" s="390">
        <v>37995.124999999527</v>
      </c>
      <c r="AU84" s="393">
        <v>37995.166666666191</v>
      </c>
      <c r="AV84" s="255">
        <v>100</v>
      </c>
      <c r="AW84" s="123">
        <v>100</v>
      </c>
      <c r="AX84" s="271">
        <v>96</v>
      </c>
      <c r="AY84" s="123">
        <v>90</v>
      </c>
      <c r="AZ84" s="313">
        <v>90</v>
      </c>
      <c r="BA84" s="123">
        <v>90</v>
      </c>
      <c r="BB84" s="123">
        <v>90</v>
      </c>
      <c r="BC84" s="123">
        <v>95</v>
      </c>
      <c r="BD84" s="271">
        <v>90</v>
      </c>
      <c r="BE84" s="123">
        <v>90</v>
      </c>
      <c r="BF84" s="313">
        <v>90</v>
      </c>
      <c r="BG84" s="313">
        <v>90</v>
      </c>
      <c r="BH84" s="313">
        <v>95</v>
      </c>
      <c r="BI84" s="313">
        <v>95</v>
      </c>
      <c r="BJ84" s="313">
        <v>95</v>
      </c>
      <c r="BK84" s="313">
        <v>140</v>
      </c>
      <c r="BL84" s="313">
        <v>145</v>
      </c>
      <c r="BM84" s="313">
        <v>100.3</v>
      </c>
      <c r="BN84" s="313">
        <v>100</v>
      </c>
      <c r="BO84" s="313">
        <v>101.5</v>
      </c>
      <c r="BP84" s="313">
        <v>110</v>
      </c>
      <c r="BQ84" s="313">
        <v>110</v>
      </c>
      <c r="BR84" s="313">
        <v>136</v>
      </c>
      <c r="BS84" s="313">
        <v>136</v>
      </c>
      <c r="BT84" s="313">
        <v>136</v>
      </c>
      <c r="BU84" s="313">
        <v>110</v>
      </c>
      <c r="BV84" s="313">
        <v>110</v>
      </c>
      <c r="BW84" s="313">
        <v>110</v>
      </c>
      <c r="BX84" s="123">
        <v>110</v>
      </c>
      <c r="BY84" s="123">
        <v>98</v>
      </c>
      <c r="BZ84" s="123">
        <v>98</v>
      </c>
      <c r="CA84" s="123">
        <v>100.3</v>
      </c>
      <c r="CB84" s="123">
        <v>100.3</v>
      </c>
      <c r="CC84" s="123">
        <v>97.5</v>
      </c>
      <c r="CD84" s="123">
        <v>97</v>
      </c>
      <c r="CE84" s="123">
        <v>100</v>
      </c>
      <c r="CF84" s="123">
        <v>100</v>
      </c>
      <c r="CG84" s="123">
        <v>100</v>
      </c>
      <c r="CH84" s="123">
        <v>100</v>
      </c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269"/>
      <c r="DP84" s="269"/>
    </row>
    <row r="85" spans="1:120" ht="15">
      <c r="A85" s="82"/>
      <c r="B85" s="82"/>
      <c r="C85" s="390">
        <v>37995.166666666191</v>
      </c>
      <c r="D85" s="393">
        <v>37995.208333332856</v>
      </c>
      <c r="E85" s="255">
        <v>100</v>
      </c>
      <c r="F85" s="123">
        <v>100</v>
      </c>
      <c r="G85" s="271">
        <v>96</v>
      </c>
      <c r="H85" s="123">
        <v>90</v>
      </c>
      <c r="I85" s="313">
        <v>90</v>
      </c>
      <c r="J85" s="123">
        <v>90</v>
      </c>
      <c r="K85" s="123">
        <v>90</v>
      </c>
      <c r="L85" s="123">
        <v>95</v>
      </c>
      <c r="M85" s="271">
        <v>90</v>
      </c>
      <c r="N85" s="123">
        <v>90</v>
      </c>
      <c r="O85" s="313">
        <v>90</v>
      </c>
      <c r="P85" s="313">
        <v>90</v>
      </c>
      <c r="Q85" s="313">
        <v>95</v>
      </c>
      <c r="R85" s="313">
        <v>95</v>
      </c>
      <c r="S85" s="313">
        <v>95</v>
      </c>
      <c r="T85" s="313">
        <v>140</v>
      </c>
      <c r="U85" s="313">
        <v>145</v>
      </c>
      <c r="V85" s="313">
        <v>100.3</v>
      </c>
      <c r="W85" s="313">
        <v>100</v>
      </c>
      <c r="X85" s="313">
        <v>101.5</v>
      </c>
      <c r="Y85" s="313">
        <v>110</v>
      </c>
      <c r="Z85" s="313">
        <v>110</v>
      </c>
      <c r="AA85" s="313">
        <v>136</v>
      </c>
      <c r="AB85" s="313">
        <v>136</v>
      </c>
      <c r="AC85" s="313">
        <v>136</v>
      </c>
      <c r="AD85" s="313">
        <v>110</v>
      </c>
      <c r="AE85" s="313">
        <v>110</v>
      </c>
      <c r="AF85" s="313">
        <v>110</v>
      </c>
      <c r="AG85" s="123">
        <v>110</v>
      </c>
      <c r="AH85" s="123">
        <v>98</v>
      </c>
      <c r="AI85" s="123">
        <v>98</v>
      </c>
      <c r="AJ85" s="123">
        <v>100.3</v>
      </c>
      <c r="AK85" s="123">
        <v>100.3</v>
      </c>
      <c r="AL85" s="123">
        <v>97.5</v>
      </c>
      <c r="AM85" s="123">
        <v>97</v>
      </c>
      <c r="AN85" s="123">
        <v>100</v>
      </c>
      <c r="AO85" s="123">
        <v>100</v>
      </c>
      <c r="AP85" s="123">
        <v>100</v>
      </c>
      <c r="AQ85" s="123">
        <v>100</v>
      </c>
      <c r="AR85" s="82"/>
      <c r="AS85" s="82"/>
      <c r="AT85" s="390">
        <v>37995.166666666191</v>
      </c>
      <c r="AU85" s="393">
        <v>37995.208333332856</v>
      </c>
      <c r="AV85" s="255">
        <v>100</v>
      </c>
      <c r="AW85" s="123">
        <v>100</v>
      </c>
      <c r="AX85" s="271">
        <v>96</v>
      </c>
      <c r="AY85" s="123">
        <v>90</v>
      </c>
      <c r="AZ85" s="313">
        <v>90</v>
      </c>
      <c r="BA85" s="123">
        <v>90</v>
      </c>
      <c r="BB85" s="123">
        <v>90</v>
      </c>
      <c r="BC85" s="123">
        <v>95</v>
      </c>
      <c r="BD85" s="271">
        <v>90</v>
      </c>
      <c r="BE85" s="123">
        <v>90</v>
      </c>
      <c r="BF85" s="313">
        <v>90</v>
      </c>
      <c r="BG85" s="313">
        <v>90</v>
      </c>
      <c r="BH85" s="313">
        <v>95</v>
      </c>
      <c r="BI85" s="313">
        <v>95</v>
      </c>
      <c r="BJ85" s="313">
        <v>95</v>
      </c>
      <c r="BK85" s="313">
        <v>140</v>
      </c>
      <c r="BL85" s="313">
        <v>145</v>
      </c>
      <c r="BM85" s="313">
        <v>100.3</v>
      </c>
      <c r="BN85" s="313">
        <v>100</v>
      </c>
      <c r="BO85" s="313">
        <v>101.5</v>
      </c>
      <c r="BP85" s="313">
        <v>110</v>
      </c>
      <c r="BQ85" s="313">
        <v>110</v>
      </c>
      <c r="BR85" s="313">
        <v>136</v>
      </c>
      <c r="BS85" s="313">
        <v>136</v>
      </c>
      <c r="BT85" s="313">
        <v>136</v>
      </c>
      <c r="BU85" s="313">
        <v>110</v>
      </c>
      <c r="BV85" s="313">
        <v>110</v>
      </c>
      <c r="BW85" s="313">
        <v>110</v>
      </c>
      <c r="BX85" s="123">
        <v>110</v>
      </c>
      <c r="BY85" s="123">
        <v>98</v>
      </c>
      <c r="BZ85" s="123">
        <v>98</v>
      </c>
      <c r="CA85" s="123">
        <v>100.3</v>
      </c>
      <c r="CB85" s="123">
        <v>100.3</v>
      </c>
      <c r="CC85" s="123">
        <v>97.5</v>
      </c>
      <c r="CD85" s="123">
        <v>97</v>
      </c>
      <c r="CE85" s="123">
        <v>100</v>
      </c>
      <c r="CF85" s="123">
        <v>100</v>
      </c>
      <c r="CG85" s="123">
        <v>100</v>
      </c>
      <c r="CH85" s="123">
        <v>100</v>
      </c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269"/>
      <c r="DP85" s="269"/>
    </row>
    <row r="86" spans="1:120" ht="15">
      <c r="A86" s="82"/>
      <c r="B86" s="82"/>
      <c r="C86" s="390">
        <v>37995.208333332856</v>
      </c>
      <c r="D86" s="393">
        <v>37995.24999999952</v>
      </c>
      <c r="E86" s="255">
        <v>100</v>
      </c>
      <c r="F86" s="123">
        <v>100</v>
      </c>
      <c r="G86" s="271">
        <v>96</v>
      </c>
      <c r="H86" s="123">
        <v>90</v>
      </c>
      <c r="I86" s="313">
        <v>90</v>
      </c>
      <c r="J86" s="123">
        <v>90</v>
      </c>
      <c r="K86" s="123">
        <v>90</v>
      </c>
      <c r="L86" s="123">
        <v>95</v>
      </c>
      <c r="M86" s="271">
        <v>90</v>
      </c>
      <c r="N86" s="123">
        <v>90</v>
      </c>
      <c r="O86" s="313">
        <v>90</v>
      </c>
      <c r="P86" s="313">
        <v>90</v>
      </c>
      <c r="Q86" s="313">
        <v>95</v>
      </c>
      <c r="R86" s="313">
        <v>95</v>
      </c>
      <c r="S86" s="313">
        <v>95</v>
      </c>
      <c r="T86" s="313">
        <v>140</v>
      </c>
      <c r="U86" s="313">
        <v>145</v>
      </c>
      <c r="V86" s="313">
        <v>100.3</v>
      </c>
      <c r="W86" s="313">
        <v>100</v>
      </c>
      <c r="X86" s="313">
        <v>101.5</v>
      </c>
      <c r="Y86" s="313">
        <v>110</v>
      </c>
      <c r="Z86" s="313">
        <v>110</v>
      </c>
      <c r="AA86" s="313">
        <v>136</v>
      </c>
      <c r="AB86" s="313">
        <v>136</v>
      </c>
      <c r="AC86" s="313">
        <v>136</v>
      </c>
      <c r="AD86" s="313">
        <v>110</v>
      </c>
      <c r="AE86" s="313">
        <v>110</v>
      </c>
      <c r="AF86" s="313">
        <v>110</v>
      </c>
      <c r="AG86" s="123">
        <v>110</v>
      </c>
      <c r="AH86" s="123">
        <v>98</v>
      </c>
      <c r="AI86" s="123">
        <v>98</v>
      </c>
      <c r="AJ86" s="123">
        <v>100.3</v>
      </c>
      <c r="AK86" s="123">
        <v>100.3</v>
      </c>
      <c r="AL86" s="123">
        <v>97.5</v>
      </c>
      <c r="AM86" s="123">
        <v>97</v>
      </c>
      <c r="AN86" s="123">
        <v>100</v>
      </c>
      <c r="AO86" s="123">
        <v>100</v>
      </c>
      <c r="AP86" s="123">
        <v>100</v>
      </c>
      <c r="AQ86" s="123">
        <v>100</v>
      </c>
      <c r="AR86" s="82"/>
      <c r="AS86" s="82"/>
      <c r="AT86" s="390">
        <v>37995.208333332856</v>
      </c>
      <c r="AU86" s="393">
        <v>37995.24999999952</v>
      </c>
      <c r="AV86" s="255">
        <v>100</v>
      </c>
      <c r="AW86" s="123">
        <v>100</v>
      </c>
      <c r="AX86" s="271">
        <v>96</v>
      </c>
      <c r="AY86" s="123">
        <v>90</v>
      </c>
      <c r="AZ86" s="313">
        <v>90</v>
      </c>
      <c r="BA86" s="123">
        <v>90</v>
      </c>
      <c r="BB86" s="123">
        <v>90</v>
      </c>
      <c r="BC86" s="123">
        <v>95</v>
      </c>
      <c r="BD86" s="271">
        <v>90</v>
      </c>
      <c r="BE86" s="123">
        <v>90</v>
      </c>
      <c r="BF86" s="313">
        <v>90</v>
      </c>
      <c r="BG86" s="313">
        <v>90</v>
      </c>
      <c r="BH86" s="313">
        <v>95</v>
      </c>
      <c r="BI86" s="313">
        <v>95</v>
      </c>
      <c r="BJ86" s="313">
        <v>95</v>
      </c>
      <c r="BK86" s="313">
        <v>140</v>
      </c>
      <c r="BL86" s="313">
        <v>145</v>
      </c>
      <c r="BM86" s="313">
        <v>100.3</v>
      </c>
      <c r="BN86" s="313">
        <v>100</v>
      </c>
      <c r="BO86" s="313">
        <v>101.5</v>
      </c>
      <c r="BP86" s="313">
        <v>110</v>
      </c>
      <c r="BQ86" s="313">
        <v>110</v>
      </c>
      <c r="BR86" s="313">
        <v>136</v>
      </c>
      <c r="BS86" s="313">
        <v>136</v>
      </c>
      <c r="BT86" s="313">
        <v>136</v>
      </c>
      <c r="BU86" s="313">
        <v>110</v>
      </c>
      <c r="BV86" s="313">
        <v>110</v>
      </c>
      <c r="BW86" s="313">
        <v>110</v>
      </c>
      <c r="BX86" s="123">
        <v>110</v>
      </c>
      <c r="BY86" s="123">
        <v>98</v>
      </c>
      <c r="BZ86" s="123">
        <v>98</v>
      </c>
      <c r="CA86" s="123">
        <v>100.3</v>
      </c>
      <c r="CB86" s="123">
        <v>100.3</v>
      </c>
      <c r="CC86" s="123">
        <v>97.5</v>
      </c>
      <c r="CD86" s="123">
        <v>97</v>
      </c>
      <c r="CE86" s="123">
        <v>100</v>
      </c>
      <c r="CF86" s="123">
        <v>100</v>
      </c>
      <c r="CG86" s="123">
        <v>100</v>
      </c>
      <c r="CH86" s="123">
        <v>100</v>
      </c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269"/>
      <c r="DP86" s="269"/>
    </row>
    <row r="87" spans="1:120" ht="15">
      <c r="A87" s="82"/>
      <c r="B87" s="82"/>
      <c r="C87" s="391">
        <v>37995.24999999952</v>
      </c>
      <c r="D87" s="394">
        <v>37995.291666666184</v>
      </c>
      <c r="E87" s="258">
        <v>100</v>
      </c>
      <c r="F87" s="124">
        <v>100</v>
      </c>
      <c r="G87" s="272">
        <v>96</v>
      </c>
      <c r="H87" s="124">
        <v>90</v>
      </c>
      <c r="I87" s="314">
        <v>90</v>
      </c>
      <c r="J87" s="124">
        <v>90</v>
      </c>
      <c r="K87" s="124">
        <v>90</v>
      </c>
      <c r="L87" s="124">
        <v>95</v>
      </c>
      <c r="M87" s="272">
        <v>90</v>
      </c>
      <c r="N87" s="124">
        <v>90</v>
      </c>
      <c r="O87" s="314">
        <v>90</v>
      </c>
      <c r="P87" s="314">
        <v>90</v>
      </c>
      <c r="Q87" s="314">
        <v>95</v>
      </c>
      <c r="R87" s="314">
        <v>95</v>
      </c>
      <c r="S87" s="314">
        <v>95</v>
      </c>
      <c r="T87" s="314">
        <v>140</v>
      </c>
      <c r="U87" s="314">
        <v>145</v>
      </c>
      <c r="V87" s="314">
        <v>100.3</v>
      </c>
      <c r="W87" s="314">
        <v>100</v>
      </c>
      <c r="X87" s="314">
        <v>101.5</v>
      </c>
      <c r="Y87" s="314">
        <v>110</v>
      </c>
      <c r="Z87" s="314">
        <v>110</v>
      </c>
      <c r="AA87" s="314">
        <v>136</v>
      </c>
      <c r="AB87" s="314">
        <v>136</v>
      </c>
      <c r="AC87" s="314">
        <v>136</v>
      </c>
      <c r="AD87" s="314">
        <v>110</v>
      </c>
      <c r="AE87" s="314">
        <v>110</v>
      </c>
      <c r="AF87" s="314">
        <v>110</v>
      </c>
      <c r="AG87" s="124">
        <v>110</v>
      </c>
      <c r="AH87" s="124">
        <v>98</v>
      </c>
      <c r="AI87" s="124">
        <v>98</v>
      </c>
      <c r="AJ87" s="124">
        <v>100.3</v>
      </c>
      <c r="AK87" s="124">
        <v>100.3</v>
      </c>
      <c r="AL87" s="124">
        <v>97.5</v>
      </c>
      <c r="AM87" s="124">
        <v>97</v>
      </c>
      <c r="AN87" s="124">
        <v>100</v>
      </c>
      <c r="AO87" s="124">
        <v>100</v>
      </c>
      <c r="AP87" s="124">
        <v>100</v>
      </c>
      <c r="AQ87" s="124">
        <v>100</v>
      </c>
      <c r="AR87" s="82"/>
      <c r="AS87" s="82"/>
      <c r="AT87" s="391">
        <v>37995.24999999952</v>
      </c>
      <c r="AU87" s="394">
        <v>37995.291666666184</v>
      </c>
      <c r="AV87" s="258">
        <v>100</v>
      </c>
      <c r="AW87" s="124">
        <v>100</v>
      </c>
      <c r="AX87" s="272">
        <v>96</v>
      </c>
      <c r="AY87" s="124">
        <v>90</v>
      </c>
      <c r="AZ87" s="314">
        <v>90</v>
      </c>
      <c r="BA87" s="124">
        <v>90</v>
      </c>
      <c r="BB87" s="124">
        <v>90</v>
      </c>
      <c r="BC87" s="124">
        <v>95</v>
      </c>
      <c r="BD87" s="272">
        <v>90</v>
      </c>
      <c r="BE87" s="124">
        <v>90</v>
      </c>
      <c r="BF87" s="314">
        <v>90</v>
      </c>
      <c r="BG87" s="314">
        <v>90</v>
      </c>
      <c r="BH87" s="314">
        <v>95</v>
      </c>
      <c r="BI87" s="314">
        <v>95</v>
      </c>
      <c r="BJ87" s="314">
        <v>95</v>
      </c>
      <c r="BK87" s="314">
        <v>140</v>
      </c>
      <c r="BL87" s="314">
        <v>145</v>
      </c>
      <c r="BM87" s="314">
        <v>100.3</v>
      </c>
      <c r="BN87" s="314">
        <v>100</v>
      </c>
      <c r="BO87" s="314">
        <v>101.5</v>
      </c>
      <c r="BP87" s="314">
        <v>110</v>
      </c>
      <c r="BQ87" s="314">
        <v>110</v>
      </c>
      <c r="BR87" s="314">
        <v>136</v>
      </c>
      <c r="BS87" s="314">
        <v>136</v>
      </c>
      <c r="BT87" s="314">
        <v>136</v>
      </c>
      <c r="BU87" s="314">
        <v>110</v>
      </c>
      <c r="BV87" s="314">
        <v>110</v>
      </c>
      <c r="BW87" s="314">
        <v>110</v>
      </c>
      <c r="BX87" s="124">
        <v>110</v>
      </c>
      <c r="BY87" s="124">
        <v>98</v>
      </c>
      <c r="BZ87" s="124">
        <v>98</v>
      </c>
      <c r="CA87" s="124">
        <v>100.3</v>
      </c>
      <c r="CB87" s="124">
        <v>100.3</v>
      </c>
      <c r="CC87" s="124">
        <v>97.5</v>
      </c>
      <c r="CD87" s="124">
        <v>97</v>
      </c>
      <c r="CE87" s="124">
        <v>100</v>
      </c>
      <c r="CF87" s="124">
        <v>100</v>
      </c>
      <c r="CG87" s="124">
        <v>100</v>
      </c>
      <c r="CH87" s="124">
        <v>100</v>
      </c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269"/>
      <c r="DP87" s="269"/>
    </row>
    <row r="88" spans="1:120" ht="15">
      <c r="A88" s="82"/>
      <c r="B88" s="82"/>
      <c r="C88" s="391">
        <v>37995.291666666184</v>
      </c>
      <c r="D88" s="394">
        <v>37995.333333332848</v>
      </c>
      <c r="E88" s="258">
        <v>100</v>
      </c>
      <c r="F88" s="124">
        <v>100</v>
      </c>
      <c r="G88" s="272">
        <v>96</v>
      </c>
      <c r="H88" s="124">
        <v>90</v>
      </c>
      <c r="I88" s="314">
        <v>90</v>
      </c>
      <c r="J88" s="124">
        <v>90</v>
      </c>
      <c r="K88" s="124">
        <v>90</v>
      </c>
      <c r="L88" s="124">
        <v>95</v>
      </c>
      <c r="M88" s="272">
        <v>90</v>
      </c>
      <c r="N88" s="124">
        <v>90</v>
      </c>
      <c r="O88" s="314">
        <v>90</v>
      </c>
      <c r="P88" s="314">
        <v>90</v>
      </c>
      <c r="Q88" s="314">
        <v>95</v>
      </c>
      <c r="R88" s="314">
        <v>95</v>
      </c>
      <c r="S88" s="314">
        <v>95</v>
      </c>
      <c r="T88" s="314">
        <v>140</v>
      </c>
      <c r="U88" s="314">
        <v>145</v>
      </c>
      <c r="V88" s="314">
        <v>100.3</v>
      </c>
      <c r="W88" s="314">
        <v>100</v>
      </c>
      <c r="X88" s="314">
        <v>101.5</v>
      </c>
      <c r="Y88" s="314">
        <v>110</v>
      </c>
      <c r="Z88" s="314">
        <v>110</v>
      </c>
      <c r="AA88" s="314">
        <v>136</v>
      </c>
      <c r="AB88" s="314">
        <v>136</v>
      </c>
      <c r="AC88" s="314">
        <v>136</v>
      </c>
      <c r="AD88" s="314">
        <v>110</v>
      </c>
      <c r="AE88" s="314">
        <v>110</v>
      </c>
      <c r="AF88" s="314">
        <v>110</v>
      </c>
      <c r="AG88" s="124">
        <v>110</v>
      </c>
      <c r="AH88" s="124">
        <v>98</v>
      </c>
      <c r="AI88" s="124">
        <v>98</v>
      </c>
      <c r="AJ88" s="124">
        <v>100.3</v>
      </c>
      <c r="AK88" s="124">
        <v>100.3</v>
      </c>
      <c r="AL88" s="124">
        <v>97.5</v>
      </c>
      <c r="AM88" s="124">
        <v>97</v>
      </c>
      <c r="AN88" s="124">
        <v>100</v>
      </c>
      <c r="AO88" s="124">
        <v>100</v>
      </c>
      <c r="AP88" s="124">
        <v>100</v>
      </c>
      <c r="AQ88" s="124">
        <v>100</v>
      </c>
      <c r="AR88" s="82"/>
      <c r="AS88" s="82"/>
      <c r="AT88" s="391">
        <v>37995.291666666184</v>
      </c>
      <c r="AU88" s="394">
        <v>37995.333333332848</v>
      </c>
      <c r="AV88" s="258">
        <v>100</v>
      </c>
      <c r="AW88" s="124">
        <v>100</v>
      </c>
      <c r="AX88" s="272">
        <v>96</v>
      </c>
      <c r="AY88" s="124">
        <v>90</v>
      </c>
      <c r="AZ88" s="314">
        <v>90</v>
      </c>
      <c r="BA88" s="124">
        <v>90</v>
      </c>
      <c r="BB88" s="124">
        <v>90</v>
      </c>
      <c r="BC88" s="124">
        <v>95</v>
      </c>
      <c r="BD88" s="272">
        <v>90</v>
      </c>
      <c r="BE88" s="124">
        <v>90</v>
      </c>
      <c r="BF88" s="314">
        <v>90</v>
      </c>
      <c r="BG88" s="314">
        <v>90</v>
      </c>
      <c r="BH88" s="314">
        <v>95</v>
      </c>
      <c r="BI88" s="314">
        <v>95</v>
      </c>
      <c r="BJ88" s="314">
        <v>95</v>
      </c>
      <c r="BK88" s="314">
        <v>140</v>
      </c>
      <c r="BL88" s="314">
        <v>145</v>
      </c>
      <c r="BM88" s="314">
        <v>100.3</v>
      </c>
      <c r="BN88" s="314">
        <v>100</v>
      </c>
      <c r="BO88" s="314">
        <v>101.5</v>
      </c>
      <c r="BP88" s="314">
        <v>110</v>
      </c>
      <c r="BQ88" s="314">
        <v>110</v>
      </c>
      <c r="BR88" s="314">
        <v>136</v>
      </c>
      <c r="BS88" s="314">
        <v>136</v>
      </c>
      <c r="BT88" s="314">
        <v>136</v>
      </c>
      <c r="BU88" s="314">
        <v>110</v>
      </c>
      <c r="BV88" s="314">
        <v>110</v>
      </c>
      <c r="BW88" s="314">
        <v>110</v>
      </c>
      <c r="BX88" s="124">
        <v>110</v>
      </c>
      <c r="BY88" s="124">
        <v>98</v>
      </c>
      <c r="BZ88" s="124">
        <v>98</v>
      </c>
      <c r="CA88" s="124">
        <v>100.3</v>
      </c>
      <c r="CB88" s="124">
        <v>100.3</v>
      </c>
      <c r="CC88" s="124">
        <v>97.5</v>
      </c>
      <c r="CD88" s="124">
        <v>97</v>
      </c>
      <c r="CE88" s="124">
        <v>100</v>
      </c>
      <c r="CF88" s="124">
        <v>100</v>
      </c>
      <c r="CG88" s="124">
        <v>100</v>
      </c>
      <c r="CH88" s="124">
        <v>100</v>
      </c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269"/>
      <c r="DP88" s="269"/>
    </row>
    <row r="89" spans="1:120" ht="15">
      <c r="A89" s="82"/>
      <c r="B89" s="82"/>
      <c r="C89" s="391">
        <v>37995.333333332848</v>
      </c>
      <c r="D89" s="394">
        <v>37995.374999999513</v>
      </c>
      <c r="E89" s="258">
        <v>100</v>
      </c>
      <c r="F89" s="124">
        <v>100</v>
      </c>
      <c r="G89" s="272">
        <v>96</v>
      </c>
      <c r="H89" s="124">
        <v>90</v>
      </c>
      <c r="I89" s="314">
        <v>90</v>
      </c>
      <c r="J89" s="124">
        <v>90</v>
      </c>
      <c r="K89" s="124">
        <v>90</v>
      </c>
      <c r="L89" s="124">
        <v>95</v>
      </c>
      <c r="M89" s="272">
        <v>90</v>
      </c>
      <c r="N89" s="124">
        <v>90</v>
      </c>
      <c r="O89" s="314">
        <v>90</v>
      </c>
      <c r="P89" s="314">
        <v>90</v>
      </c>
      <c r="Q89" s="314">
        <v>95</v>
      </c>
      <c r="R89" s="314">
        <v>95</v>
      </c>
      <c r="S89" s="314">
        <v>95</v>
      </c>
      <c r="T89" s="314">
        <v>140</v>
      </c>
      <c r="U89" s="314">
        <v>145</v>
      </c>
      <c r="V89" s="314">
        <v>100.3</v>
      </c>
      <c r="W89" s="314">
        <v>100</v>
      </c>
      <c r="X89" s="314">
        <v>101.5</v>
      </c>
      <c r="Y89" s="314">
        <v>110</v>
      </c>
      <c r="Z89" s="314">
        <v>110</v>
      </c>
      <c r="AA89" s="314">
        <v>136</v>
      </c>
      <c r="AB89" s="314">
        <v>136</v>
      </c>
      <c r="AC89" s="314">
        <v>136</v>
      </c>
      <c r="AD89" s="314">
        <v>110</v>
      </c>
      <c r="AE89" s="314">
        <v>110</v>
      </c>
      <c r="AF89" s="314">
        <v>110</v>
      </c>
      <c r="AG89" s="124">
        <v>110</v>
      </c>
      <c r="AH89" s="124">
        <v>98</v>
      </c>
      <c r="AI89" s="124">
        <v>98</v>
      </c>
      <c r="AJ89" s="124">
        <v>100.3</v>
      </c>
      <c r="AK89" s="124">
        <v>100.3</v>
      </c>
      <c r="AL89" s="124">
        <v>97.5</v>
      </c>
      <c r="AM89" s="124">
        <v>97</v>
      </c>
      <c r="AN89" s="124">
        <v>100</v>
      </c>
      <c r="AO89" s="124">
        <v>100</v>
      </c>
      <c r="AP89" s="124">
        <v>100</v>
      </c>
      <c r="AQ89" s="124">
        <v>100</v>
      </c>
      <c r="AR89" s="82"/>
      <c r="AS89" s="82"/>
      <c r="AT89" s="391">
        <v>37995.333333332848</v>
      </c>
      <c r="AU89" s="394">
        <v>37995.374999999513</v>
      </c>
      <c r="AV89" s="258">
        <v>100</v>
      </c>
      <c r="AW89" s="124">
        <v>100</v>
      </c>
      <c r="AX89" s="272">
        <v>96</v>
      </c>
      <c r="AY89" s="124">
        <v>90</v>
      </c>
      <c r="AZ89" s="314">
        <v>90</v>
      </c>
      <c r="BA89" s="124">
        <v>90</v>
      </c>
      <c r="BB89" s="124">
        <v>90</v>
      </c>
      <c r="BC89" s="124">
        <v>95</v>
      </c>
      <c r="BD89" s="272">
        <v>90</v>
      </c>
      <c r="BE89" s="124">
        <v>90</v>
      </c>
      <c r="BF89" s="314">
        <v>90</v>
      </c>
      <c r="BG89" s="314">
        <v>90</v>
      </c>
      <c r="BH89" s="314">
        <v>95</v>
      </c>
      <c r="BI89" s="314">
        <v>95</v>
      </c>
      <c r="BJ89" s="314">
        <v>95</v>
      </c>
      <c r="BK89" s="314">
        <v>140</v>
      </c>
      <c r="BL89" s="314">
        <v>145</v>
      </c>
      <c r="BM89" s="314">
        <v>100.3</v>
      </c>
      <c r="BN89" s="314">
        <v>100</v>
      </c>
      <c r="BO89" s="314">
        <v>101.5</v>
      </c>
      <c r="BP89" s="314">
        <v>110</v>
      </c>
      <c r="BQ89" s="314">
        <v>110</v>
      </c>
      <c r="BR89" s="314">
        <v>136</v>
      </c>
      <c r="BS89" s="314">
        <v>136</v>
      </c>
      <c r="BT89" s="314">
        <v>136</v>
      </c>
      <c r="BU89" s="314">
        <v>110</v>
      </c>
      <c r="BV89" s="314">
        <v>110</v>
      </c>
      <c r="BW89" s="314">
        <v>110</v>
      </c>
      <c r="BX89" s="124">
        <v>110</v>
      </c>
      <c r="BY89" s="124">
        <v>98</v>
      </c>
      <c r="BZ89" s="124">
        <v>98</v>
      </c>
      <c r="CA89" s="124">
        <v>100.3</v>
      </c>
      <c r="CB89" s="124">
        <v>100.3</v>
      </c>
      <c r="CC89" s="124">
        <v>97.5</v>
      </c>
      <c r="CD89" s="124">
        <v>97</v>
      </c>
      <c r="CE89" s="124">
        <v>100</v>
      </c>
      <c r="CF89" s="124">
        <v>100</v>
      </c>
      <c r="CG89" s="124">
        <v>100</v>
      </c>
      <c r="CH89" s="124">
        <v>100</v>
      </c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269"/>
      <c r="DP89" s="269"/>
    </row>
    <row r="90" spans="1:120" ht="15">
      <c r="A90" s="82"/>
      <c r="B90" s="82"/>
      <c r="C90" s="391">
        <v>37995.374999999513</v>
      </c>
      <c r="D90" s="394">
        <v>37995.416666666177</v>
      </c>
      <c r="E90" s="258">
        <v>100</v>
      </c>
      <c r="F90" s="124">
        <v>100</v>
      </c>
      <c r="G90" s="272">
        <v>96</v>
      </c>
      <c r="H90" s="124">
        <v>90</v>
      </c>
      <c r="I90" s="314">
        <v>90</v>
      </c>
      <c r="J90" s="124">
        <v>90</v>
      </c>
      <c r="K90" s="124">
        <v>90</v>
      </c>
      <c r="L90" s="124">
        <v>95</v>
      </c>
      <c r="M90" s="272">
        <v>90</v>
      </c>
      <c r="N90" s="124">
        <v>90</v>
      </c>
      <c r="O90" s="314">
        <v>90</v>
      </c>
      <c r="P90" s="314">
        <v>90</v>
      </c>
      <c r="Q90" s="314">
        <v>95</v>
      </c>
      <c r="R90" s="314">
        <v>95</v>
      </c>
      <c r="S90" s="314">
        <v>95</v>
      </c>
      <c r="T90" s="314">
        <v>140</v>
      </c>
      <c r="U90" s="314">
        <v>145</v>
      </c>
      <c r="V90" s="314">
        <v>100.3</v>
      </c>
      <c r="W90" s="314">
        <v>100</v>
      </c>
      <c r="X90" s="314">
        <v>101.5</v>
      </c>
      <c r="Y90" s="314">
        <v>110</v>
      </c>
      <c r="Z90" s="314">
        <v>110</v>
      </c>
      <c r="AA90" s="314">
        <v>136</v>
      </c>
      <c r="AB90" s="314">
        <v>136</v>
      </c>
      <c r="AC90" s="314">
        <v>136</v>
      </c>
      <c r="AD90" s="314">
        <v>110</v>
      </c>
      <c r="AE90" s="314">
        <v>110</v>
      </c>
      <c r="AF90" s="314">
        <v>110</v>
      </c>
      <c r="AG90" s="124">
        <v>110</v>
      </c>
      <c r="AH90" s="124">
        <v>98</v>
      </c>
      <c r="AI90" s="124">
        <v>98</v>
      </c>
      <c r="AJ90" s="124">
        <v>100.3</v>
      </c>
      <c r="AK90" s="124">
        <v>100.3</v>
      </c>
      <c r="AL90" s="124">
        <v>97.5</v>
      </c>
      <c r="AM90" s="124">
        <v>97</v>
      </c>
      <c r="AN90" s="124">
        <v>100</v>
      </c>
      <c r="AO90" s="124">
        <v>100</v>
      </c>
      <c r="AP90" s="124">
        <v>100</v>
      </c>
      <c r="AQ90" s="124">
        <v>100</v>
      </c>
      <c r="AR90" s="82"/>
      <c r="AS90" s="82"/>
      <c r="AT90" s="391">
        <v>37995.374999999513</v>
      </c>
      <c r="AU90" s="394">
        <v>37995.416666666177</v>
      </c>
      <c r="AV90" s="258">
        <v>100</v>
      </c>
      <c r="AW90" s="124">
        <v>100</v>
      </c>
      <c r="AX90" s="272">
        <v>96</v>
      </c>
      <c r="AY90" s="124">
        <v>90</v>
      </c>
      <c r="AZ90" s="314">
        <v>90</v>
      </c>
      <c r="BA90" s="124">
        <v>90</v>
      </c>
      <c r="BB90" s="124">
        <v>90</v>
      </c>
      <c r="BC90" s="124">
        <v>95</v>
      </c>
      <c r="BD90" s="272">
        <v>90</v>
      </c>
      <c r="BE90" s="124">
        <v>90</v>
      </c>
      <c r="BF90" s="314">
        <v>90</v>
      </c>
      <c r="BG90" s="314">
        <v>90</v>
      </c>
      <c r="BH90" s="314">
        <v>95</v>
      </c>
      <c r="BI90" s="314">
        <v>95</v>
      </c>
      <c r="BJ90" s="314">
        <v>95</v>
      </c>
      <c r="BK90" s="314">
        <v>140</v>
      </c>
      <c r="BL90" s="314">
        <v>145</v>
      </c>
      <c r="BM90" s="314">
        <v>100.3</v>
      </c>
      <c r="BN90" s="314">
        <v>100</v>
      </c>
      <c r="BO90" s="314">
        <v>101.5</v>
      </c>
      <c r="BP90" s="314">
        <v>110</v>
      </c>
      <c r="BQ90" s="314">
        <v>110</v>
      </c>
      <c r="BR90" s="314">
        <v>136</v>
      </c>
      <c r="BS90" s="314">
        <v>136</v>
      </c>
      <c r="BT90" s="314">
        <v>136</v>
      </c>
      <c r="BU90" s="314">
        <v>110</v>
      </c>
      <c r="BV90" s="314">
        <v>110</v>
      </c>
      <c r="BW90" s="314">
        <v>110</v>
      </c>
      <c r="BX90" s="124">
        <v>110</v>
      </c>
      <c r="BY90" s="124">
        <v>98</v>
      </c>
      <c r="BZ90" s="124">
        <v>98</v>
      </c>
      <c r="CA90" s="124">
        <v>100.3</v>
      </c>
      <c r="CB90" s="124">
        <v>100.3</v>
      </c>
      <c r="CC90" s="124">
        <v>97.5</v>
      </c>
      <c r="CD90" s="124">
        <v>97</v>
      </c>
      <c r="CE90" s="124">
        <v>100</v>
      </c>
      <c r="CF90" s="124">
        <v>100</v>
      </c>
      <c r="CG90" s="124">
        <v>100</v>
      </c>
      <c r="CH90" s="124">
        <v>100</v>
      </c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269"/>
      <c r="DP90" s="269"/>
    </row>
    <row r="91" spans="1:120" ht="15">
      <c r="A91" s="82"/>
      <c r="B91" s="82"/>
      <c r="C91" s="392">
        <v>37995.416666666177</v>
      </c>
      <c r="D91" s="395">
        <v>37995.458333332841</v>
      </c>
      <c r="E91" s="261">
        <v>100</v>
      </c>
      <c r="F91" s="125">
        <v>100</v>
      </c>
      <c r="G91" s="273">
        <v>96</v>
      </c>
      <c r="H91" s="125">
        <v>90</v>
      </c>
      <c r="I91" s="315">
        <v>90</v>
      </c>
      <c r="J91" s="125">
        <v>90</v>
      </c>
      <c r="K91" s="125">
        <v>90</v>
      </c>
      <c r="L91" s="125">
        <v>95</v>
      </c>
      <c r="M91" s="273">
        <v>90</v>
      </c>
      <c r="N91" s="125">
        <v>90</v>
      </c>
      <c r="O91" s="315">
        <v>90</v>
      </c>
      <c r="P91" s="315">
        <v>90</v>
      </c>
      <c r="Q91" s="315">
        <v>95</v>
      </c>
      <c r="R91" s="315">
        <v>95</v>
      </c>
      <c r="S91" s="315">
        <v>95</v>
      </c>
      <c r="T91" s="315">
        <v>140</v>
      </c>
      <c r="U91" s="315">
        <v>145</v>
      </c>
      <c r="V91" s="315">
        <v>100.3</v>
      </c>
      <c r="W91" s="315">
        <v>100</v>
      </c>
      <c r="X91" s="315">
        <v>101.5</v>
      </c>
      <c r="Y91" s="315">
        <v>110</v>
      </c>
      <c r="Z91" s="315">
        <v>110</v>
      </c>
      <c r="AA91" s="315">
        <v>136</v>
      </c>
      <c r="AB91" s="315">
        <v>136</v>
      </c>
      <c r="AC91" s="315">
        <v>136</v>
      </c>
      <c r="AD91" s="315">
        <v>110</v>
      </c>
      <c r="AE91" s="315">
        <v>110</v>
      </c>
      <c r="AF91" s="315">
        <v>110</v>
      </c>
      <c r="AG91" s="315">
        <v>110</v>
      </c>
      <c r="AH91" s="125">
        <v>98</v>
      </c>
      <c r="AI91" s="125">
        <v>98</v>
      </c>
      <c r="AJ91" s="125">
        <v>100.3</v>
      </c>
      <c r="AK91" s="125">
        <v>100.3</v>
      </c>
      <c r="AL91" s="125">
        <v>97.5</v>
      </c>
      <c r="AM91" s="125">
        <v>97</v>
      </c>
      <c r="AN91" s="125">
        <v>100</v>
      </c>
      <c r="AO91" s="125">
        <v>100</v>
      </c>
      <c r="AP91" s="125">
        <v>100</v>
      </c>
      <c r="AQ91" s="125">
        <v>100</v>
      </c>
      <c r="AR91" s="82"/>
      <c r="AS91" s="82"/>
      <c r="AT91" s="392">
        <v>37995.416666666177</v>
      </c>
      <c r="AU91" s="395">
        <v>37995.458333332841</v>
      </c>
      <c r="AV91" s="261">
        <v>100</v>
      </c>
      <c r="AW91" s="125">
        <v>100</v>
      </c>
      <c r="AX91" s="273">
        <v>96</v>
      </c>
      <c r="AY91" s="125">
        <v>90</v>
      </c>
      <c r="AZ91" s="315">
        <v>90</v>
      </c>
      <c r="BA91" s="125">
        <v>90</v>
      </c>
      <c r="BB91" s="125">
        <v>90</v>
      </c>
      <c r="BC91" s="125">
        <v>95</v>
      </c>
      <c r="BD91" s="273">
        <v>90</v>
      </c>
      <c r="BE91" s="125">
        <v>90</v>
      </c>
      <c r="BF91" s="315">
        <v>90</v>
      </c>
      <c r="BG91" s="315">
        <v>90</v>
      </c>
      <c r="BH91" s="315">
        <v>95</v>
      </c>
      <c r="BI91" s="315">
        <v>95</v>
      </c>
      <c r="BJ91" s="315">
        <v>95</v>
      </c>
      <c r="BK91" s="315">
        <v>140</v>
      </c>
      <c r="BL91" s="315">
        <v>145</v>
      </c>
      <c r="BM91" s="315">
        <v>100.3</v>
      </c>
      <c r="BN91" s="315">
        <v>100</v>
      </c>
      <c r="BO91" s="315">
        <v>101.5</v>
      </c>
      <c r="BP91" s="315">
        <v>110</v>
      </c>
      <c r="BQ91" s="315">
        <v>110</v>
      </c>
      <c r="BR91" s="315">
        <v>136</v>
      </c>
      <c r="BS91" s="315">
        <v>136</v>
      </c>
      <c r="BT91" s="315">
        <v>136</v>
      </c>
      <c r="BU91" s="315">
        <v>110</v>
      </c>
      <c r="BV91" s="315">
        <v>110</v>
      </c>
      <c r="BW91" s="315">
        <v>110</v>
      </c>
      <c r="BX91" s="315">
        <v>110</v>
      </c>
      <c r="BY91" s="125">
        <v>98</v>
      </c>
      <c r="BZ91" s="125">
        <v>98</v>
      </c>
      <c r="CA91" s="125">
        <v>100.3</v>
      </c>
      <c r="CB91" s="125">
        <v>100.3</v>
      </c>
      <c r="CC91" s="125">
        <v>97.5</v>
      </c>
      <c r="CD91" s="125">
        <v>97</v>
      </c>
      <c r="CE91" s="125">
        <v>100</v>
      </c>
      <c r="CF91" s="125">
        <v>100</v>
      </c>
      <c r="CG91" s="125">
        <v>100</v>
      </c>
      <c r="CH91" s="125">
        <v>100</v>
      </c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269"/>
      <c r="DP91" s="269"/>
    </row>
    <row r="92" spans="1:120" ht="15">
      <c r="A92" s="82"/>
      <c r="B92" s="82"/>
      <c r="C92" s="392">
        <v>37995.458333332841</v>
      </c>
      <c r="D92" s="395">
        <v>37995.499999999505</v>
      </c>
      <c r="E92" s="261">
        <v>100</v>
      </c>
      <c r="F92" s="125">
        <v>100</v>
      </c>
      <c r="G92" s="273">
        <v>96</v>
      </c>
      <c r="H92" s="125">
        <v>90</v>
      </c>
      <c r="I92" s="315">
        <v>90</v>
      </c>
      <c r="J92" s="125">
        <v>90</v>
      </c>
      <c r="K92" s="125">
        <v>90</v>
      </c>
      <c r="L92" s="125">
        <v>95</v>
      </c>
      <c r="M92" s="273">
        <v>90</v>
      </c>
      <c r="N92" s="125">
        <v>90</v>
      </c>
      <c r="O92" s="315">
        <v>90</v>
      </c>
      <c r="P92" s="315">
        <v>90</v>
      </c>
      <c r="Q92" s="315">
        <v>95</v>
      </c>
      <c r="R92" s="315">
        <v>95</v>
      </c>
      <c r="S92" s="315">
        <v>95</v>
      </c>
      <c r="T92" s="315">
        <v>140</v>
      </c>
      <c r="U92" s="315">
        <v>145</v>
      </c>
      <c r="V92" s="315">
        <v>100.3</v>
      </c>
      <c r="W92" s="315">
        <v>100</v>
      </c>
      <c r="X92" s="315">
        <v>101.5</v>
      </c>
      <c r="Y92" s="315">
        <v>110</v>
      </c>
      <c r="Z92" s="315">
        <v>110</v>
      </c>
      <c r="AA92" s="315">
        <v>136</v>
      </c>
      <c r="AB92" s="315">
        <v>136</v>
      </c>
      <c r="AC92" s="315">
        <v>136</v>
      </c>
      <c r="AD92" s="315">
        <v>110</v>
      </c>
      <c r="AE92" s="315">
        <v>110</v>
      </c>
      <c r="AF92" s="315">
        <v>110</v>
      </c>
      <c r="AG92" s="315">
        <v>110</v>
      </c>
      <c r="AH92" s="125">
        <v>98</v>
      </c>
      <c r="AI92" s="125">
        <v>98</v>
      </c>
      <c r="AJ92" s="125">
        <v>100.3</v>
      </c>
      <c r="AK92" s="125">
        <v>100.3</v>
      </c>
      <c r="AL92" s="125">
        <v>97.5</v>
      </c>
      <c r="AM92" s="125">
        <v>97</v>
      </c>
      <c r="AN92" s="125">
        <v>100</v>
      </c>
      <c r="AO92" s="125">
        <v>100</v>
      </c>
      <c r="AP92" s="125">
        <v>100</v>
      </c>
      <c r="AQ92" s="125">
        <v>100</v>
      </c>
      <c r="AR92" s="82"/>
      <c r="AS92" s="82"/>
      <c r="AT92" s="392">
        <v>37995.458333332841</v>
      </c>
      <c r="AU92" s="395">
        <v>37995.499999999505</v>
      </c>
      <c r="AV92" s="261">
        <v>100</v>
      </c>
      <c r="AW92" s="125">
        <v>100</v>
      </c>
      <c r="AX92" s="273">
        <v>96</v>
      </c>
      <c r="AY92" s="125">
        <v>90</v>
      </c>
      <c r="AZ92" s="315">
        <v>90</v>
      </c>
      <c r="BA92" s="125">
        <v>90</v>
      </c>
      <c r="BB92" s="125">
        <v>90</v>
      </c>
      <c r="BC92" s="125">
        <v>95</v>
      </c>
      <c r="BD92" s="273">
        <v>90</v>
      </c>
      <c r="BE92" s="125">
        <v>90</v>
      </c>
      <c r="BF92" s="315">
        <v>90</v>
      </c>
      <c r="BG92" s="315">
        <v>90</v>
      </c>
      <c r="BH92" s="315">
        <v>95</v>
      </c>
      <c r="BI92" s="315">
        <v>95</v>
      </c>
      <c r="BJ92" s="315">
        <v>95</v>
      </c>
      <c r="BK92" s="315">
        <v>140</v>
      </c>
      <c r="BL92" s="315">
        <v>145</v>
      </c>
      <c r="BM92" s="315">
        <v>100.3</v>
      </c>
      <c r="BN92" s="315">
        <v>100</v>
      </c>
      <c r="BO92" s="315">
        <v>101.5</v>
      </c>
      <c r="BP92" s="315">
        <v>110</v>
      </c>
      <c r="BQ92" s="315">
        <v>110</v>
      </c>
      <c r="BR92" s="315">
        <v>136</v>
      </c>
      <c r="BS92" s="315">
        <v>136</v>
      </c>
      <c r="BT92" s="315">
        <v>136</v>
      </c>
      <c r="BU92" s="315">
        <v>110</v>
      </c>
      <c r="BV92" s="315">
        <v>110</v>
      </c>
      <c r="BW92" s="315">
        <v>110</v>
      </c>
      <c r="BX92" s="315">
        <v>110</v>
      </c>
      <c r="BY92" s="125">
        <v>98</v>
      </c>
      <c r="BZ92" s="125">
        <v>98</v>
      </c>
      <c r="CA92" s="125">
        <v>100.3</v>
      </c>
      <c r="CB92" s="125">
        <v>100.3</v>
      </c>
      <c r="CC92" s="125">
        <v>97.5</v>
      </c>
      <c r="CD92" s="125">
        <v>97</v>
      </c>
      <c r="CE92" s="125">
        <v>100</v>
      </c>
      <c r="CF92" s="125">
        <v>100</v>
      </c>
      <c r="CG92" s="125">
        <v>100</v>
      </c>
      <c r="CH92" s="125">
        <v>100</v>
      </c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269"/>
      <c r="DP92" s="269"/>
    </row>
    <row r="93" spans="1:120" ht="15">
      <c r="A93" s="82"/>
      <c r="B93" s="82"/>
      <c r="C93" s="392">
        <v>37995.499999999505</v>
      </c>
      <c r="D93" s="395">
        <v>37995.541666666169</v>
      </c>
      <c r="E93" s="261">
        <v>100</v>
      </c>
      <c r="F93" s="125">
        <v>100</v>
      </c>
      <c r="G93" s="273">
        <v>96</v>
      </c>
      <c r="H93" s="125">
        <v>90</v>
      </c>
      <c r="I93" s="315">
        <v>90</v>
      </c>
      <c r="J93" s="125">
        <v>90</v>
      </c>
      <c r="K93" s="125">
        <v>90</v>
      </c>
      <c r="L93" s="125">
        <v>95</v>
      </c>
      <c r="M93" s="273">
        <v>90</v>
      </c>
      <c r="N93" s="125">
        <v>90</v>
      </c>
      <c r="O93" s="315">
        <v>90</v>
      </c>
      <c r="P93" s="315">
        <v>90</v>
      </c>
      <c r="Q93" s="315">
        <v>95</v>
      </c>
      <c r="R93" s="315">
        <v>95</v>
      </c>
      <c r="S93" s="315">
        <v>95</v>
      </c>
      <c r="T93" s="315">
        <v>140</v>
      </c>
      <c r="U93" s="315">
        <v>145</v>
      </c>
      <c r="V93" s="315">
        <v>100.3</v>
      </c>
      <c r="W93" s="315">
        <v>100</v>
      </c>
      <c r="X93" s="315">
        <v>101.5</v>
      </c>
      <c r="Y93" s="315">
        <v>110</v>
      </c>
      <c r="Z93" s="315">
        <v>110</v>
      </c>
      <c r="AA93" s="315">
        <v>136</v>
      </c>
      <c r="AB93" s="315">
        <v>136</v>
      </c>
      <c r="AC93" s="315">
        <v>136</v>
      </c>
      <c r="AD93" s="315">
        <v>110</v>
      </c>
      <c r="AE93" s="315">
        <v>110</v>
      </c>
      <c r="AF93" s="315">
        <v>110</v>
      </c>
      <c r="AG93" s="315">
        <v>110</v>
      </c>
      <c r="AH93" s="125">
        <v>98</v>
      </c>
      <c r="AI93" s="125">
        <v>98</v>
      </c>
      <c r="AJ93" s="125">
        <v>100.3</v>
      </c>
      <c r="AK93" s="125">
        <v>100.3</v>
      </c>
      <c r="AL93" s="125">
        <v>97.5</v>
      </c>
      <c r="AM93" s="125">
        <v>97</v>
      </c>
      <c r="AN93" s="125">
        <v>100</v>
      </c>
      <c r="AO93" s="125">
        <v>100</v>
      </c>
      <c r="AP93" s="125">
        <v>100</v>
      </c>
      <c r="AQ93" s="125">
        <v>100</v>
      </c>
      <c r="AR93" s="82"/>
      <c r="AS93" s="82"/>
      <c r="AT93" s="392">
        <v>37995.499999999505</v>
      </c>
      <c r="AU93" s="395">
        <v>37995.541666666169</v>
      </c>
      <c r="AV93" s="261">
        <v>100</v>
      </c>
      <c r="AW93" s="125">
        <v>100</v>
      </c>
      <c r="AX93" s="273">
        <v>96</v>
      </c>
      <c r="AY93" s="125">
        <v>90</v>
      </c>
      <c r="AZ93" s="315">
        <v>90</v>
      </c>
      <c r="BA93" s="125">
        <v>90</v>
      </c>
      <c r="BB93" s="125">
        <v>90</v>
      </c>
      <c r="BC93" s="125">
        <v>95</v>
      </c>
      <c r="BD93" s="273">
        <v>90</v>
      </c>
      <c r="BE93" s="125">
        <v>90</v>
      </c>
      <c r="BF93" s="315">
        <v>90</v>
      </c>
      <c r="BG93" s="315">
        <v>90</v>
      </c>
      <c r="BH93" s="315">
        <v>95</v>
      </c>
      <c r="BI93" s="315">
        <v>95</v>
      </c>
      <c r="BJ93" s="315">
        <v>95</v>
      </c>
      <c r="BK93" s="315">
        <v>140</v>
      </c>
      <c r="BL93" s="315">
        <v>145</v>
      </c>
      <c r="BM93" s="315">
        <v>100.3</v>
      </c>
      <c r="BN93" s="315">
        <v>100</v>
      </c>
      <c r="BO93" s="315">
        <v>101.5</v>
      </c>
      <c r="BP93" s="315">
        <v>110</v>
      </c>
      <c r="BQ93" s="315">
        <v>110</v>
      </c>
      <c r="BR93" s="315">
        <v>136</v>
      </c>
      <c r="BS93" s="315">
        <v>136</v>
      </c>
      <c r="BT93" s="315">
        <v>136</v>
      </c>
      <c r="BU93" s="315">
        <v>110</v>
      </c>
      <c r="BV93" s="315">
        <v>110</v>
      </c>
      <c r="BW93" s="315">
        <v>110</v>
      </c>
      <c r="BX93" s="315">
        <v>110</v>
      </c>
      <c r="BY93" s="125">
        <v>98</v>
      </c>
      <c r="BZ93" s="125">
        <v>98</v>
      </c>
      <c r="CA93" s="125">
        <v>100.3</v>
      </c>
      <c r="CB93" s="125">
        <v>100.3</v>
      </c>
      <c r="CC93" s="125">
        <v>97.5</v>
      </c>
      <c r="CD93" s="125">
        <v>97</v>
      </c>
      <c r="CE93" s="125">
        <v>100</v>
      </c>
      <c r="CF93" s="125">
        <v>100</v>
      </c>
      <c r="CG93" s="125">
        <v>100</v>
      </c>
      <c r="CH93" s="125">
        <v>100</v>
      </c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269"/>
      <c r="DP93" s="269"/>
    </row>
    <row r="94" spans="1:120" ht="15">
      <c r="A94" s="82"/>
      <c r="B94" s="82"/>
      <c r="C94" s="391">
        <v>37995.541666666169</v>
      </c>
      <c r="D94" s="394">
        <v>37995.583333332834</v>
      </c>
      <c r="E94" s="258">
        <v>100</v>
      </c>
      <c r="F94" s="124">
        <v>100</v>
      </c>
      <c r="G94" s="272">
        <v>96</v>
      </c>
      <c r="H94" s="124">
        <v>90</v>
      </c>
      <c r="I94" s="314">
        <v>90</v>
      </c>
      <c r="J94" s="124">
        <v>90</v>
      </c>
      <c r="K94" s="124">
        <v>90</v>
      </c>
      <c r="L94" s="124">
        <v>95</v>
      </c>
      <c r="M94" s="272">
        <v>90</v>
      </c>
      <c r="N94" s="124">
        <v>90</v>
      </c>
      <c r="O94" s="314">
        <v>90</v>
      </c>
      <c r="P94" s="314">
        <v>90</v>
      </c>
      <c r="Q94" s="314">
        <v>95</v>
      </c>
      <c r="R94" s="314">
        <v>95</v>
      </c>
      <c r="S94" s="314">
        <v>95</v>
      </c>
      <c r="T94" s="314">
        <v>140</v>
      </c>
      <c r="U94" s="314">
        <v>145</v>
      </c>
      <c r="V94" s="314">
        <v>100.3</v>
      </c>
      <c r="W94" s="314">
        <v>100</v>
      </c>
      <c r="X94" s="314">
        <v>101.5</v>
      </c>
      <c r="Y94" s="314">
        <v>110</v>
      </c>
      <c r="Z94" s="314">
        <v>110</v>
      </c>
      <c r="AA94" s="314">
        <v>136</v>
      </c>
      <c r="AB94" s="314">
        <v>136</v>
      </c>
      <c r="AC94" s="314">
        <v>136</v>
      </c>
      <c r="AD94" s="314">
        <v>110</v>
      </c>
      <c r="AE94" s="314">
        <v>110</v>
      </c>
      <c r="AF94" s="314">
        <v>110</v>
      </c>
      <c r="AG94" s="124">
        <v>110</v>
      </c>
      <c r="AH94" s="124">
        <v>98</v>
      </c>
      <c r="AI94" s="124">
        <v>98</v>
      </c>
      <c r="AJ94" s="124">
        <v>100.3</v>
      </c>
      <c r="AK94" s="124">
        <v>100.3</v>
      </c>
      <c r="AL94" s="124">
        <v>97.5</v>
      </c>
      <c r="AM94" s="124">
        <v>97</v>
      </c>
      <c r="AN94" s="124">
        <v>100</v>
      </c>
      <c r="AO94" s="124">
        <v>100</v>
      </c>
      <c r="AP94" s="124">
        <v>100</v>
      </c>
      <c r="AQ94" s="124">
        <v>100</v>
      </c>
      <c r="AR94" s="82"/>
      <c r="AS94" s="82"/>
      <c r="AT94" s="391">
        <v>37995.541666666169</v>
      </c>
      <c r="AU94" s="394">
        <v>37995.583333332834</v>
      </c>
      <c r="AV94" s="258">
        <v>100</v>
      </c>
      <c r="AW94" s="124">
        <v>100</v>
      </c>
      <c r="AX94" s="272">
        <v>96</v>
      </c>
      <c r="AY94" s="124">
        <v>90</v>
      </c>
      <c r="AZ94" s="314">
        <v>90</v>
      </c>
      <c r="BA94" s="124">
        <v>90</v>
      </c>
      <c r="BB94" s="124">
        <v>90</v>
      </c>
      <c r="BC94" s="124">
        <v>95</v>
      </c>
      <c r="BD94" s="272">
        <v>90</v>
      </c>
      <c r="BE94" s="124">
        <v>90</v>
      </c>
      <c r="BF94" s="314">
        <v>90</v>
      </c>
      <c r="BG94" s="314">
        <v>90</v>
      </c>
      <c r="BH94" s="314">
        <v>95</v>
      </c>
      <c r="BI94" s="314">
        <v>95</v>
      </c>
      <c r="BJ94" s="314">
        <v>95</v>
      </c>
      <c r="BK94" s="314">
        <v>140</v>
      </c>
      <c r="BL94" s="314">
        <v>145</v>
      </c>
      <c r="BM94" s="314">
        <v>100.3</v>
      </c>
      <c r="BN94" s="314">
        <v>100</v>
      </c>
      <c r="BO94" s="314">
        <v>101.5</v>
      </c>
      <c r="BP94" s="314">
        <v>110</v>
      </c>
      <c r="BQ94" s="314">
        <v>110</v>
      </c>
      <c r="BR94" s="314">
        <v>136</v>
      </c>
      <c r="BS94" s="314">
        <v>136</v>
      </c>
      <c r="BT94" s="314">
        <v>136</v>
      </c>
      <c r="BU94" s="314">
        <v>110</v>
      </c>
      <c r="BV94" s="314">
        <v>110</v>
      </c>
      <c r="BW94" s="314">
        <v>110</v>
      </c>
      <c r="BX94" s="124">
        <v>110</v>
      </c>
      <c r="BY94" s="124">
        <v>98</v>
      </c>
      <c r="BZ94" s="124">
        <v>98</v>
      </c>
      <c r="CA94" s="124">
        <v>100.3</v>
      </c>
      <c r="CB94" s="124">
        <v>100.3</v>
      </c>
      <c r="CC94" s="124">
        <v>97.5</v>
      </c>
      <c r="CD94" s="124">
        <v>97</v>
      </c>
      <c r="CE94" s="124">
        <v>100</v>
      </c>
      <c r="CF94" s="124">
        <v>100</v>
      </c>
      <c r="CG94" s="124">
        <v>100</v>
      </c>
      <c r="CH94" s="124">
        <v>100</v>
      </c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269"/>
      <c r="DP94" s="269"/>
    </row>
    <row r="95" spans="1:120" ht="15">
      <c r="A95" s="82"/>
      <c r="B95" s="82"/>
      <c r="C95" s="391">
        <v>37995.583333332834</v>
      </c>
      <c r="D95" s="394">
        <v>37995.624999999498</v>
      </c>
      <c r="E95" s="258">
        <v>100</v>
      </c>
      <c r="F95" s="124">
        <v>100</v>
      </c>
      <c r="G95" s="272">
        <v>96</v>
      </c>
      <c r="H95" s="124">
        <v>90</v>
      </c>
      <c r="I95" s="314">
        <v>90</v>
      </c>
      <c r="J95" s="124">
        <v>90</v>
      </c>
      <c r="K95" s="124">
        <v>90</v>
      </c>
      <c r="L95" s="124">
        <v>95</v>
      </c>
      <c r="M95" s="272">
        <v>90</v>
      </c>
      <c r="N95" s="124">
        <v>90</v>
      </c>
      <c r="O95" s="314">
        <v>90</v>
      </c>
      <c r="P95" s="314">
        <v>90</v>
      </c>
      <c r="Q95" s="314">
        <v>95</v>
      </c>
      <c r="R95" s="314">
        <v>95</v>
      </c>
      <c r="S95" s="314">
        <v>95</v>
      </c>
      <c r="T95" s="314">
        <v>140</v>
      </c>
      <c r="U95" s="314">
        <v>145</v>
      </c>
      <c r="V95" s="314">
        <v>100.3</v>
      </c>
      <c r="W95" s="314">
        <v>100</v>
      </c>
      <c r="X95" s="314">
        <v>101.5</v>
      </c>
      <c r="Y95" s="314">
        <v>110</v>
      </c>
      <c r="Z95" s="314">
        <v>110</v>
      </c>
      <c r="AA95" s="314">
        <v>136</v>
      </c>
      <c r="AB95" s="314">
        <v>136</v>
      </c>
      <c r="AC95" s="314">
        <v>136</v>
      </c>
      <c r="AD95" s="314">
        <v>110</v>
      </c>
      <c r="AE95" s="314">
        <v>110</v>
      </c>
      <c r="AF95" s="314">
        <v>110</v>
      </c>
      <c r="AG95" s="124">
        <v>110</v>
      </c>
      <c r="AH95" s="124">
        <v>98</v>
      </c>
      <c r="AI95" s="124">
        <v>98</v>
      </c>
      <c r="AJ95" s="124">
        <v>100.3</v>
      </c>
      <c r="AK95" s="124">
        <v>100.3</v>
      </c>
      <c r="AL95" s="124">
        <v>97.5</v>
      </c>
      <c r="AM95" s="124">
        <v>97</v>
      </c>
      <c r="AN95" s="124">
        <v>100</v>
      </c>
      <c r="AO95" s="124">
        <v>100</v>
      </c>
      <c r="AP95" s="124">
        <v>100</v>
      </c>
      <c r="AQ95" s="124">
        <v>100</v>
      </c>
      <c r="AR95" s="82"/>
      <c r="AS95" s="82"/>
      <c r="AT95" s="391">
        <v>37995.583333332834</v>
      </c>
      <c r="AU95" s="394">
        <v>37995.624999999498</v>
      </c>
      <c r="AV95" s="258">
        <v>100</v>
      </c>
      <c r="AW95" s="124">
        <v>100</v>
      </c>
      <c r="AX95" s="272">
        <v>96</v>
      </c>
      <c r="AY95" s="124">
        <v>90</v>
      </c>
      <c r="AZ95" s="314">
        <v>90</v>
      </c>
      <c r="BA95" s="124">
        <v>90</v>
      </c>
      <c r="BB95" s="124">
        <v>90</v>
      </c>
      <c r="BC95" s="124">
        <v>95</v>
      </c>
      <c r="BD95" s="272">
        <v>90</v>
      </c>
      <c r="BE95" s="124">
        <v>90</v>
      </c>
      <c r="BF95" s="314">
        <v>90</v>
      </c>
      <c r="BG95" s="314">
        <v>90</v>
      </c>
      <c r="BH95" s="314">
        <v>95</v>
      </c>
      <c r="BI95" s="314">
        <v>95</v>
      </c>
      <c r="BJ95" s="314">
        <v>95</v>
      </c>
      <c r="BK95" s="314">
        <v>140</v>
      </c>
      <c r="BL95" s="314">
        <v>145</v>
      </c>
      <c r="BM95" s="314">
        <v>100.3</v>
      </c>
      <c r="BN95" s="314">
        <v>100</v>
      </c>
      <c r="BO95" s="314">
        <v>101.5</v>
      </c>
      <c r="BP95" s="314">
        <v>110</v>
      </c>
      <c r="BQ95" s="314">
        <v>110</v>
      </c>
      <c r="BR95" s="314">
        <v>136</v>
      </c>
      <c r="BS95" s="314">
        <v>136</v>
      </c>
      <c r="BT95" s="314">
        <v>136</v>
      </c>
      <c r="BU95" s="314">
        <v>110</v>
      </c>
      <c r="BV95" s="314">
        <v>110</v>
      </c>
      <c r="BW95" s="314">
        <v>110</v>
      </c>
      <c r="BX95" s="124">
        <v>110</v>
      </c>
      <c r="BY95" s="124">
        <v>98</v>
      </c>
      <c r="BZ95" s="124">
        <v>98</v>
      </c>
      <c r="CA95" s="124">
        <v>100.3</v>
      </c>
      <c r="CB95" s="124">
        <v>100.3</v>
      </c>
      <c r="CC95" s="124">
        <v>97.5</v>
      </c>
      <c r="CD95" s="124">
        <v>97</v>
      </c>
      <c r="CE95" s="124">
        <v>100</v>
      </c>
      <c r="CF95" s="124">
        <v>100</v>
      </c>
      <c r="CG95" s="124">
        <v>100</v>
      </c>
      <c r="CH95" s="124">
        <v>100</v>
      </c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269"/>
      <c r="DP95" s="269"/>
    </row>
    <row r="96" spans="1:120" ht="15">
      <c r="A96" s="82"/>
      <c r="B96" s="82"/>
      <c r="C96" s="391">
        <v>37995.624999999498</v>
      </c>
      <c r="D96" s="394">
        <v>37995.666666666162</v>
      </c>
      <c r="E96" s="258">
        <v>100</v>
      </c>
      <c r="F96" s="124">
        <v>100</v>
      </c>
      <c r="G96" s="272">
        <v>96</v>
      </c>
      <c r="H96" s="124">
        <v>90</v>
      </c>
      <c r="I96" s="314">
        <v>90</v>
      </c>
      <c r="J96" s="124">
        <v>90</v>
      </c>
      <c r="K96" s="124">
        <v>90</v>
      </c>
      <c r="L96" s="124">
        <v>95</v>
      </c>
      <c r="M96" s="272">
        <v>90</v>
      </c>
      <c r="N96" s="124">
        <v>90</v>
      </c>
      <c r="O96" s="314">
        <v>90</v>
      </c>
      <c r="P96" s="314">
        <v>90</v>
      </c>
      <c r="Q96" s="314">
        <v>95</v>
      </c>
      <c r="R96" s="314">
        <v>95</v>
      </c>
      <c r="S96" s="314">
        <v>95</v>
      </c>
      <c r="T96" s="314">
        <v>140</v>
      </c>
      <c r="U96" s="314">
        <v>145</v>
      </c>
      <c r="V96" s="314">
        <v>100.3</v>
      </c>
      <c r="W96" s="314">
        <v>100</v>
      </c>
      <c r="X96" s="314">
        <v>101.5</v>
      </c>
      <c r="Y96" s="314">
        <v>110</v>
      </c>
      <c r="Z96" s="314">
        <v>110</v>
      </c>
      <c r="AA96" s="314">
        <v>136</v>
      </c>
      <c r="AB96" s="314">
        <v>136</v>
      </c>
      <c r="AC96" s="314">
        <v>136</v>
      </c>
      <c r="AD96" s="314">
        <v>110</v>
      </c>
      <c r="AE96" s="314">
        <v>110</v>
      </c>
      <c r="AF96" s="314">
        <v>110</v>
      </c>
      <c r="AG96" s="124">
        <v>110</v>
      </c>
      <c r="AH96" s="124">
        <v>98</v>
      </c>
      <c r="AI96" s="124">
        <v>98</v>
      </c>
      <c r="AJ96" s="124">
        <v>100.3</v>
      </c>
      <c r="AK96" s="124">
        <v>100.3</v>
      </c>
      <c r="AL96" s="124">
        <v>97.5</v>
      </c>
      <c r="AM96" s="124">
        <v>97</v>
      </c>
      <c r="AN96" s="124">
        <v>100</v>
      </c>
      <c r="AO96" s="124">
        <v>100</v>
      </c>
      <c r="AP96" s="124">
        <v>100</v>
      </c>
      <c r="AQ96" s="124">
        <v>100</v>
      </c>
      <c r="AR96" s="82"/>
      <c r="AS96" s="82"/>
      <c r="AT96" s="391">
        <v>37995.624999999498</v>
      </c>
      <c r="AU96" s="394">
        <v>37995.666666666162</v>
      </c>
      <c r="AV96" s="258">
        <v>100</v>
      </c>
      <c r="AW96" s="124">
        <v>100</v>
      </c>
      <c r="AX96" s="272">
        <v>96</v>
      </c>
      <c r="AY96" s="124">
        <v>90</v>
      </c>
      <c r="AZ96" s="314">
        <v>90</v>
      </c>
      <c r="BA96" s="124">
        <v>90</v>
      </c>
      <c r="BB96" s="124">
        <v>90</v>
      </c>
      <c r="BC96" s="124">
        <v>95</v>
      </c>
      <c r="BD96" s="272">
        <v>90</v>
      </c>
      <c r="BE96" s="124">
        <v>90</v>
      </c>
      <c r="BF96" s="314">
        <v>90</v>
      </c>
      <c r="BG96" s="314">
        <v>90</v>
      </c>
      <c r="BH96" s="314">
        <v>95</v>
      </c>
      <c r="BI96" s="314">
        <v>95</v>
      </c>
      <c r="BJ96" s="314">
        <v>95</v>
      </c>
      <c r="BK96" s="314">
        <v>140</v>
      </c>
      <c r="BL96" s="314">
        <v>145</v>
      </c>
      <c r="BM96" s="314">
        <v>100.3</v>
      </c>
      <c r="BN96" s="314">
        <v>100</v>
      </c>
      <c r="BO96" s="314">
        <v>101.5</v>
      </c>
      <c r="BP96" s="314">
        <v>110</v>
      </c>
      <c r="BQ96" s="314">
        <v>110</v>
      </c>
      <c r="BR96" s="314">
        <v>136</v>
      </c>
      <c r="BS96" s="314">
        <v>136</v>
      </c>
      <c r="BT96" s="314">
        <v>136</v>
      </c>
      <c r="BU96" s="314">
        <v>110</v>
      </c>
      <c r="BV96" s="314">
        <v>110</v>
      </c>
      <c r="BW96" s="314">
        <v>110</v>
      </c>
      <c r="BX96" s="124">
        <v>110</v>
      </c>
      <c r="BY96" s="124">
        <v>98</v>
      </c>
      <c r="BZ96" s="124">
        <v>98</v>
      </c>
      <c r="CA96" s="124">
        <v>100.3</v>
      </c>
      <c r="CB96" s="124">
        <v>100.3</v>
      </c>
      <c r="CC96" s="124">
        <v>97.5</v>
      </c>
      <c r="CD96" s="124">
        <v>97</v>
      </c>
      <c r="CE96" s="124">
        <v>100</v>
      </c>
      <c r="CF96" s="124">
        <v>100</v>
      </c>
      <c r="CG96" s="124">
        <v>100</v>
      </c>
      <c r="CH96" s="124">
        <v>100</v>
      </c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269"/>
      <c r="DP96" s="269"/>
    </row>
    <row r="97" spans="1:120" ht="15">
      <c r="A97" s="82"/>
      <c r="B97" s="82"/>
      <c r="C97" s="391">
        <v>37995.666666666162</v>
      </c>
      <c r="D97" s="394">
        <v>37995.708333332826</v>
      </c>
      <c r="E97" s="258">
        <v>100</v>
      </c>
      <c r="F97" s="124">
        <v>100</v>
      </c>
      <c r="G97" s="272">
        <v>96</v>
      </c>
      <c r="H97" s="124">
        <v>90</v>
      </c>
      <c r="I97" s="314">
        <v>90</v>
      </c>
      <c r="J97" s="124">
        <v>90</v>
      </c>
      <c r="K97" s="124">
        <v>90</v>
      </c>
      <c r="L97" s="124">
        <v>95</v>
      </c>
      <c r="M97" s="272">
        <v>90</v>
      </c>
      <c r="N97" s="124">
        <v>90</v>
      </c>
      <c r="O97" s="314">
        <v>90</v>
      </c>
      <c r="P97" s="314">
        <v>90</v>
      </c>
      <c r="Q97" s="314">
        <v>95</v>
      </c>
      <c r="R97" s="314">
        <v>95</v>
      </c>
      <c r="S97" s="314">
        <v>95</v>
      </c>
      <c r="T97" s="314">
        <v>140</v>
      </c>
      <c r="U97" s="314">
        <v>145</v>
      </c>
      <c r="V97" s="314">
        <v>100.3</v>
      </c>
      <c r="W97" s="314">
        <v>100</v>
      </c>
      <c r="X97" s="314">
        <v>101.5</v>
      </c>
      <c r="Y97" s="314">
        <v>110</v>
      </c>
      <c r="Z97" s="314">
        <v>110</v>
      </c>
      <c r="AA97" s="314">
        <v>136</v>
      </c>
      <c r="AB97" s="314">
        <v>136</v>
      </c>
      <c r="AC97" s="314">
        <v>136</v>
      </c>
      <c r="AD97" s="314">
        <v>110</v>
      </c>
      <c r="AE97" s="314">
        <v>110</v>
      </c>
      <c r="AF97" s="314">
        <v>110</v>
      </c>
      <c r="AG97" s="124">
        <v>110</v>
      </c>
      <c r="AH97" s="124">
        <v>98</v>
      </c>
      <c r="AI97" s="124">
        <v>98</v>
      </c>
      <c r="AJ97" s="124">
        <v>100.3</v>
      </c>
      <c r="AK97" s="124">
        <v>100.3</v>
      </c>
      <c r="AL97" s="124">
        <v>97.5</v>
      </c>
      <c r="AM97" s="124">
        <v>97</v>
      </c>
      <c r="AN97" s="124">
        <v>100</v>
      </c>
      <c r="AO97" s="124">
        <v>100</v>
      </c>
      <c r="AP97" s="124">
        <v>100</v>
      </c>
      <c r="AQ97" s="124">
        <v>100</v>
      </c>
      <c r="AR97" s="82"/>
      <c r="AS97" s="82"/>
      <c r="AT97" s="391">
        <v>37995.666666666162</v>
      </c>
      <c r="AU97" s="394">
        <v>37995.708333332826</v>
      </c>
      <c r="AV97" s="258">
        <v>100</v>
      </c>
      <c r="AW97" s="124">
        <v>100</v>
      </c>
      <c r="AX97" s="272">
        <v>96</v>
      </c>
      <c r="AY97" s="124">
        <v>90</v>
      </c>
      <c r="AZ97" s="314">
        <v>90</v>
      </c>
      <c r="BA97" s="124">
        <v>90</v>
      </c>
      <c r="BB97" s="124">
        <v>90</v>
      </c>
      <c r="BC97" s="124">
        <v>95</v>
      </c>
      <c r="BD97" s="272">
        <v>90</v>
      </c>
      <c r="BE97" s="124">
        <v>90</v>
      </c>
      <c r="BF97" s="314">
        <v>90</v>
      </c>
      <c r="BG97" s="314">
        <v>90</v>
      </c>
      <c r="BH97" s="314">
        <v>95</v>
      </c>
      <c r="BI97" s="314">
        <v>95</v>
      </c>
      <c r="BJ97" s="314">
        <v>95</v>
      </c>
      <c r="BK97" s="314">
        <v>140</v>
      </c>
      <c r="BL97" s="314">
        <v>145</v>
      </c>
      <c r="BM97" s="314">
        <v>100.3</v>
      </c>
      <c r="BN97" s="314">
        <v>100</v>
      </c>
      <c r="BO97" s="314">
        <v>101.5</v>
      </c>
      <c r="BP97" s="314">
        <v>110</v>
      </c>
      <c r="BQ97" s="314">
        <v>110</v>
      </c>
      <c r="BR97" s="314">
        <v>136</v>
      </c>
      <c r="BS97" s="314">
        <v>136</v>
      </c>
      <c r="BT97" s="314">
        <v>136</v>
      </c>
      <c r="BU97" s="314">
        <v>110</v>
      </c>
      <c r="BV97" s="314">
        <v>110</v>
      </c>
      <c r="BW97" s="314">
        <v>110</v>
      </c>
      <c r="BX97" s="124">
        <v>110</v>
      </c>
      <c r="BY97" s="124">
        <v>98</v>
      </c>
      <c r="BZ97" s="124">
        <v>98</v>
      </c>
      <c r="CA97" s="124">
        <v>100.3</v>
      </c>
      <c r="CB97" s="124">
        <v>100.3</v>
      </c>
      <c r="CC97" s="124">
        <v>97.5</v>
      </c>
      <c r="CD97" s="124">
        <v>97</v>
      </c>
      <c r="CE97" s="124">
        <v>100</v>
      </c>
      <c r="CF97" s="124">
        <v>100</v>
      </c>
      <c r="CG97" s="124">
        <v>100</v>
      </c>
      <c r="CH97" s="124">
        <v>100</v>
      </c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269"/>
      <c r="DP97" s="269"/>
    </row>
    <row r="98" spans="1:120" ht="15">
      <c r="A98" s="82"/>
      <c r="B98" s="82"/>
      <c r="C98" s="391">
        <v>37995.708333332826</v>
      </c>
      <c r="D98" s="394">
        <v>37995.749999999491</v>
      </c>
      <c r="E98" s="258">
        <v>100</v>
      </c>
      <c r="F98" s="124">
        <v>100</v>
      </c>
      <c r="G98" s="272">
        <v>96</v>
      </c>
      <c r="H98" s="124">
        <v>90</v>
      </c>
      <c r="I98" s="314">
        <v>90</v>
      </c>
      <c r="J98" s="124">
        <v>90</v>
      </c>
      <c r="K98" s="124">
        <v>90</v>
      </c>
      <c r="L98" s="124">
        <v>95</v>
      </c>
      <c r="M98" s="272">
        <v>90</v>
      </c>
      <c r="N98" s="124">
        <v>90</v>
      </c>
      <c r="O98" s="314">
        <v>90</v>
      </c>
      <c r="P98" s="314">
        <v>90</v>
      </c>
      <c r="Q98" s="314">
        <v>95</v>
      </c>
      <c r="R98" s="314">
        <v>95</v>
      </c>
      <c r="S98" s="314">
        <v>95</v>
      </c>
      <c r="T98" s="314">
        <v>140</v>
      </c>
      <c r="U98" s="314">
        <v>145</v>
      </c>
      <c r="V98" s="314">
        <v>100.3</v>
      </c>
      <c r="W98" s="314">
        <v>100</v>
      </c>
      <c r="X98" s="314">
        <v>101.5</v>
      </c>
      <c r="Y98" s="314">
        <v>110</v>
      </c>
      <c r="Z98" s="314">
        <v>110</v>
      </c>
      <c r="AA98" s="314">
        <v>136</v>
      </c>
      <c r="AB98" s="314">
        <v>136</v>
      </c>
      <c r="AC98" s="314">
        <v>136</v>
      </c>
      <c r="AD98" s="314">
        <v>110</v>
      </c>
      <c r="AE98" s="314">
        <v>110</v>
      </c>
      <c r="AF98" s="314">
        <v>110</v>
      </c>
      <c r="AG98" s="124">
        <v>110</v>
      </c>
      <c r="AH98" s="124">
        <v>98</v>
      </c>
      <c r="AI98" s="124">
        <v>98</v>
      </c>
      <c r="AJ98" s="124">
        <v>100.3</v>
      </c>
      <c r="AK98" s="124">
        <v>100.3</v>
      </c>
      <c r="AL98" s="124">
        <v>97.5</v>
      </c>
      <c r="AM98" s="124">
        <v>97</v>
      </c>
      <c r="AN98" s="124">
        <v>100</v>
      </c>
      <c r="AO98" s="124">
        <v>100</v>
      </c>
      <c r="AP98" s="124">
        <v>100</v>
      </c>
      <c r="AQ98" s="124">
        <v>100</v>
      </c>
      <c r="AR98" s="82"/>
      <c r="AS98" s="82"/>
      <c r="AT98" s="391">
        <v>37995.708333332826</v>
      </c>
      <c r="AU98" s="394">
        <v>37995.749999999491</v>
      </c>
      <c r="AV98" s="258">
        <v>100</v>
      </c>
      <c r="AW98" s="124">
        <v>100</v>
      </c>
      <c r="AX98" s="272">
        <v>96</v>
      </c>
      <c r="AY98" s="124">
        <v>90</v>
      </c>
      <c r="AZ98" s="314">
        <v>90</v>
      </c>
      <c r="BA98" s="124">
        <v>90</v>
      </c>
      <c r="BB98" s="124">
        <v>90</v>
      </c>
      <c r="BC98" s="124">
        <v>95</v>
      </c>
      <c r="BD98" s="272">
        <v>90</v>
      </c>
      <c r="BE98" s="124">
        <v>90</v>
      </c>
      <c r="BF98" s="314">
        <v>90</v>
      </c>
      <c r="BG98" s="314">
        <v>90</v>
      </c>
      <c r="BH98" s="314">
        <v>95</v>
      </c>
      <c r="BI98" s="314">
        <v>95</v>
      </c>
      <c r="BJ98" s="314">
        <v>95</v>
      </c>
      <c r="BK98" s="314">
        <v>140</v>
      </c>
      <c r="BL98" s="314">
        <v>145</v>
      </c>
      <c r="BM98" s="314">
        <v>100.3</v>
      </c>
      <c r="BN98" s="314">
        <v>100</v>
      </c>
      <c r="BO98" s="314">
        <v>101.5</v>
      </c>
      <c r="BP98" s="314">
        <v>110</v>
      </c>
      <c r="BQ98" s="314">
        <v>110</v>
      </c>
      <c r="BR98" s="314">
        <v>136</v>
      </c>
      <c r="BS98" s="314">
        <v>136</v>
      </c>
      <c r="BT98" s="314">
        <v>136</v>
      </c>
      <c r="BU98" s="314">
        <v>110</v>
      </c>
      <c r="BV98" s="314">
        <v>110</v>
      </c>
      <c r="BW98" s="314">
        <v>110</v>
      </c>
      <c r="BX98" s="124">
        <v>110</v>
      </c>
      <c r="BY98" s="124">
        <v>98</v>
      </c>
      <c r="BZ98" s="124">
        <v>98</v>
      </c>
      <c r="CA98" s="124">
        <v>100.3</v>
      </c>
      <c r="CB98" s="124">
        <v>100.3</v>
      </c>
      <c r="CC98" s="124">
        <v>97.5</v>
      </c>
      <c r="CD98" s="124">
        <v>97</v>
      </c>
      <c r="CE98" s="124">
        <v>100</v>
      </c>
      <c r="CF98" s="124">
        <v>100</v>
      </c>
      <c r="CG98" s="124">
        <v>100</v>
      </c>
      <c r="CH98" s="124">
        <v>100</v>
      </c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269"/>
      <c r="DP98" s="269"/>
    </row>
    <row r="99" spans="1:120" ht="15">
      <c r="A99" s="82"/>
      <c r="B99" s="82"/>
      <c r="C99" s="392">
        <v>37995.749999999491</v>
      </c>
      <c r="D99" s="395">
        <v>37995.791666666155</v>
      </c>
      <c r="E99" s="261">
        <v>100</v>
      </c>
      <c r="F99" s="125">
        <v>100</v>
      </c>
      <c r="G99" s="273">
        <v>96</v>
      </c>
      <c r="H99" s="125">
        <v>90</v>
      </c>
      <c r="I99" s="315">
        <v>90</v>
      </c>
      <c r="J99" s="125">
        <v>90</v>
      </c>
      <c r="K99" s="125">
        <v>90</v>
      </c>
      <c r="L99" s="125">
        <v>95</v>
      </c>
      <c r="M99" s="273">
        <v>90</v>
      </c>
      <c r="N99" s="125">
        <v>90</v>
      </c>
      <c r="O99" s="315">
        <v>90</v>
      </c>
      <c r="P99" s="315">
        <v>90</v>
      </c>
      <c r="Q99" s="315">
        <v>95</v>
      </c>
      <c r="R99" s="315">
        <v>95</v>
      </c>
      <c r="S99" s="315">
        <v>95</v>
      </c>
      <c r="T99" s="315">
        <v>140</v>
      </c>
      <c r="U99" s="315">
        <v>145</v>
      </c>
      <c r="V99" s="315">
        <v>100.3</v>
      </c>
      <c r="W99" s="315">
        <v>100</v>
      </c>
      <c r="X99" s="315">
        <v>101.5</v>
      </c>
      <c r="Y99" s="315">
        <v>110</v>
      </c>
      <c r="Z99" s="315">
        <v>110</v>
      </c>
      <c r="AA99" s="315">
        <v>136</v>
      </c>
      <c r="AB99" s="315">
        <v>136</v>
      </c>
      <c r="AC99" s="315">
        <v>136</v>
      </c>
      <c r="AD99" s="315">
        <v>110</v>
      </c>
      <c r="AE99" s="315">
        <v>110</v>
      </c>
      <c r="AF99" s="315">
        <v>110</v>
      </c>
      <c r="AG99" s="315">
        <v>110</v>
      </c>
      <c r="AH99" s="125">
        <v>98</v>
      </c>
      <c r="AI99" s="125">
        <v>98</v>
      </c>
      <c r="AJ99" s="125">
        <v>100.3</v>
      </c>
      <c r="AK99" s="125">
        <v>100.3</v>
      </c>
      <c r="AL99" s="125">
        <v>97.5</v>
      </c>
      <c r="AM99" s="125">
        <v>97</v>
      </c>
      <c r="AN99" s="125">
        <v>100</v>
      </c>
      <c r="AO99" s="125">
        <v>100</v>
      </c>
      <c r="AP99" s="125">
        <v>100</v>
      </c>
      <c r="AQ99" s="125">
        <v>100</v>
      </c>
      <c r="AR99" s="82"/>
      <c r="AS99" s="82"/>
      <c r="AT99" s="392">
        <v>37995.749999999491</v>
      </c>
      <c r="AU99" s="395">
        <v>37995.791666666155</v>
      </c>
      <c r="AV99" s="261">
        <v>100</v>
      </c>
      <c r="AW99" s="125">
        <v>100</v>
      </c>
      <c r="AX99" s="273">
        <v>96</v>
      </c>
      <c r="AY99" s="125">
        <v>90</v>
      </c>
      <c r="AZ99" s="315">
        <v>90</v>
      </c>
      <c r="BA99" s="125">
        <v>90</v>
      </c>
      <c r="BB99" s="125">
        <v>90</v>
      </c>
      <c r="BC99" s="125">
        <v>95</v>
      </c>
      <c r="BD99" s="273">
        <v>90</v>
      </c>
      <c r="BE99" s="125">
        <v>90</v>
      </c>
      <c r="BF99" s="315">
        <v>90</v>
      </c>
      <c r="BG99" s="315">
        <v>90</v>
      </c>
      <c r="BH99" s="315">
        <v>95</v>
      </c>
      <c r="BI99" s="315">
        <v>95</v>
      </c>
      <c r="BJ99" s="315">
        <v>95</v>
      </c>
      <c r="BK99" s="315">
        <v>140</v>
      </c>
      <c r="BL99" s="315">
        <v>145</v>
      </c>
      <c r="BM99" s="315">
        <v>100.3</v>
      </c>
      <c r="BN99" s="315">
        <v>100</v>
      </c>
      <c r="BO99" s="315">
        <v>101.5</v>
      </c>
      <c r="BP99" s="315">
        <v>110</v>
      </c>
      <c r="BQ99" s="315">
        <v>110</v>
      </c>
      <c r="BR99" s="315">
        <v>136</v>
      </c>
      <c r="BS99" s="315">
        <v>136</v>
      </c>
      <c r="BT99" s="315">
        <v>136</v>
      </c>
      <c r="BU99" s="315">
        <v>110</v>
      </c>
      <c r="BV99" s="315">
        <v>110</v>
      </c>
      <c r="BW99" s="315">
        <v>110</v>
      </c>
      <c r="BX99" s="315">
        <v>110</v>
      </c>
      <c r="BY99" s="125">
        <v>98</v>
      </c>
      <c r="BZ99" s="125">
        <v>98</v>
      </c>
      <c r="CA99" s="125">
        <v>100.3</v>
      </c>
      <c r="CB99" s="125">
        <v>100.3</v>
      </c>
      <c r="CC99" s="125">
        <v>97.5</v>
      </c>
      <c r="CD99" s="125">
        <v>97</v>
      </c>
      <c r="CE99" s="125">
        <v>100</v>
      </c>
      <c r="CF99" s="125">
        <v>100</v>
      </c>
      <c r="CG99" s="125">
        <v>100</v>
      </c>
      <c r="CH99" s="125">
        <v>100</v>
      </c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269"/>
      <c r="DP99" s="269"/>
    </row>
    <row r="100" spans="1:120" ht="15">
      <c r="A100" s="82"/>
      <c r="B100" s="82"/>
      <c r="C100" s="392">
        <v>37995.791666666155</v>
      </c>
      <c r="D100" s="395">
        <v>37995.833333332819</v>
      </c>
      <c r="E100" s="261">
        <v>100</v>
      </c>
      <c r="F100" s="125">
        <v>100</v>
      </c>
      <c r="G100" s="273">
        <v>96</v>
      </c>
      <c r="H100" s="125">
        <v>90</v>
      </c>
      <c r="I100" s="315">
        <v>90</v>
      </c>
      <c r="J100" s="125">
        <v>90</v>
      </c>
      <c r="K100" s="125">
        <v>90</v>
      </c>
      <c r="L100" s="125">
        <v>95</v>
      </c>
      <c r="M100" s="273">
        <v>90</v>
      </c>
      <c r="N100" s="125">
        <v>90</v>
      </c>
      <c r="O100" s="315">
        <v>90</v>
      </c>
      <c r="P100" s="315">
        <v>90</v>
      </c>
      <c r="Q100" s="315">
        <v>95</v>
      </c>
      <c r="R100" s="315">
        <v>95</v>
      </c>
      <c r="S100" s="315">
        <v>95</v>
      </c>
      <c r="T100" s="315">
        <v>140</v>
      </c>
      <c r="U100" s="315">
        <v>145</v>
      </c>
      <c r="V100" s="315">
        <v>100.3</v>
      </c>
      <c r="W100" s="315">
        <v>100</v>
      </c>
      <c r="X100" s="315">
        <v>101.5</v>
      </c>
      <c r="Y100" s="315">
        <v>110</v>
      </c>
      <c r="Z100" s="315">
        <v>110</v>
      </c>
      <c r="AA100" s="315">
        <v>136</v>
      </c>
      <c r="AB100" s="315">
        <v>136</v>
      </c>
      <c r="AC100" s="315">
        <v>136</v>
      </c>
      <c r="AD100" s="315">
        <v>110</v>
      </c>
      <c r="AE100" s="315">
        <v>110</v>
      </c>
      <c r="AF100" s="315">
        <v>110</v>
      </c>
      <c r="AG100" s="315">
        <v>110</v>
      </c>
      <c r="AH100" s="125">
        <v>98</v>
      </c>
      <c r="AI100" s="125">
        <v>98</v>
      </c>
      <c r="AJ100" s="125">
        <v>100.3</v>
      </c>
      <c r="AK100" s="125">
        <v>100.3</v>
      </c>
      <c r="AL100" s="125">
        <v>97.5</v>
      </c>
      <c r="AM100" s="125">
        <v>97</v>
      </c>
      <c r="AN100" s="125">
        <v>100</v>
      </c>
      <c r="AO100" s="125">
        <v>100</v>
      </c>
      <c r="AP100" s="125">
        <v>100</v>
      </c>
      <c r="AQ100" s="125">
        <v>100</v>
      </c>
      <c r="AR100" s="82"/>
      <c r="AS100" s="82"/>
      <c r="AT100" s="392">
        <v>37995.791666666155</v>
      </c>
      <c r="AU100" s="395">
        <v>37995.833333332819</v>
      </c>
      <c r="AV100" s="261">
        <v>100</v>
      </c>
      <c r="AW100" s="125">
        <v>100</v>
      </c>
      <c r="AX100" s="273">
        <v>96</v>
      </c>
      <c r="AY100" s="125">
        <v>90</v>
      </c>
      <c r="AZ100" s="315">
        <v>90</v>
      </c>
      <c r="BA100" s="125">
        <v>90</v>
      </c>
      <c r="BB100" s="125">
        <v>90</v>
      </c>
      <c r="BC100" s="125">
        <v>95</v>
      </c>
      <c r="BD100" s="273">
        <v>90</v>
      </c>
      <c r="BE100" s="125">
        <v>90</v>
      </c>
      <c r="BF100" s="315">
        <v>90</v>
      </c>
      <c r="BG100" s="315">
        <v>90</v>
      </c>
      <c r="BH100" s="315">
        <v>95</v>
      </c>
      <c r="BI100" s="315">
        <v>95</v>
      </c>
      <c r="BJ100" s="315">
        <v>95</v>
      </c>
      <c r="BK100" s="315">
        <v>140</v>
      </c>
      <c r="BL100" s="315">
        <v>145</v>
      </c>
      <c r="BM100" s="315">
        <v>100.3</v>
      </c>
      <c r="BN100" s="315">
        <v>100</v>
      </c>
      <c r="BO100" s="315">
        <v>101.5</v>
      </c>
      <c r="BP100" s="315">
        <v>110</v>
      </c>
      <c r="BQ100" s="315">
        <v>110</v>
      </c>
      <c r="BR100" s="315">
        <v>136</v>
      </c>
      <c r="BS100" s="315">
        <v>136</v>
      </c>
      <c r="BT100" s="315">
        <v>136</v>
      </c>
      <c r="BU100" s="315">
        <v>110</v>
      </c>
      <c r="BV100" s="315">
        <v>110</v>
      </c>
      <c r="BW100" s="315">
        <v>110</v>
      </c>
      <c r="BX100" s="315">
        <v>110</v>
      </c>
      <c r="BY100" s="125">
        <v>98</v>
      </c>
      <c r="BZ100" s="125">
        <v>98</v>
      </c>
      <c r="CA100" s="125">
        <v>100.3</v>
      </c>
      <c r="CB100" s="125">
        <v>100.3</v>
      </c>
      <c r="CC100" s="125">
        <v>97.5</v>
      </c>
      <c r="CD100" s="125">
        <v>97</v>
      </c>
      <c r="CE100" s="125">
        <v>100</v>
      </c>
      <c r="CF100" s="125">
        <v>100</v>
      </c>
      <c r="CG100" s="125">
        <v>100</v>
      </c>
      <c r="CH100" s="125">
        <v>100</v>
      </c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269"/>
      <c r="DP100" s="269"/>
    </row>
    <row r="101" spans="1:120" ht="15">
      <c r="A101" s="82"/>
      <c r="B101" s="82"/>
      <c r="C101" s="392">
        <v>37995.833333332819</v>
      </c>
      <c r="D101" s="395">
        <v>37995.874999999483</v>
      </c>
      <c r="E101" s="261">
        <v>100</v>
      </c>
      <c r="F101" s="125">
        <v>100</v>
      </c>
      <c r="G101" s="273">
        <v>96</v>
      </c>
      <c r="H101" s="125">
        <v>90</v>
      </c>
      <c r="I101" s="315">
        <v>90</v>
      </c>
      <c r="J101" s="125">
        <v>90</v>
      </c>
      <c r="K101" s="125">
        <v>90</v>
      </c>
      <c r="L101" s="125">
        <v>95</v>
      </c>
      <c r="M101" s="273">
        <v>90</v>
      </c>
      <c r="N101" s="125">
        <v>90</v>
      </c>
      <c r="O101" s="315">
        <v>90</v>
      </c>
      <c r="P101" s="315">
        <v>90</v>
      </c>
      <c r="Q101" s="315">
        <v>95</v>
      </c>
      <c r="R101" s="315">
        <v>95</v>
      </c>
      <c r="S101" s="315">
        <v>95</v>
      </c>
      <c r="T101" s="315">
        <v>140</v>
      </c>
      <c r="U101" s="315">
        <v>145</v>
      </c>
      <c r="V101" s="315">
        <v>100.3</v>
      </c>
      <c r="W101" s="315">
        <v>100</v>
      </c>
      <c r="X101" s="315">
        <v>101.5</v>
      </c>
      <c r="Y101" s="315">
        <v>110</v>
      </c>
      <c r="Z101" s="315">
        <v>110</v>
      </c>
      <c r="AA101" s="315">
        <v>136</v>
      </c>
      <c r="AB101" s="315">
        <v>136</v>
      </c>
      <c r="AC101" s="315">
        <v>136</v>
      </c>
      <c r="AD101" s="315">
        <v>110</v>
      </c>
      <c r="AE101" s="315">
        <v>110</v>
      </c>
      <c r="AF101" s="315">
        <v>110</v>
      </c>
      <c r="AG101" s="315">
        <v>110</v>
      </c>
      <c r="AH101" s="125">
        <v>98</v>
      </c>
      <c r="AI101" s="125">
        <v>98</v>
      </c>
      <c r="AJ101" s="125">
        <v>100.3</v>
      </c>
      <c r="AK101" s="125">
        <v>100.3</v>
      </c>
      <c r="AL101" s="125">
        <v>97.5</v>
      </c>
      <c r="AM101" s="125">
        <v>97</v>
      </c>
      <c r="AN101" s="125">
        <v>100</v>
      </c>
      <c r="AO101" s="125">
        <v>100</v>
      </c>
      <c r="AP101" s="125">
        <v>100</v>
      </c>
      <c r="AQ101" s="125">
        <v>100</v>
      </c>
      <c r="AR101" s="82"/>
      <c r="AS101" s="82"/>
      <c r="AT101" s="392">
        <v>37995.833333332819</v>
      </c>
      <c r="AU101" s="395">
        <v>37995.874999999483</v>
      </c>
      <c r="AV101" s="261">
        <v>100</v>
      </c>
      <c r="AW101" s="125">
        <v>100</v>
      </c>
      <c r="AX101" s="273">
        <v>96</v>
      </c>
      <c r="AY101" s="125">
        <v>90</v>
      </c>
      <c r="AZ101" s="315">
        <v>90</v>
      </c>
      <c r="BA101" s="125">
        <v>90</v>
      </c>
      <c r="BB101" s="125">
        <v>90</v>
      </c>
      <c r="BC101" s="125">
        <v>95</v>
      </c>
      <c r="BD101" s="273">
        <v>90</v>
      </c>
      <c r="BE101" s="125">
        <v>90</v>
      </c>
      <c r="BF101" s="315">
        <v>90</v>
      </c>
      <c r="BG101" s="315">
        <v>90</v>
      </c>
      <c r="BH101" s="315">
        <v>95</v>
      </c>
      <c r="BI101" s="315">
        <v>95</v>
      </c>
      <c r="BJ101" s="315">
        <v>95</v>
      </c>
      <c r="BK101" s="315">
        <v>140</v>
      </c>
      <c r="BL101" s="315">
        <v>145</v>
      </c>
      <c r="BM101" s="315">
        <v>100.3</v>
      </c>
      <c r="BN101" s="315">
        <v>100</v>
      </c>
      <c r="BO101" s="315">
        <v>101.5</v>
      </c>
      <c r="BP101" s="315">
        <v>110</v>
      </c>
      <c r="BQ101" s="315">
        <v>110</v>
      </c>
      <c r="BR101" s="315">
        <v>136</v>
      </c>
      <c r="BS101" s="315">
        <v>136</v>
      </c>
      <c r="BT101" s="315">
        <v>136</v>
      </c>
      <c r="BU101" s="315">
        <v>110</v>
      </c>
      <c r="BV101" s="315">
        <v>110</v>
      </c>
      <c r="BW101" s="315">
        <v>110</v>
      </c>
      <c r="BX101" s="315">
        <v>110</v>
      </c>
      <c r="BY101" s="125">
        <v>98</v>
      </c>
      <c r="BZ101" s="125">
        <v>98</v>
      </c>
      <c r="CA101" s="125">
        <v>100.3</v>
      </c>
      <c r="CB101" s="125">
        <v>100.3</v>
      </c>
      <c r="CC101" s="125">
        <v>97.5</v>
      </c>
      <c r="CD101" s="125">
        <v>97</v>
      </c>
      <c r="CE101" s="125">
        <v>100</v>
      </c>
      <c r="CF101" s="125">
        <v>100</v>
      </c>
      <c r="CG101" s="125">
        <v>100</v>
      </c>
      <c r="CH101" s="125">
        <v>100</v>
      </c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269"/>
      <c r="DP101" s="269"/>
    </row>
    <row r="102" spans="1:120" ht="15">
      <c r="A102" s="82"/>
      <c r="B102" s="82"/>
      <c r="C102" s="391">
        <v>37995.874999999483</v>
      </c>
      <c r="D102" s="394">
        <v>37995.916666666148</v>
      </c>
      <c r="E102" s="258">
        <v>100</v>
      </c>
      <c r="F102" s="124">
        <v>100</v>
      </c>
      <c r="G102" s="272">
        <v>96</v>
      </c>
      <c r="H102" s="124">
        <v>90</v>
      </c>
      <c r="I102" s="314">
        <v>90</v>
      </c>
      <c r="J102" s="124">
        <v>90</v>
      </c>
      <c r="K102" s="124">
        <v>90</v>
      </c>
      <c r="L102" s="124">
        <v>95</v>
      </c>
      <c r="M102" s="272">
        <v>90</v>
      </c>
      <c r="N102" s="124">
        <v>90</v>
      </c>
      <c r="O102" s="314">
        <v>90</v>
      </c>
      <c r="P102" s="314">
        <v>90</v>
      </c>
      <c r="Q102" s="314">
        <v>95</v>
      </c>
      <c r="R102" s="314">
        <v>95</v>
      </c>
      <c r="S102" s="314">
        <v>95</v>
      </c>
      <c r="T102" s="314">
        <v>140</v>
      </c>
      <c r="U102" s="314">
        <v>145</v>
      </c>
      <c r="V102" s="314">
        <v>100.3</v>
      </c>
      <c r="W102" s="314">
        <v>100</v>
      </c>
      <c r="X102" s="314">
        <v>101.5</v>
      </c>
      <c r="Y102" s="314">
        <v>110</v>
      </c>
      <c r="Z102" s="314">
        <v>110</v>
      </c>
      <c r="AA102" s="314">
        <v>136</v>
      </c>
      <c r="AB102" s="314">
        <v>136</v>
      </c>
      <c r="AC102" s="314">
        <v>136</v>
      </c>
      <c r="AD102" s="314">
        <v>110</v>
      </c>
      <c r="AE102" s="314">
        <v>110</v>
      </c>
      <c r="AF102" s="314">
        <v>110</v>
      </c>
      <c r="AG102" s="124">
        <v>110</v>
      </c>
      <c r="AH102" s="124">
        <v>98</v>
      </c>
      <c r="AI102" s="124">
        <v>98</v>
      </c>
      <c r="AJ102" s="124">
        <v>100.3</v>
      </c>
      <c r="AK102" s="124">
        <v>100.3</v>
      </c>
      <c r="AL102" s="124">
        <v>97.5</v>
      </c>
      <c r="AM102" s="124">
        <v>97</v>
      </c>
      <c r="AN102" s="124">
        <v>100</v>
      </c>
      <c r="AO102" s="124">
        <v>100</v>
      </c>
      <c r="AP102" s="124">
        <v>100</v>
      </c>
      <c r="AQ102" s="124">
        <v>100</v>
      </c>
      <c r="AR102" s="82"/>
      <c r="AS102" s="82"/>
      <c r="AT102" s="391">
        <v>37995.874999999483</v>
      </c>
      <c r="AU102" s="394">
        <v>37995.916666666148</v>
      </c>
      <c r="AV102" s="258">
        <v>100</v>
      </c>
      <c r="AW102" s="124">
        <v>100</v>
      </c>
      <c r="AX102" s="272">
        <v>96</v>
      </c>
      <c r="AY102" s="124">
        <v>90</v>
      </c>
      <c r="AZ102" s="314">
        <v>90</v>
      </c>
      <c r="BA102" s="124">
        <v>90</v>
      </c>
      <c r="BB102" s="124">
        <v>90</v>
      </c>
      <c r="BC102" s="124">
        <v>95</v>
      </c>
      <c r="BD102" s="272">
        <v>90</v>
      </c>
      <c r="BE102" s="124">
        <v>90</v>
      </c>
      <c r="BF102" s="314">
        <v>90</v>
      </c>
      <c r="BG102" s="314">
        <v>90</v>
      </c>
      <c r="BH102" s="314">
        <v>95</v>
      </c>
      <c r="BI102" s="314">
        <v>95</v>
      </c>
      <c r="BJ102" s="314">
        <v>95</v>
      </c>
      <c r="BK102" s="314">
        <v>140</v>
      </c>
      <c r="BL102" s="314">
        <v>145</v>
      </c>
      <c r="BM102" s="314">
        <v>100.3</v>
      </c>
      <c r="BN102" s="314">
        <v>100</v>
      </c>
      <c r="BO102" s="314">
        <v>101.5</v>
      </c>
      <c r="BP102" s="314">
        <v>110</v>
      </c>
      <c r="BQ102" s="314">
        <v>110</v>
      </c>
      <c r="BR102" s="314">
        <v>136</v>
      </c>
      <c r="BS102" s="314">
        <v>136</v>
      </c>
      <c r="BT102" s="314">
        <v>136</v>
      </c>
      <c r="BU102" s="314">
        <v>110</v>
      </c>
      <c r="BV102" s="314">
        <v>110</v>
      </c>
      <c r="BW102" s="314">
        <v>110</v>
      </c>
      <c r="BX102" s="124">
        <v>110</v>
      </c>
      <c r="BY102" s="124">
        <v>98</v>
      </c>
      <c r="BZ102" s="124">
        <v>98</v>
      </c>
      <c r="CA102" s="124">
        <v>100.3</v>
      </c>
      <c r="CB102" s="124">
        <v>100.3</v>
      </c>
      <c r="CC102" s="124">
        <v>97.5</v>
      </c>
      <c r="CD102" s="124">
        <v>97</v>
      </c>
      <c r="CE102" s="124">
        <v>100</v>
      </c>
      <c r="CF102" s="124">
        <v>100</v>
      </c>
      <c r="CG102" s="124">
        <v>100</v>
      </c>
      <c r="CH102" s="124">
        <v>100</v>
      </c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269"/>
      <c r="DP102" s="269"/>
    </row>
    <row r="103" spans="1:120" ht="15">
      <c r="A103" s="82"/>
      <c r="B103" s="82"/>
      <c r="C103" s="391">
        <v>37995.916666666148</v>
      </c>
      <c r="D103" s="394">
        <v>37995.958333332812</v>
      </c>
      <c r="E103" s="258">
        <v>100</v>
      </c>
      <c r="F103" s="124">
        <v>100</v>
      </c>
      <c r="G103" s="272">
        <v>96</v>
      </c>
      <c r="H103" s="124">
        <v>90</v>
      </c>
      <c r="I103" s="314">
        <v>90</v>
      </c>
      <c r="J103" s="124">
        <v>90</v>
      </c>
      <c r="K103" s="124">
        <v>90</v>
      </c>
      <c r="L103" s="124">
        <v>95</v>
      </c>
      <c r="M103" s="272">
        <v>90</v>
      </c>
      <c r="N103" s="124">
        <v>90</v>
      </c>
      <c r="O103" s="314">
        <v>90</v>
      </c>
      <c r="P103" s="314">
        <v>90</v>
      </c>
      <c r="Q103" s="314">
        <v>95</v>
      </c>
      <c r="R103" s="314">
        <v>95</v>
      </c>
      <c r="S103" s="314">
        <v>95</v>
      </c>
      <c r="T103" s="314">
        <v>140</v>
      </c>
      <c r="U103" s="314">
        <v>145</v>
      </c>
      <c r="V103" s="314">
        <v>100.3</v>
      </c>
      <c r="W103" s="314">
        <v>100</v>
      </c>
      <c r="X103" s="314">
        <v>101.5</v>
      </c>
      <c r="Y103" s="314">
        <v>110</v>
      </c>
      <c r="Z103" s="314">
        <v>110</v>
      </c>
      <c r="AA103" s="314">
        <v>136</v>
      </c>
      <c r="AB103" s="314">
        <v>136</v>
      </c>
      <c r="AC103" s="314">
        <v>136</v>
      </c>
      <c r="AD103" s="314">
        <v>110</v>
      </c>
      <c r="AE103" s="314">
        <v>110</v>
      </c>
      <c r="AF103" s="314">
        <v>110</v>
      </c>
      <c r="AG103" s="124">
        <v>110</v>
      </c>
      <c r="AH103" s="124">
        <v>98</v>
      </c>
      <c r="AI103" s="124">
        <v>98</v>
      </c>
      <c r="AJ103" s="124">
        <v>100.3</v>
      </c>
      <c r="AK103" s="124">
        <v>100.3</v>
      </c>
      <c r="AL103" s="124">
        <v>97.5</v>
      </c>
      <c r="AM103" s="124">
        <v>97</v>
      </c>
      <c r="AN103" s="124">
        <v>100</v>
      </c>
      <c r="AO103" s="124">
        <v>100</v>
      </c>
      <c r="AP103" s="124">
        <v>100</v>
      </c>
      <c r="AQ103" s="124">
        <v>100</v>
      </c>
      <c r="AR103" s="82"/>
      <c r="AS103" s="82"/>
      <c r="AT103" s="391">
        <v>37995.916666666148</v>
      </c>
      <c r="AU103" s="394">
        <v>37995.958333332812</v>
      </c>
      <c r="AV103" s="258">
        <v>100</v>
      </c>
      <c r="AW103" s="124">
        <v>100</v>
      </c>
      <c r="AX103" s="272">
        <v>96</v>
      </c>
      <c r="AY103" s="124">
        <v>90</v>
      </c>
      <c r="AZ103" s="314">
        <v>90</v>
      </c>
      <c r="BA103" s="124">
        <v>90</v>
      </c>
      <c r="BB103" s="124">
        <v>90</v>
      </c>
      <c r="BC103" s="124">
        <v>95</v>
      </c>
      <c r="BD103" s="272">
        <v>90</v>
      </c>
      <c r="BE103" s="124">
        <v>90</v>
      </c>
      <c r="BF103" s="314">
        <v>90</v>
      </c>
      <c r="BG103" s="314">
        <v>90</v>
      </c>
      <c r="BH103" s="314">
        <v>95</v>
      </c>
      <c r="BI103" s="314">
        <v>95</v>
      </c>
      <c r="BJ103" s="314">
        <v>95</v>
      </c>
      <c r="BK103" s="314">
        <v>140</v>
      </c>
      <c r="BL103" s="314">
        <v>145</v>
      </c>
      <c r="BM103" s="314">
        <v>100.3</v>
      </c>
      <c r="BN103" s="314">
        <v>100</v>
      </c>
      <c r="BO103" s="314">
        <v>101.5</v>
      </c>
      <c r="BP103" s="314">
        <v>110</v>
      </c>
      <c r="BQ103" s="314">
        <v>110</v>
      </c>
      <c r="BR103" s="314">
        <v>136</v>
      </c>
      <c r="BS103" s="314">
        <v>136</v>
      </c>
      <c r="BT103" s="314">
        <v>136</v>
      </c>
      <c r="BU103" s="314">
        <v>110</v>
      </c>
      <c r="BV103" s="314">
        <v>110</v>
      </c>
      <c r="BW103" s="314">
        <v>110</v>
      </c>
      <c r="BX103" s="124">
        <v>110</v>
      </c>
      <c r="BY103" s="124">
        <v>98</v>
      </c>
      <c r="BZ103" s="124">
        <v>98</v>
      </c>
      <c r="CA103" s="124">
        <v>100.3</v>
      </c>
      <c r="CB103" s="124">
        <v>100.3</v>
      </c>
      <c r="CC103" s="124">
        <v>97.5</v>
      </c>
      <c r="CD103" s="124">
        <v>97</v>
      </c>
      <c r="CE103" s="124">
        <v>100</v>
      </c>
      <c r="CF103" s="124">
        <v>100</v>
      </c>
      <c r="CG103" s="124">
        <v>100</v>
      </c>
      <c r="CH103" s="124">
        <v>100</v>
      </c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269"/>
      <c r="DP103" s="269"/>
    </row>
    <row r="104" spans="1:120" ht="15.75" thickBot="1">
      <c r="A104" s="82"/>
      <c r="B104" s="82"/>
      <c r="C104" s="396">
        <v>37995.958333332812</v>
      </c>
      <c r="D104" s="397">
        <v>37995.999999999476</v>
      </c>
      <c r="E104" s="263">
        <v>100</v>
      </c>
      <c r="F104" s="264">
        <v>100</v>
      </c>
      <c r="G104" s="353">
        <v>96</v>
      </c>
      <c r="H104" s="264">
        <v>90</v>
      </c>
      <c r="I104" s="317">
        <v>90</v>
      </c>
      <c r="J104" s="264">
        <v>90</v>
      </c>
      <c r="K104" s="264">
        <v>90</v>
      </c>
      <c r="L104" s="264">
        <v>95</v>
      </c>
      <c r="M104" s="353">
        <v>90</v>
      </c>
      <c r="N104" s="264">
        <v>90</v>
      </c>
      <c r="O104" s="317">
        <v>90</v>
      </c>
      <c r="P104" s="317">
        <v>90</v>
      </c>
      <c r="Q104" s="317">
        <v>95</v>
      </c>
      <c r="R104" s="317">
        <v>95</v>
      </c>
      <c r="S104" s="317">
        <v>95</v>
      </c>
      <c r="T104" s="317">
        <v>140</v>
      </c>
      <c r="U104" s="317">
        <v>145</v>
      </c>
      <c r="V104" s="317">
        <v>100.3</v>
      </c>
      <c r="W104" s="317">
        <v>100</v>
      </c>
      <c r="X104" s="317">
        <v>101.5</v>
      </c>
      <c r="Y104" s="317">
        <v>110</v>
      </c>
      <c r="Z104" s="317">
        <v>110</v>
      </c>
      <c r="AA104" s="317">
        <v>136</v>
      </c>
      <c r="AB104" s="317">
        <v>136</v>
      </c>
      <c r="AC104" s="317">
        <v>136</v>
      </c>
      <c r="AD104" s="317">
        <v>110</v>
      </c>
      <c r="AE104" s="317">
        <v>110</v>
      </c>
      <c r="AF104" s="317">
        <v>110</v>
      </c>
      <c r="AG104" s="264">
        <v>110</v>
      </c>
      <c r="AH104" s="264">
        <v>98</v>
      </c>
      <c r="AI104" s="264">
        <v>98</v>
      </c>
      <c r="AJ104" s="264">
        <v>100.3</v>
      </c>
      <c r="AK104" s="264">
        <v>100.3</v>
      </c>
      <c r="AL104" s="264">
        <v>97.5</v>
      </c>
      <c r="AM104" s="264">
        <v>97</v>
      </c>
      <c r="AN104" s="264">
        <v>100</v>
      </c>
      <c r="AO104" s="264">
        <v>100</v>
      </c>
      <c r="AP104" s="264">
        <v>100</v>
      </c>
      <c r="AQ104" s="264">
        <v>100</v>
      </c>
      <c r="AR104" s="82"/>
      <c r="AS104" s="82"/>
      <c r="AT104" s="396">
        <v>37995.958333332812</v>
      </c>
      <c r="AU104" s="397">
        <v>37995.999999999476</v>
      </c>
      <c r="AV104" s="263">
        <v>100</v>
      </c>
      <c r="AW104" s="264">
        <v>100</v>
      </c>
      <c r="AX104" s="353">
        <v>96</v>
      </c>
      <c r="AY104" s="264">
        <v>90</v>
      </c>
      <c r="AZ104" s="317">
        <v>90</v>
      </c>
      <c r="BA104" s="264">
        <v>90</v>
      </c>
      <c r="BB104" s="264">
        <v>90</v>
      </c>
      <c r="BC104" s="264">
        <v>95</v>
      </c>
      <c r="BD104" s="353">
        <v>90</v>
      </c>
      <c r="BE104" s="264">
        <v>90</v>
      </c>
      <c r="BF104" s="317">
        <v>90</v>
      </c>
      <c r="BG104" s="317">
        <v>90</v>
      </c>
      <c r="BH104" s="317">
        <v>95</v>
      </c>
      <c r="BI104" s="317">
        <v>95</v>
      </c>
      <c r="BJ104" s="317">
        <v>95</v>
      </c>
      <c r="BK104" s="317">
        <v>140</v>
      </c>
      <c r="BL104" s="317">
        <v>145</v>
      </c>
      <c r="BM104" s="317">
        <v>100.3</v>
      </c>
      <c r="BN104" s="317">
        <v>100</v>
      </c>
      <c r="BO104" s="317">
        <v>101.5</v>
      </c>
      <c r="BP104" s="317">
        <v>110</v>
      </c>
      <c r="BQ104" s="317">
        <v>110</v>
      </c>
      <c r="BR104" s="317">
        <v>136</v>
      </c>
      <c r="BS104" s="317">
        <v>136</v>
      </c>
      <c r="BT104" s="317">
        <v>136</v>
      </c>
      <c r="BU104" s="317">
        <v>110</v>
      </c>
      <c r="BV104" s="317">
        <v>110</v>
      </c>
      <c r="BW104" s="317">
        <v>110</v>
      </c>
      <c r="BX104" s="264">
        <v>110</v>
      </c>
      <c r="BY104" s="264">
        <v>98</v>
      </c>
      <c r="BZ104" s="264">
        <v>98</v>
      </c>
      <c r="CA104" s="264">
        <v>100.3</v>
      </c>
      <c r="CB104" s="264">
        <v>100.3</v>
      </c>
      <c r="CC104" s="264">
        <v>97.5</v>
      </c>
      <c r="CD104" s="264">
        <v>97</v>
      </c>
      <c r="CE104" s="264">
        <v>100</v>
      </c>
      <c r="CF104" s="264">
        <v>100</v>
      </c>
      <c r="CG104" s="264">
        <v>100</v>
      </c>
      <c r="CH104" s="264">
        <v>100</v>
      </c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269"/>
      <c r="DP104" s="269"/>
    </row>
    <row r="105" spans="1:120" ht="15.75">
      <c r="A105" s="82"/>
      <c r="B105" s="82"/>
      <c r="C105" s="523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4"/>
      <c r="AB105" s="524"/>
      <c r="AC105" s="524"/>
      <c r="AD105" s="524"/>
      <c r="AE105" s="524"/>
      <c r="AF105" s="524"/>
      <c r="AG105" s="524"/>
      <c r="AH105" s="524"/>
      <c r="AI105" s="524"/>
      <c r="AJ105" s="524"/>
      <c r="AK105" s="524"/>
      <c r="AL105" s="524"/>
      <c r="AM105" s="524"/>
      <c r="AN105" s="524"/>
      <c r="AO105" s="524"/>
      <c r="AP105" s="524"/>
      <c r="AQ105" s="524"/>
      <c r="AR105" s="82"/>
      <c r="AS105" s="82"/>
      <c r="AT105" s="523"/>
      <c r="AU105" s="524"/>
      <c r="AV105" s="524"/>
      <c r="AW105" s="524"/>
      <c r="AX105" s="524"/>
      <c r="AY105" s="524"/>
      <c r="AZ105" s="524"/>
      <c r="BA105" s="524"/>
      <c r="BB105" s="524"/>
      <c r="BC105" s="524"/>
      <c r="BD105" s="524"/>
      <c r="BE105" s="524"/>
      <c r="BF105" s="524"/>
      <c r="BG105" s="524"/>
      <c r="BH105" s="524"/>
      <c r="BI105" s="524"/>
      <c r="BJ105" s="524"/>
      <c r="BK105" s="524"/>
      <c r="BL105" s="524"/>
      <c r="BM105" s="524"/>
      <c r="BN105" s="524"/>
      <c r="BO105" s="524"/>
      <c r="BP105" s="524"/>
      <c r="BQ105" s="524"/>
      <c r="BR105" s="524"/>
      <c r="BS105" s="524"/>
      <c r="BT105" s="524"/>
      <c r="BU105" s="524"/>
      <c r="BV105" s="524"/>
      <c r="BW105" s="524"/>
      <c r="BX105" s="524"/>
      <c r="BY105" s="524"/>
      <c r="BZ105" s="524"/>
      <c r="CA105" s="524"/>
      <c r="CB105" s="524"/>
      <c r="CC105" s="524"/>
      <c r="CD105" s="524"/>
      <c r="CE105" s="524"/>
      <c r="CF105" s="524"/>
      <c r="CG105" s="524"/>
      <c r="CH105" s="524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  <c r="DI105" s="269"/>
      <c r="DJ105" s="269"/>
      <c r="DK105" s="269"/>
      <c r="DL105" s="269"/>
      <c r="DM105" s="269"/>
      <c r="DN105" s="269"/>
      <c r="DO105" s="269"/>
      <c r="DP105" s="269"/>
    </row>
    <row r="106" spans="1:120" ht="15">
      <c r="A106" s="82"/>
      <c r="B106" s="82"/>
      <c r="C106" s="268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82"/>
      <c r="AS106" s="82"/>
      <c r="AT106" s="268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  <c r="DI106" s="269"/>
      <c r="DJ106" s="269"/>
      <c r="DK106" s="269"/>
      <c r="DL106" s="269"/>
      <c r="DM106" s="269"/>
      <c r="DN106" s="269"/>
      <c r="DO106" s="269"/>
      <c r="DP106" s="269"/>
    </row>
    <row r="107" spans="1:120" ht="15" customHeight="1">
      <c r="A107" s="82"/>
      <c r="B107" s="267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267"/>
      <c r="AS107" s="267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  <c r="DJ107" s="269"/>
      <c r="DK107" s="269"/>
      <c r="DL107" s="269"/>
      <c r="DM107" s="269"/>
      <c r="DN107" s="269"/>
      <c r="DO107" s="269"/>
      <c r="DP107" s="269"/>
    </row>
    <row r="108" spans="1:120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69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69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  <c r="DI108" s="269"/>
      <c r="DJ108" s="269"/>
      <c r="DK108" s="269"/>
      <c r="DL108" s="269"/>
      <c r="DM108" s="269"/>
      <c r="DN108" s="269"/>
      <c r="DO108" s="269"/>
      <c r="DP108" s="269"/>
    </row>
    <row r="109" spans="1:120" ht="16.5" thickBot="1">
      <c r="A109" s="82"/>
      <c r="B109" s="82"/>
      <c r="C109" s="527" t="s">
        <v>301</v>
      </c>
      <c r="D109" s="528"/>
      <c r="E109" s="528"/>
      <c r="F109" s="528"/>
      <c r="G109" s="528"/>
      <c r="H109" s="528"/>
      <c r="I109" s="528"/>
      <c r="J109" s="528"/>
      <c r="K109" s="528"/>
      <c r="L109" s="528"/>
      <c r="M109" s="528"/>
      <c r="N109" s="528"/>
      <c r="O109" s="528"/>
      <c r="P109" s="528"/>
      <c r="Q109" s="528"/>
      <c r="R109" s="528"/>
      <c r="S109" s="528"/>
      <c r="T109" s="528"/>
      <c r="U109" s="528"/>
      <c r="V109" s="528"/>
      <c r="W109" s="528"/>
      <c r="X109" s="528"/>
      <c r="Y109" s="528"/>
      <c r="Z109" s="528"/>
      <c r="AA109" s="528"/>
      <c r="AB109" s="528"/>
      <c r="AC109" s="528"/>
      <c r="AD109" s="528"/>
      <c r="AE109" s="528"/>
      <c r="AF109" s="528"/>
      <c r="AG109" s="528"/>
      <c r="AH109" s="528"/>
      <c r="AI109" s="528"/>
      <c r="AJ109" s="528"/>
      <c r="AK109" s="528"/>
      <c r="AL109" s="528"/>
      <c r="AM109" s="528"/>
      <c r="AN109" s="528"/>
      <c r="AO109" s="528"/>
      <c r="AP109" s="528"/>
      <c r="AQ109" s="528"/>
      <c r="AR109" s="82"/>
      <c r="AS109" s="82"/>
      <c r="AT109" s="527" t="s">
        <v>302</v>
      </c>
      <c r="AU109" s="528"/>
      <c r="AV109" s="528"/>
      <c r="AW109" s="528"/>
      <c r="AX109" s="528"/>
      <c r="AY109" s="528"/>
      <c r="AZ109" s="528"/>
      <c r="BA109" s="528"/>
      <c r="BB109" s="528"/>
      <c r="BC109" s="528"/>
      <c r="BD109" s="528"/>
      <c r="BE109" s="528"/>
      <c r="BF109" s="528"/>
      <c r="BG109" s="528"/>
      <c r="BH109" s="528"/>
      <c r="BI109" s="528"/>
      <c r="BJ109" s="528"/>
      <c r="BK109" s="528"/>
      <c r="BL109" s="528"/>
      <c r="BM109" s="528"/>
      <c r="BN109" s="528"/>
      <c r="BO109" s="528"/>
      <c r="BP109" s="528"/>
      <c r="BQ109" s="528"/>
      <c r="BR109" s="528"/>
      <c r="BS109" s="528"/>
      <c r="BT109" s="528"/>
      <c r="BU109" s="528"/>
      <c r="BV109" s="528"/>
      <c r="BW109" s="528"/>
      <c r="BX109" s="528"/>
      <c r="BY109" s="528"/>
      <c r="BZ109" s="528"/>
      <c r="CA109" s="528"/>
      <c r="CB109" s="528"/>
      <c r="CC109" s="528"/>
      <c r="CD109" s="528"/>
      <c r="CE109" s="528"/>
      <c r="CF109" s="528"/>
      <c r="CG109" s="528"/>
      <c r="CH109" s="528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  <c r="DI109" s="269"/>
      <c r="DJ109" s="269"/>
      <c r="DK109" s="269"/>
      <c r="DL109" s="269"/>
      <c r="DM109" s="269"/>
      <c r="DN109" s="269"/>
      <c r="DO109" s="269"/>
      <c r="DP109" s="269"/>
    </row>
    <row r="110" spans="1:120" ht="15.75" thickBot="1">
      <c r="A110" s="82"/>
      <c r="B110" s="82"/>
      <c r="C110" s="529"/>
      <c r="D110" s="530"/>
      <c r="E110" s="413"/>
      <c r="F110" s="414"/>
      <c r="G110" s="415"/>
      <c r="H110" s="414"/>
      <c r="I110" s="416"/>
      <c r="J110" s="414"/>
      <c r="K110" s="414"/>
      <c r="L110" s="414"/>
      <c r="M110" s="414"/>
      <c r="N110" s="414"/>
      <c r="O110" s="416"/>
      <c r="P110" s="414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  <c r="AF110" s="415"/>
      <c r="AG110" s="414"/>
      <c r="AH110" s="414"/>
      <c r="AI110" s="414"/>
      <c r="AJ110" s="414"/>
      <c r="AK110" s="414"/>
      <c r="AL110" s="414"/>
      <c r="AM110" s="414"/>
      <c r="AN110" s="414"/>
      <c r="AO110" s="414"/>
      <c r="AP110" s="414"/>
      <c r="AQ110" s="414"/>
      <c r="AR110" s="82"/>
      <c r="AS110" s="82"/>
      <c r="AT110" s="529"/>
      <c r="AU110" s="530"/>
      <c r="AV110" s="413"/>
      <c r="AW110" s="414"/>
      <c r="AX110" s="415"/>
      <c r="AY110" s="414"/>
      <c r="AZ110" s="416"/>
      <c r="BA110" s="414"/>
      <c r="BB110" s="414"/>
      <c r="BC110" s="414"/>
      <c r="BD110" s="414"/>
      <c r="BE110" s="414"/>
      <c r="BF110" s="416"/>
      <c r="BG110" s="414"/>
      <c r="BH110" s="415"/>
      <c r="BI110" s="415"/>
      <c r="BJ110" s="415"/>
      <c r="BK110" s="415"/>
      <c r="BL110" s="415"/>
      <c r="BM110" s="415"/>
      <c r="BN110" s="414"/>
      <c r="BO110" s="414"/>
      <c r="BP110" s="414"/>
      <c r="BQ110" s="414"/>
      <c r="BR110" s="414"/>
      <c r="BS110" s="414"/>
      <c r="BT110" s="414"/>
      <c r="BU110" s="414"/>
      <c r="BV110" s="414"/>
      <c r="BW110" s="414"/>
      <c r="BX110" s="414"/>
      <c r="BY110" s="414"/>
      <c r="BZ110" s="414"/>
      <c r="CA110" s="414"/>
      <c r="CB110" s="414"/>
      <c r="CC110" s="414"/>
      <c r="CD110" s="414"/>
      <c r="CE110" s="414"/>
      <c r="CF110" s="414"/>
      <c r="CG110" s="414"/>
      <c r="CH110" s="414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  <c r="DI110" s="269"/>
      <c r="DJ110" s="269"/>
      <c r="DK110" s="269"/>
      <c r="DL110" s="269"/>
      <c r="DM110" s="269"/>
      <c r="DN110" s="269"/>
      <c r="DO110" s="269"/>
      <c r="DP110" s="269"/>
    </row>
    <row r="111" spans="1:120" ht="15">
      <c r="A111" s="269"/>
      <c r="B111" s="269"/>
      <c r="C111" s="407">
        <v>0</v>
      </c>
      <c r="D111" s="408">
        <v>37995.041666666199</v>
      </c>
      <c r="E111" s="409">
        <v>0</v>
      </c>
      <c r="F111" s="410">
        <v>0</v>
      </c>
      <c r="G111" s="411">
        <v>0</v>
      </c>
      <c r="H111" s="410">
        <v>0</v>
      </c>
      <c r="I111" s="412">
        <v>0</v>
      </c>
      <c r="J111" s="410">
        <v>0</v>
      </c>
      <c r="K111" s="410">
        <v>0</v>
      </c>
      <c r="L111" s="410">
        <v>0</v>
      </c>
      <c r="M111" s="411">
        <v>0</v>
      </c>
      <c r="N111" s="410">
        <v>0</v>
      </c>
      <c r="O111" s="412">
        <v>0</v>
      </c>
      <c r="P111" s="412">
        <v>0</v>
      </c>
      <c r="Q111" s="412">
        <v>0</v>
      </c>
      <c r="R111" s="412">
        <v>0</v>
      </c>
      <c r="S111" s="412">
        <v>0</v>
      </c>
      <c r="T111" s="412">
        <v>0</v>
      </c>
      <c r="U111" s="412">
        <v>0</v>
      </c>
      <c r="V111" s="412">
        <v>0</v>
      </c>
      <c r="W111" s="412">
        <v>0</v>
      </c>
      <c r="X111" s="412">
        <v>0</v>
      </c>
      <c r="Y111" s="412">
        <v>0</v>
      </c>
      <c r="Z111" s="412">
        <v>0</v>
      </c>
      <c r="AA111" s="412">
        <v>0</v>
      </c>
      <c r="AB111" s="412">
        <v>0</v>
      </c>
      <c r="AC111" s="412">
        <v>0</v>
      </c>
      <c r="AD111" s="412">
        <v>0</v>
      </c>
      <c r="AE111" s="412">
        <v>0</v>
      </c>
      <c r="AF111" s="412">
        <v>0</v>
      </c>
      <c r="AG111" s="410">
        <v>0</v>
      </c>
      <c r="AH111" s="410">
        <v>0</v>
      </c>
      <c r="AI111" s="410">
        <v>0</v>
      </c>
      <c r="AJ111" s="410">
        <v>0</v>
      </c>
      <c r="AK111" s="410">
        <v>0</v>
      </c>
      <c r="AL111" s="410">
        <v>0</v>
      </c>
      <c r="AM111" s="410">
        <v>0</v>
      </c>
      <c r="AN111" s="410">
        <v>0</v>
      </c>
      <c r="AO111" s="410">
        <v>0</v>
      </c>
      <c r="AP111" s="410">
        <v>0</v>
      </c>
      <c r="AQ111" s="410">
        <v>0</v>
      </c>
      <c r="AR111" s="269"/>
      <c r="AS111" s="269"/>
      <c r="AT111" s="407">
        <v>0</v>
      </c>
      <c r="AU111" s="408">
        <v>37995.041666666199</v>
      </c>
      <c r="AV111" s="409">
        <v>0</v>
      </c>
      <c r="AW111" s="410">
        <v>0</v>
      </c>
      <c r="AX111" s="411">
        <v>0</v>
      </c>
      <c r="AY111" s="410">
        <v>0</v>
      </c>
      <c r="AZ111" s="412">
        <v>0</v>
      </c>
      <c r="BA111" s="410">
        <v>0</v>
      </c>
      <c r="BB111" s="410">
        <v>0</v>
      </c>
      <c r="BC111" s="410">
        <v>0</v>
      </c>
      <c r="BD111" s="411">
        <v>0</v>
      </c>
      <c r="BE111" s="410">
        <v>0</v>
      </c>
      <c r="BF111" s="412">
        <v>0</v>
      </c>
      <c r="BG111" s="412">
        <v>0</v>
      </c>
      <c r="BH111" s="412">
        <v>0</v>
      </c>
      <c r="BI111" s="412">
        <v>0</v>
      </c>
      <c r="BJ111" s="412">
        <v>0</v>
      </c>
      <c r="BK111" s="412">
        <v>0</v>
      </c>
      <c r="BL111" s="412">
        <v>0</v>
      </c>
      <c r="BM111" s="412">
        <v>0</v>
      </c>
      <c r="BN111" s="412">
        <v>0</v>
      </c>
      <c r="BO111" s="412">
        <v>0</v>
      </c>
      <c r="BP111" s="412">
        <v>0</v>
      </c>
      <c r="BQ111" s="412">
        <v>0</v>
      </c>
      <c r="BR111" s="412">
        <v>0</v>
      </c>
      <c r="BS111" s="412">
        <v>0</v>
      </c>
      <c r="BT111" s="412">
        <v>0</v>
      </c>
      <c r="BU111" s="412">
        <v>0</v>
      </c>
      <c r="BV111" s="412">
        <v>0</v>
      </c>
      <c r="BW111" s="412">
        <v>0</v>
      </c>
      <c r="BX111" s="410">
        <v>0</v>
      </c>
      <c r="BY111" s="410">
        <v>0</v>
      </c>
      <c r="BZ111" s="410">
        <v>0</v>
      </c>
      <c r="CA111" s="410">
        <v>0</v>
      </c>
      <c r="CB111" s="410">
        <v>0</v>
      </c>
      <c r="CC111" s="410">
        <v>0</v>
      </c>
      <c r="CD111" s="410">
        <v>0</v>
      </c>
      <c r="CE111" s="410">
        <v>0</v>
      </c>
      <c r="CF111" s="410">
        <v>0</v>
      </c>
      <c r="CG111" s="410">
        <v>0</v>
      </c>
      <c r="CH111" s="410">
        <v>0</v>
      </c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  <c r="DI111" s="269"/>
      <c r="DJ111" s="269"/>
      <c r="DK111" s="269"/>
      <c r="DL111" s="269"/>
      <c r="DM111" s="269"/>
      <c r="DN111" s="269"/>
      <c r="DO111" s="269"/>
      <c r="DP111" s="269"/>
    </row>
    <row r="112" spans="1:120" ht="15">
      <c r="A112" s="269"/>
      <c r="B112" s="269"/>
      <c r="C112" s="390">
        <f>+D111</f>
        <v>37995.041666666199</v>
      </c>
      <c r="D112" s="393">
        <v>37995.083333332863</v>
      </c>
      <c r="E112" s="255">
        <v>0</v>
      </c>
      <c r="F112" s="123">
        <v>0</v>
      </c>
      <c r="G112" s="271">
        <v>0</v>
      </c>
      <c r="H112" s="123">
        <v>0</v>
      </c>
      <c r="I112" s="313">
        <v>0</v>
      </c>
      <c r="J112" s="123">
        <v>0</v>
      </c>
      <c r="K112" s="123">
        <v>0</v>
      </c>
      <c r="L112" s="123">
        <v>0</v>
      </c>
      <c r="M112" s="271">
        <v>0</v>
      </c>
      <c r="N112" s="123">
        <v>0</v>
      </c>
      <c r="O112" s="313">
        <v>0</v>
      </c>
      <c r="P112" s="313">
        <v>0</v>
      </c>
      <c r="Q112" s="313">
        <v>0</v>
      </c>
      <c r="R112" s="313">
        <v>0</v>
      </c>
      <c r="S112" s="313">
        <v>0</v>
      </c>
      <c r="T112" s="313">
        <v>0</v>
      </c>
      <c r="U112" s="313">
        <v>0</v>
      </c>
      <c r="V112" s="313">
        <v>0</v>
      </c>
      <c r="W112" s="313">
        <v>0</v>
      </c>
      <c r="X112" s="313">
        <v>0</v>
      </c>
      <c r="Y112" s="313">
        <v>0</v>
      </c>
      <c r="Z112" s="313">
        <v>0</v>
      </c>
      <c r="AA112" s="313">
        <v>0</v>
      </c>
      <c r="AB112" s="313">
        <v>0</v>
      </c>
      <c r="AC112" s="313">
        <v>0</v>
      </c>
      <c r="AD112" s="313">
        <v>0</v>
      </c>
      <c r="AE112" s="313">
        <v>0</v>
      </c>
      <c r="AF112" s="313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269"/>
      <c r="AS112" s="269"/>
      <c r="AT112" s="390">
        <f>+AU111</f>
        <v>37995.041666666199</v>
      </c>
      <c r="AU112" s="393">
        <v>37995.083333332863</v>
      </c>
      <c r="AV112" s="255">
        <v>0</v>
      </c>
      <c r="AW112" s="123">
        <v>0</v>
      </c>
      <c r="AX112" s="271">
        <v>0</v>
      </c>
      <c r="AY112" s="123">
        <v>0</v>
      </c>
      <c r="AZ112" s="313">
        <v>0</v>
      </c>
      <c r="BA112" s="123">
        <v>0</v>
      </c>
      <c r="BB112" s="123">
        <v>0</v>
      </c>
      <c r="BC112" s="123">
        <v>0</v>
      </c>
      <c r="BD112" s="271">
        <v>0</v>
      </c>
      <c r="BE112" s="123">
        <v>0</v>
      </c>
      <c r="BF112" s="313">
        <v>0</v>
      </c>
      <c r="BG112" s="313">
        <v>0</v>
      </c>
      <c r="BH112" s="313">
        <v>0</v>
      </c>
      <c r="BI112" s="313">
        <v>0</v>
      </c>
      <c r="BJ112" s="313">
        <v>0</v>
      </c>
      <c r="BK112" s="313">
        <v>0</v>
      </c>
      <c r="BL112" s="313">
        <v>0</v>
      </c>
      <c r="BM112" s="313">
        <v>0</v>
      </c>
      <c r="BN112" s="313">
        <v>0</v>
      </c>
      <c r="BO112" s="313">
        <v>0</v>
      </c>
      <c r="BP112" s="313">
        <v>0</v>
      </c>
      <c r="BQ112" s="313">
        <v>0</v>
      </c>
      <c r="BR112" s="313">
        <v>0</v>
      </c>
      <c r="BS112" s="313">
        <v>0</v>
      </c>
      <c r="BT112" s="313">
        <v>0</v>
      </c>
      <c r="BU112" s="313">
        <v>0</v>
      </c>
      <c r="BV112" s="313">
        <v>0</v>
      </c>
      <c r="BW112" s="31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123">
        <v>0</v>
      </c>
      <c r="CH112" s="123">
        <v>0</v>
      </c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  <c r="DI112" s="269"/>
      <c r="DJ112" s="269"/>
      <c r="DK112" s="269"/>
      <c r="DL112" s="269"/>
      <c r="DM112" s="269"/>
      <c r="DN112" s="269"/>
      <c r="DO112" s="269"/>
      <c r="DP112" s="269"/>
    </row>
    <row r="113" spans="1:120" ht="15">
      <c r="A113" s="269"/>
      <c r="B113" s="269"/>
      <c r="C113" s="390">
        <v>37995.083333332863</v>
      </c>
      <c r="D113" s="393">
        <v>37995.124999999527</v>
      </c>
      <c r="E113" s="255">
        <v>0</v>
      </c>
      <c r="F113" s="123">
        <v>0</v>
      </c>
      <c r="G113" s="271">
        <v>0</v>
      </c>
      <c r="H113" s="123">
        <v>0</v>
      </c>
      <c r="I113" s="313">
        <v>0</v>
      </c>
      <c r="J113" s="123">
        <v>0</v>
      </c>
      <c r="K113" s="123">
        <v>0</v>
      </c>
      <c r="L113" s="123">
        <v>0</v>
      </c>
      <c r="M113" s="271">
        <v>0</v>
      </c>
      <c r="N113" s="123">
        <v>0</v>
      </c>
      <c r="O113" s="313">
        <v>0</v>
      </c>
      <c r="P113" s="313">
        <v>0</v>
      </c>
      <c r="Q113" s="313">
        <v>0</v>
      </c>
      <c r="R113" s="313">
        <v>0</v>
      </c>
      <c r="S113" s="313">
        <v>0</v>
      </c>
      <c r="T113" s="313">
        <v>0</v>
      </c>
      <c r="U113" s="313">
        <v>0</v>
      </c>
      <c r="V113" s="313">
        <v>0</v>
      </c>
      <c r="W113" s="313">
        <v>0</v>
      </c>
      <c r="X113" s="313">
        <v>0</v>
      </c>
      <c r="Y113" s="313">
        <v>0</v>
      </c>
      <c r="Z113" s="313">
        <v>0</v>
      </c>
      <c r="AA113" s="313">
        <v>0</v>
      </c>
      <c r="AB113" s="313">
        <v>0</v>
      </c>
      <c r="AC113" s="313">
        <v>0</v>
      </c>
      <c r="AD113" s="313">
        <v>0</v>
      </c>
      <c r="AE113" s="313">
        <v>0</v>
      </c>
      <c r="AF113" s="31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269"/>
      <c r="AS113" s="269"/>
      <c r="AT113" s="390">
        <v>37995.083333332863</v>
      </c>
      <c r="AU113" s="393">
        <v>37995.124999999527</v>
      </c>
      <c r="AV113" s="255">
        <v>0</v>
      </c>
      <c r="AW113" s="123">
        <v>0</v>
      </c>
      <c r="AX113" s="271">
        <v>0</v>
      </c>
      <c r="AY113" s="123">
        <v>0</v>
      </c>
      <c r="AZ113" s="313">
        <v>0</v>
      </c>
      <c r="BA113" s="123">
        <v>0</v>
      </c>
      <c r="BB113" s="123">
        <v>0</v>
      </c>
      <c r="BC113" s="123">
        <v>0</v>
      </c>
      <c r="BD113" s="271">
        <v>0</v>
      </c>
      <c r="BE113" s="123">
        <v>0</v>
      </c>
      <c r="BF113" s="313">
        <v>0</v>
      </c>
      <c r="BG113" s="313">
        <v>0</v>
      </c>
      <c r="BH113" s="313">
        <v>0</v>
      </c>
      <c r="BI113" s="313">
        <v>0</v>
      </c>
      <c r="BJ113" s="313">
        <v>0</v>
      </c>
      <c r="BK113" s="313">
        <v>0</v>
      </c>
      <c r="BL113" s="313">
        <v>0</v>
      </c>
      <c r="BM113" s="313">
        <v>0</v>
      </c>
      <c r="BN113" s="313">
        <v>0</v>
      </c>
      <c r="BO113" s="313">
        <v>0</v>
      </c>
      <c r="BP113" s="313">
        <v>0</v>
      </c>
      <c r="BQ113" s="313">
        <v>0</v>
      </c>
      <c r="BR113" s="313">
        <v>0</v>
      </c>
      <c r="BS113" s="313">
        <v>0</v>
      </c>
      <c r="BT113" s="313">
        <v>0</v>
      </c>
      <c r="BU113" s="313">
        <v>0</v>
      </c>
      <c r="BV113" s="313">
        <v>0</v>
      </c>
      <c r="BW113" s="31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123">
        <v>0</v>
      </c>
      <c r="CH113" s="123">
        <v>0</v>
      </c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  <c r="DI113" s="269"/>
      <c r="DJ113" s="269"/>
      <c r="DK113" s="269"/>
      <c r="DL113" s="269"/>
      <c r="DM113" s="269"/>
      <c r="DN113" s="269"/>
      <c r="DO113" s="269"/>
      <c r="DP113" s="269"/>
    </row>
    <row r="114" spans="1:120" ht="15">
      <c r="A114" s="269"/>
      <c r="B114" s="269"/>
      <c r="C114" s="390">
        <v>37995.124999999527</v>
      </c>
      <c r="D114" s="393">
        <v>37995.166666666191</v>
      </c>
      <c r="E114" s="255">
        <v>0</v>
      </c>
      <c r="F114" s="123">
        <v>0</v>
      </c>
      <c r="G114" s="271">
        <v>0</v>
      </c>
      <c r="H114" s="123">
        <v>0</v>
      </c>
      <c r="I114" s="313">
        <v>0</v>
      </c>
      <c r="J114" s="123">
        <v>0</v>
      </c>
      <c r="K114" s="123">
        <v>0</v>
      </c>
      <c r="L114" s="123">
        <v>0</v>
      </c>
      <c r="M114" s="271">
        <v>0</v>
      </c>
      <c r="N114" s="123">
        <v>0</v>
      </c>
      <c r="O114" s="313">
        <v>0</v>
      </c>
      <c r="P114" s="313">
        <v>0</v>
      </c>
      <c r="Q114" s="313">
        <v>0</v>
      </c>
      <c r="R114" s="313">
        <v>0</v>
      </c>
      <c r="S114" s="313">
        <v>0</v>
      </c>
      <c r="T114" s="313">
        <v>0</v>
      </c>
      <c r="U114" s="313">
        <v>0</v>
      </c>
      <c r="V114" s="313">
        <v>0</v>
      </c>
      <c r="W114" s="313">
        <v>0</v>
      </c>
      <c r="X114" s="313">
        <v>0</v>
      </c>
      <c r="Y114" s="313">
        <v>0</v>
      </c>
      <c r="Z114" s="313">
        <v>0</v>
      </c>
      <c r="AA114" s="313">
        <v>0</v>
      </c>
      <c r="AB114" s="313">
        <v>0</v>
      </c>
      <c r="AC114" s="313">
        <v>0</v>
      </c>
      <c r="AD114" s="313">
        <v>0</v>
      </c>
      <c r="AE114" s="313">
        <v>0</v>
      </c>
      <c r="AF114" s="31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269"/>
      <c r="AS114" s="269"/>
      <c r="AT114" s="390">
        <v>37995.124999999527</v>
      </c>
      <c r="AU114" s="393">
        <v>37995.166666666191</v>
      </c>
      <c r="AV114" s="255">
        <v>0</v>
      </c>
      <c r="AW114" s="123">
        <v>0</v>
      </c>
      <c r="AX114" s="271">
        <v>0</v>
      </c>
      <c r="AY114" s="123">
        <v>0</v>
      </c>
      <c r="AZ114" s="313">
        <v>0</v>
      </c>
      <c r="BA114" s="123">
        <v>0</v>
      </c>
      <c r="BB114" s="123">
        <v>0</v>
      </c>
      <c r="BC114" s="123">
        <v>0</v>
      </c>
      <c r="BD114" s="271">
        <v>0</v>
      </c>
      <c r="BE114" s="123">
        <v>0</v>
      </c>
      <c r="BF114" s="313">
        <v>0</v>
      </c>
      <c r="BG114" s="313">
        <v>0</v>
      </c>
      <c r="BH114" s="313">
        <v>0</v>
      </c>
      <c r="BI114" s="313">
        <v>0</v>
      </c>
      <c r="BJ114" s="313">
        <v>0</v>
      </c>
      <c r="BK114" s="313">
        <v>0</v>
      </c>
      <c r="BL114" s="313">
        <v>0</v>
      </c>
      <c r="BM114" s="313">
        <v>0</v>
      </c>
      <c r="BN114" s="313">
        <v>0</v>
      </c>
      <c r="BO114" s="313">
        <v>0</v>
      </c>
      <c r="BP114" s="313">
        <v>0</v>
      </c>
      <c r="BQ114" s="313">
        <v>0</v>
      </c>
      <c r="BR114" s="313">
        <v>0</v>
      </c>
      <c r="BS114" s="313">
        <v>0</v>
      </c>
      <c r="BT114" s="313">
        <v>0</v>
      </c>
      <c r="BU114" s="313">
        <v>0</v>
      </c>
      <c r="BV114" s="313">
        <v>0</v>
      </c>
      <c r="BW114" s="31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123">
        <v>0</v>
      </c>
      <c r="CH114" s="123">
        <v>0</v>
      </c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  <c r="DI114" s="269"/>
      <c r="DJ114" s="269"/>
      <c r="DK114" s="269"/>
      <c r="DL114" s="269"/>
      <c r="DM114" s="269"/>
      <c r="DN114" s="269"/>
      <c r="DO114" s="269"/>
      <c r="DP114" s="269"/>
    </row>
    <row r="115" spans="1:120" ht="15">
      <c r="A115" s="269"/>
      <c r="B115" s="269"/>
      <c r="C115" s="390">
        <v>37995.166666666191</v>
      </c>
      <c r="D115" s="393">
        <v>37995.208333332856</v>
      </c>
      <c r="E115" s="255">
        <v>0</v>
      </c>
      <c r="F115" s="123">
        <v>0</v>
      </c>
      <c r="G115" s="271">
        <v>0</v>
      </c>
      <c r="H115" s="123">
        <v>0</v>
      </c>
      <c r="I115" s="313">
        <v>0</v>
      </c>
      <c r="J115" s="123">
        <v>0</v>
      </c>
      <c r="K115" s="123">
        <v>0</v>
      </c>
      <c r="L115" s="123">
        <v>0</v>
      </c>
      <c r="M115" s="271">
        <v>0</v>
      </c>
      <c r="N115" s="123">
        <v>0</v>
      </c>
      <c r="O115" s="313">
        <v>0</v>
      </c>
      <c r="P115" s="313">
        <v>0</v>
      </c>
      <c r="Q115" s="313">
        <v>0</v>
      </c>
      <c r="R115" s="313">
        <v>0</v>
      </c>
      <c r="S115" s="313">
        <v>0</v>
      </c>
      <c r="T115" s="313">
        <v>0</v>
      </c>
      <c r="U115" s="313">
        <v>0</v>
      </c>
      <c r="V115" s="313">
        <v>0</v>
      </c>
      <c r="W115" s="313">
        <v>0</v>
      </c>
      <c r="X115" s="313">
        <v>0</v>
      </c>
      <c r="Y115" s="313">
        <v>0</v>
      </c>
      <c r="Z115" s="313">
        <v>0</v>
      </c>
      <c r="AA115" s="313">
        <v>0</v>
      </c>
      <c r="AB115" s="313">
        <v>0</v>
      </c>
      <c r="AC115" s="313">
        <v>0</v>
      </c>
      <c r="AD115" s="313">
        <v>0</v>
      </c>
      <c r="AE115" s="313">
        <v>0</v>
      </c>
      <c r="AF115" s="31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269"/>
      <c r="AS115" s="269"/>
      <c r="AT115" s="390">
        <v>37995.166666666191</v>
      </c>
      <c r="AU115" s="393">
        <v>37995.208333332856</v>
      </c>
      <c r="AV115" s="255">
        <v>0</v>
      </c>
      <c r="AW115" s="123">
        <v>0</v>
      </c>
      <c r="AX115" s="271">
        <v>0</v>
      </c>
      <c r="AY115" s="123">
        <v>0</v>
      </c>
      <c r="AZ115" s="313">
        <v>0</v>
      </c>
      <c r="BA115" s="123">
        <v>0</v>
      </c>
      <c r="BB115" s="123">
        <v>0</v>
      </c>
      <c r="BC115" s="123">
        <v>0</v>
      </c>
      <c r="BD115" s="271">
        <v>0</v>
      </c>
      <c r="BE115" s="123">
        <v>0</v>
      </c>
      <c r="BF115" s="313">
        <v>0</v>
      </c>
      <c r="BG115" s="313">
        <v>0</v>
      </c>
      <c r="BH115" s="313">
        <v>0</v>
      </c>
      <c r="BI115" s="313">
        <v>0</v>
      </c>
      <c r="BJ115" s="313">
        <v>0</v>
      </c>
      <c r="BK115" s="313">
        <v>0</v>
      </c>
      <c r="BL115" s="313">
        <v>0</v>
      </c>
      <c r="BM115" s="313">
        <v>0</v>
      </c>
      <c r="BN115" s="313">
        <v>0</v>
      </c>
      <c r="BO115" s="313">
        <v>0</v>
      </c>
      <c r="BP115" s="313">
        <v>0</v>
      </c>
      <c r="BQ115" s="313">
        <v>0</v>
      </c>
      <c r="BR115" s="313">
        <v>0</v>
      </c>
      <c r="BS115" s="313">
        <v>0</v>
      </c>
      <c r="BT115" s="313">
        <v>0</v>
      </c>
      <c r="BU115" s="313">
        <v>0</v>
      </c>
      <c r="BV115" s="313">
        <v>0</v>
      </c>
      <c r="BW115" s="313">
        <v>0</v>
      </c>
      <c r="BX115" s="123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123">
        <v>0</v>
      </c>
      <c r="CF115" s="123">
        <v>0</v>
      </c>
      <c r="CG115" s="123">
        <v>0</v>
      </c>
      <c r="CH115" s="123">
        <v>0</v>
      </c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  <c r="DI115" s="269"/>
      <c r="DJ115" s="269"/>
      <c r="DK115" s="269"/>
      <c r="DL115" s="269"/>
      <c r="DM115" s="269"/>
      <c r="DN115" s="269"/>
      <c r="DO115" s="269"/>
      <c r="DP115" s="269"/>
    </row>
    <row r="116" spans="1:120" ht="15">
      <c r="A116" s="269"/>
      <c r="B116" s="269"/>
      <c r="C116" s="390">
        <v>37995.208333332856</v>
      </c>
      <c r="D116" s="393">
        <v>37995.24999999952</v>
      </c>
      <c r="E116" s="255">
        <v>0</v>
      </c>
      <c r="F116" s="123">
        <v>0</v>
      </c>
      <c r="G116" s="271">
        <v>0</v>
      </c>
      <c r="H116" s="123">
        <v>0</v>
      </c>
      <c r="I116" s="313">
        <v>0</v>
      </c>
      <c r="J116" s="123">
        <v>0</v>
      </c>
      <c r="K116" s="123">
        <v>0</v>
      </c>
      <c r="L116" s="123">
        <v>0</v>
      </c>
      <c r="M116" s="271">
        <v>0</v>
      </c>
      <c r="N116" s="123">
        <v>0</v>
      </c>
      <c r="O116" s="313">
        <v>0</v>
      </c>
      <c r="P116" s="313">
        <v>0</v>
      </c>
      <c r="Q116" s="313">
        <v>0</v>
      </c>
      <c r="R116" s="313">
        <v>0</v>
      </c>
      <c r="S116" s="313">
        <v>0</v>
      </c>
      <c r="T116" s="313">
        <v>0</v>
      </c>
      <c r="U116" s="313">
        <v>0</v>
      </c>
      <c r="V116" s="313">
        <v>0</v>
      </c>
      <c r="W116" s="313">
        <v>0</v>
      </c>
      <c r="X116" s="313">
        <v>0</v>
      </c>
      <c r="Y116" s="313">
        <v>0</v>
      </c>
      <c r="Z116" s="313">
        <v>0</v>
      </c>
      <c r="AA116" s="313">
        <v>0</v>
      </c>
      <c r="AB116" s="313">
        <v>0</v>
      </c>
      <c r="AC116" s="313">
        <v>0</v>
      </c>
      <c r="AD116" s="313">
        <v>0</v>
      </c>
      <c r="AE116" s="313">
        <v>0</v>
      </c>
      <c r="AF116" s="31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123">
        <v>0</v>
      </c>
      <c r="AQ116" s="123">
        <v>0</v>
      </c>
      <c r="AR116" s="269"/>
      <c r="AS116" s="269"/>
      <c r="AT116" s="390">
        <v>37995.208333332856</v>
      </c>
      <c r="AU116" s="393">
        <v>37995.24999999952</v>
      </c>
      <c r="AV116" s="255">
        <v>0</v>
      </c>
      <c r="AW116" s="123">
        <v>0</v>
      </c>
      <c r="AX116" s="271">
        <v>0</v>
      </c>
      <c r="AY116" s="123">
        <v>0</v>
      </c>
      <c r="AZ116" s="313">
        <v>0</v>
      </c>
      <c r="BA116" s="123">
        <v>0</v>
      </c>
      <c r="BB116" s="123">
        <v>0</v>
      </c>
      <c r="BC116" s="123">
        <v>0</v>
      </c>
      <c r="BD116" s="271">
        <v>0</v>
      </c>
      <c r="BE116" s="123">
        <v>0</v>
      </c>
      <c r="BF116" s="313">
        <v>0</v>
      </c>
      <c r="BG116" s="313">
        <v>0</v>
      </c>
      <c r="BH116" s="313">
        <v>0</v>
      </c>
      <c r="BI116" s="313">
        <v>0</v>
      </c>
      <c r="BJ116" s="313">
        <v>0</v>
      </c>
      <c r="BK116" s="313">
        <v>0</v>
      </c>
      <c r="BL116" s="313">
        <v>0</v>
      </c>
      <c r="BM116" s="313">
        <v>0</v>
      </c>
      <c r="BN116" s="313">
        <v>0</v>
      </c>
      <c r="BO116" s="313">
        <v>0</v>
      </c>
      <c r="BP116" s="313">
        <v>0</v>
      </c>
      <c r="BQ116" s="313">
        <v>0</v>
      </c>
      <c r="BR116" s="313">
        <v>0</v>
      </c>
      <c r="BS116" s="313">
        <v>0</v>
      </c>
      <c r="BT116" s="313">
        <v>0</v>
      </c>
      <c r="BU116" s="313">
        <v>0</v>
      </c>
      <c r="BV116" s="313">
        <v>0</v>
      </c>
      <c r="BW116" s="313">
        <v>0</v>
      </c>
      <c r="BX116" s="123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123">
        <v>0</v>
      </c>
      <c r="CF116" s="123">
        <v>0</v>
      </c>
      <c r="CG116" s="123">
        <v>0</v>
      </c>
      <c r="CH116" s="123">
        <v>0</v>
      </c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  <c r="DI116" s="269"/>
      <c r="DJ116" s="269"/>
      <c r="DK116" s="269"/>
      <c r="DL116" s="269"/>
      <c r="DM116" s="269"/>
      <c r="DN116" s="269"/>
      <c r="DO116" s="269"/>
      <c r="DP116" s="269"/>
    </row>
    <row r="117" spans="1:120" ht="15">
      <c r="A117" s="269"/>
      <c r="B117" s="269"/>
      <c r="C117" s="391">
        <v>37995.24999999952</v>
      </c>
      <c r="D117" s="394">
        <v>37995.291666666184</v>
      </c>
      <c r="E117" s="258">
        <v>0</v>
      </c>
      <c r="F117" s="124">
        <v>0</v>
      </c>
      <c r="G117" s="272">
        <v>0</v>
      </c>
      <c r="H117" s="124">
        <v>0</v>
      </c>
      <c r="I117" s="314">
        <v>0</v>
      </c>
      <c r="J117" s="124">
        <v>0</v>
      </c>
      <c r="K117" s="124">
        <v>0</v>
      </c>
      <c r="L117" s="124">
        <v>0</v>
      </c>
      <c r="M117" s="272">
        <v>0</v>
      </c>
      <c r="N117" s="124">
        <v>0</v>
      </c>
      <c r="O117" s="314">
        <v>0</v>
      </c>
      <c r="P117" s="314">
        <v>0</v>
      </c>
      <c r="Q117" s="314">
        <v>0</v>
      </c>
      <c r="R117" s="314">
        <v>0</v>
      </c>
      <c r="S117" s="314">
        <v>0</v>
      </c>
      <c r="T117" s="314">
        <v>0</v>
      </c>
      <c r="U117" s="314">
        <v>0</v>
      </c>
      <c r="V117" s="314">
        <v>0</v>
      </c>
      <c r="W117" s="314">
        <v>0</v>
      </c>
      <c r="X117" s="314">
        <v>0</v>
      </c>
      <c r="Y117" s="314">
        <v>0</v>
      </c>
      <c r="Z117" s="314">
        <v>0</v>
      </c>
      <c r="AA117" s="314">
        <v>0</v>
      </c>
      <c r="AB117" s="314">
        <v>0</v>
      </c>
      <c r="AC117" s="314">
        <v>0</v>
      </c>
      <c r="AD117" s="314">
        <v>0</v>
      </c>
      <c r="AE117" s="314">
        <v>0</v>
      </c>
      <c r="AF117" s="314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124">
        <v>0</v>
      </c>
      <c r="AR117" s="269"/>
      <c r="AS117" s="269"/>
      <c r="AT117" s="391">
        <v>37995.24999999952</v>
      </c>
      <c r="AU117" s="394">
        <v>37995.291666666184</v>
      </c>
      <c r="AV117" s="258">
        <v>0</v>
      </c>
      <c r="AW117" s="124">
        <v>0</v>
      </c>
      <c r="AX117" s="272">
        <v>0</v>
      </c>
      <c r="AY117" s="124">
        <v>0</v>
      </c>
      <c r="AZ117" s="314">
        <v>0</v>
      </c>
      <c r="BA117" s="124">
        <v>0</v>
      </c>
      <c r="BB117" s="124">
        <v>0</v>
      </c>
      <c r="BC117" s="124">
        <v>0</v>
      </c>
      <c r="BD117" s="272">
        <v>0</v>
      </c>
      <c r="BE117" s="124">
        <v>0</v>
      </c>
      <c r="BF117" s="314">
        <v>0</v>
      </c>
      <c r="BG117" s="314">
        <v>0</v>
      </c>
      <c r="BH117" s="314">
        <v>0</v>
      </c>
      <c r="BI117" s="314">
        <v>0</v>
      </c>
      <c r="BJ117" s="314">
        <v>0</v>
      </c>
      <c r="BK117" s="314">
        <v>0</v>
      </c>
      <c r="BL117" s="314">
        <v>0</v>
      </c>
      <c r="BM117" s="314">
        <v>0</v>
      </c>
      <c r="BN117" s="314">
        <v>0</v>
      </c>
      <c r="BO117" s="314">
        <v>0</v>
      </c>
      <c r="BP117" s="314">
        <v>0</v>
      </c>
      <c r="BQ117" s="314">
        <v>0</v>
      </c>
      <c r="BR117" s="314">
        <v>0</v>
      </c>
      <c r="BS117" s="314">
        <v>0</v>
      </c>
      <c r="BT117" s="314">
        <v>0</v>
      </c>
      <c r="BU117" s="314">
        <v>0</v>
      </c>
      <c r="BV117" s="314">
        <v>0</v>
      </c>
      <c r="BW117" s="31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124">
        <v>0</v>
      </c>
      <c r="CH117" s="124">
        <v>0</v>
      </c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  <c r="DO117" s="269"/>
      <c r="DP117" s="269"/>
    </row>
    <row r="118" spans="1:120" ht="15">
      <c r="A118" s="269"/>
      <c r="B118" s="269"/>
      <c r="C118" s="391">
        <v>37995.291666666184</v>
      </c>
      <c r="D118" s="394">
        <v>37995.333333332848</v>
      </c>
      <c r="E118" s="258">
        <v>0</v>
      </c>
      <c r="F118" s="124">
        <v>0</v>
      </c>
      <c r="G118" s="272">
        <v>0</v>
      </c>
      <c r="H118" s="124">
        <v>0</v>
      </c>
      <c r="I118" s="314">
        <v>0</v>
      </c>
      <c r="J118" s="124">
        <v>0</v>
      </c>
      <c r="K118" s="124">
        <v>0</v>
      </c>
      <c r="L118" s="124">
        <v>0</v>
      </c>
      <c r="M118" s="272">
        <v>0</v>
      </c>
      <c r="N118" s="124">
        <v>0</v>
      </c>
      <c r="O118" s="314">
        <v>0</v>
      </c>
      <c r="P118" s="314">
        <v>0</v>
      </c>
      <c r="Q118" s="314">
        <v>0</v>
      </c>
      <c r="R118" s="314">
        <v>0</v>
      </c>
      <c r="S118" s="314">
        <v>0</v>
      </c>
      <c r="T118" s="314">
        <v>0</v>
      </c>
      <c r="U118" s="314">
        <v>0</v>
      </c>
      <c r="V118" s="314">
        <v>0</v>
      </c>
      <c r="W118" s="314">
        <v>0</v>
      </c>
      <c r="X118" s="314">
        <v>0</v>
      </c>
      <c r="Y118" s="314">
        <v>0</v>
      </c>
      <c r="Z118" s="314">
        <v>0</v>
      </c>
      <c r="AA118" s="314">
        <v>0</v>
      </c>
      <c r="AB118" s="314">
        <v>0</v>
      </c>
      <c r="AC118" s="314">
        <v>0</v>
      </c>
      <c r="AD118" s="314">
        <v>0</v>
      </c>
      <c r="AE118" s="314">
        <v>0</v>
      </c>
      <c r="AF118" s="314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124">
        <v>0</v>
      </c>
      <c r="AR118" s="269"/>
      <c r="AS118" s="269"/>
      <c r="AT118" s="391">
        <v>37995.291666666184</v>
      </c>
      <c r="AU118" s="394">
        <v>37995.333333332848</v>
      </c>
      <c r="AV118" s="258">
        <v>0</v>
      </c>
      <c r="AW118" s="124">
        <v>0</v>
      </c>
      <c r="AX118" s="272">
        <v>0</v>
      </c>
      <c r="AY118" s="124">
        <v>0</v>
      </c>
      <c r="AZ118" s="314">
        <v>0</v>
      </c>
      <c r="BA118" s="124">
        <v>0</v>
      </c>
      <c r="BB118" s="124">
        <v>0</v>
      </c>
      <c r="BC118" s="124">
        <v>0</v>
      </c>
      <c r="BD118" s="272">
        <v>0</v>
      </c>
      <c r="BE118" s="124">
        <v>0</v>
      </c>
      <c r="BF118" s="314">
        <v>0</v>
      </c>
      <c r="BG118" s="314">
        <v>0</v>
      </c>
      <c r="BH118" s="314">
        <v>0</v>
      </c>
      <c r="BI118" s="314">
        <v>0</v>
      </c>
      <c r="BJ118" s="314">
        <v>0</v>
      </c>
      <c r="BK118" s="314">
        <v>0</v>
      </c>
      <c r="BL118" s="314">
        <v>0</v>
      </c>
      <c r="BM118" s="314">
        <v>0</v>
      </c>
      <c r="BN118" s="314">
        <v>0</v>
      </c>
      <c r="BO118" s="314">
        <v>0</v>
      </c>
      <c r="BP118" s="314">
        <v>0</v>
      </c>
      <c r="BQ118" s="314">
        <v>0</v>
      </c>
      <c r="BR118" s="314">
        <v>0</v>
      </c>
      <c r="BS118" s="314">
        <v>0</v>
      </c>
      <c r="BT118" s="314">
        <v>0</v>
      </c>
      <c r="BU118" s="314">
        <v>0</v>
      </c>
      <c r="BV118" s="314">
        <v>0</v>
      </c>
      <c r="BW118" s="31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124">
        <v>0</v>
      </c>
      <c r="CH118" s="124">
        <v>0</v>
      </c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  <c r="DO118" s="269"/>
      <c r="DP118" s="269"/>
    </row>
    <row r="119" spans="1:120" ht="15">
      <c r="A119" s="269"/>
      <c r="B119" s="269"/>
      <c r="C119" s="391">
        <v>37995.333333332848</v>
      </c>
      <c r="D119" s="394">
        <v>37995.374999999513</v>
      </c>
      <c r="E119" s="258">
        <v>0</v>
      </c>
      <c r="F119" s="124">
        <v>0</v>
      </c>
      <c r="G119" s="272">
        <v>0</v>
      </c>
      <c r="H119" s="124">
        <v>0</v>
      </c>
      <c r="I119" s="314">
        <v>0</v>
      </c>
      <c r="J119" s="124">
        <v>0</v>
      </c>
      <c r="K119" s="124">
        <v>0</v>
      </c>
      <c r="L119" s="124">
        <v>0</v>
      </c>
      <c r="M119" s="272">
        <v>0</v>
      </c>
      <c r="N119" s="124">
        <v>0</v>
      </c>
      <c r="O119" s="314">
        <v>0</v>
      </c>
      <c r="P119" s="314">
        <v>0</v>
      </c>
      <c r="Q119" s="314">
        <v>0</v>
      </c>
      <c r="R119" s="314">
        <v>0</v>
      </c>
      <c r="S119" s="314">
        <v>0</v>
      </c>
      <c r="T119" s="314">
        <v>0</v>
      </c>
      <c r="U119" s="314">
        <v>0</v>
      </c>
      <c r="V119" s="314">
        <v>0</v>
      </c>
      <c r="W119" s="314">
        <v>0</v>
      </c>
      <c r="X119" s="314">
        <v>0</v>
      </c>
      <c r="Y119" s="314">
        <v>0</v>
      </c>
      <c r="Z119" s="314">
        <v>0</v>
      </c>
      <c r="AA119" s="314">
        <v>0</v>
      </c>
      <c r="AB119" s="314">
        <v>0</v>
      </c>
      <c r="AC119" s="314">
        <v>0</v>
      </c>
      <c r="AD119" s="314">
        <v>0</v>
      </c>
      <c r="AE119" s="314">
        <v>0</v>
      </c>
      <c r="AF119" s="314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124">
        <v>0</v>
      </c>
      <c r="AQ119" s="124">
        <v>0</v>
      </c>
      <c r="AR119" s="269"/>
      <c r="AS119" s="269"/>
      <c r="AT119" s="391">
        <v>37995.333333332848</v>
      </c>
      <c r="AU119" s="394">
        <v>37995.374999999513</v>
      </c>
      <c r="AV119" s="258">
        <v>0</v>
      </c>
      <c r="AW119" s="124">
        <v>0</v>
      </c>
      <c r="AX119" s="272">
        <v>0</v>
      </c>
      <c r="AY119" s="124">
        <v>0</v>
      </c>
      <c r="AZ119" s="314">
        <v>0</v>
      </c>
      <c r="BA119" s="124">
        <v>0</v>
      </c>
      <c r="BB119" s="124">
        <v>0</v>
      </c>
      <c r="BC119" s="124">
        <v>0</v>
      </c>
      <c r="BD119" s="272">
        <v>0</v>
      </c>
      <c r="BE119" s="124">
        <v>0</v>
      </c>
      <c r="BF119" s="314">
        <v>0</v>
      </c>
      <c r="BG119" s="314">
        <v>0</v>
      </c>
      <c r="BH119" s="314">
        <v>0</v>
      </c>
      <c r="BI119" s="314">
        <v>0</v>
      </c>
      <c r="BJ119" s="314">
        <v>0</v>
      </c>
      <c r="BK119" s="314">
        <v>0</v>
      </c>
      <c r="BL119" s="314">
        <v>0</v>
      </c>
      <c r="BM119" s="314">
        <v>0</v>
      </c>
      <c r="BN119" s="314">
        <v>0</v>
      </c>
      <c r="BO119" s="314">
        <v>0</v>
      </c>
      <c r="BP119" s="314">
        <v>0</v>
      </c>
      <c r="BQ119" s="314">
        <v>0</v>
      </c>
      <c r="BR119" s="314">
        <v>0</v>
      </c>
      <c r="BS119" s="314">
        <v>0</v>
      </c>
      <c r="BT119" s="314">
        <v>0</v>
      </c>
      <c r="BU119" s="314">
        <v>0</v>
      </c>
      <c r="BV119" s="314">
        <v>0</v>
      </c>
      <c r="BW119" s="314">
        <v>0</v>
      </c>
      <c r="BX119" s="124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124">
        <v>0</v>
      </c>
      <c r="CF119" s="124">
        <v>0</v>
      </c>
      <c r="CG119" s="124">
        <v>0</v>
      </c>
      <c r="CH119" s="124">
        <v>0</v>
      </c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  <c r="DO119" s="269"/>
      <c r="DP119" s="269"/>
    </row>
    <row r="120" spans="1:120" ht="15">
      <c r="A120" s="269"/>
      <c r="B120" s="269"/>
      <c r="C120" s="391">
        <v>37995.374999999513</v>
      </c>
      <c r="D120" s="394">
        <v>37995.416666666177</v>
      </c>
      <c r="E120" s="258">
        <v>0</v>
      </c>
      <c r="F120" s="124">
        <v>0</v>
      </c>
      <c r="G120" s="272">
        <v>0</v>
      </c>
      <c r="H120" s="124">
        <v>0</v>
      </c>
      <c r="I120" s="314">
        <v>0</v>
      </c>
      <c r="J120" s="124">
        <v>0</v>
      </c>
      <c r="K120" s="124">
        <v>0</v>
      </c>
      <c r="L120" s="124">
        <v>0</v>
      </c>
      <c r="M120" s="272">
        <v>0</v>
      </c>
      <c r="N120" s="124">
        <v>0</v>
      </c>
      <c r="O120" s="314">
        <v>0</v>
      </c>
      <c r="P120" s="314">
        <v>0</v>
      </c>
      <c r="Q120" s="314">
        <v>0</v>
      </c>
      <c r="R120" s="314">
        <v>0</v>
      </c>
      <c r="S120" s="314">
        <v>0</v>
      </c>
      <c r="T120" s="314">
        <v>0</v>
      </c>
      <c r="U120" s="314">
        <v>0</v>
      </c>
      <c r="V120" s="314">
        <v>0</v>
      </c>
      <c r="W120" s="314">
        <v>0</v>
      </c>
      <c r="X120" s="314">
        <v>0</v>
      </c>
      <c r="Y120" s="314">
        <v>0</v>
      </c>
      <c r="Z120" s="314">
        <v>0</v>
      </c>
      <c r="AA120" s="314">
        <v>0</v>
      </c>
      <c r="AB120" s="314">
        <v>0</v>
      </c>
      <c r="AC120" s="314">
        <v>0</v>
      </c>
      <c r="AD120" s="314">
        <v>0</v>
      </c>
      <c r="AE120" s="314">
        <v>0</v>
      </c>
      <c r="AF120" s="314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124">
        <v>0</v>
      </c>
      <c r="AQ120" s="124">
        <v>0</v>
      </c>
      <c r="AR120" s="269"/>
      <c r="AS120" s="269"/>
      <c r="AT120" s="391">
        <v>37995.374999999513</v>
      </c>
      <c r="AU120" s="394">
        <v>37995.416666666177</v>
      </c>
      <c r="AV120" s="258">
        <v>0</v>
      </c>
      <c r="AW120" s="124">
        <v>0</v>
      </c>
      <c r="AX120" s="272">
        <v>0</v>
      </c>
      <c r="AY120" s="124">
        <v>0</v>
      </c>
      <c r="AZ120" s="314">
        <v>0</v>
      </c>
      <c r="BA120" s="124">
        <v>0</v>
      </c>
      <c r="BB120" s="124">
        <v>0</v>
      </c>
      <c r="BC120" s="124">
        <v>0</v>
      </c>
      <c r="BD120" s="272">
        <v>0</v>
      </c>
      <c r="BE120" s="124">
        <v>0</v>
      </c>
      <c r="BF120" s="314">
        <v>0</v>
      </c>
      <c r="BG120" s="314">
        <v>0</v>
      </c>
      <c r="BH120" s="314">
        <v>0</v>
      </c>
      <c r="BI120" s="314">
        <v>0</v>
      </c>
      <c r="BJ120" s="314">
        <v>0</v>
      </c>
      <c r="BK120" s="314">
        <v>0</v>
      </c>
      <c r="BL120" s="314">
        <v>0</v>
      </c>
      <c r="BM120" s="314">
        <v>0</v>
      </c>
      <c r="BN120" s="314">
        <v>0</v>
      </c>
      <c r="BO120" s="314">
        <v>0</v>
      </c>
      <c r="BP120" s="314">
        <v>0</v>
      </c>
      <c r="BQ120" s="314">
        <v>0</v>
      </c>
      <c r="BR120" s="314">
        <v>0</v>
      </c>
      <c r="BS120" s="314">
        <v>0</v>
      </c>
      <c r="BT120" s="314">
        <v>0</v>
      </c>
      <c r="BU120" s="314">
        <v>0</v>
      </c>
      <c r="BV120" s="314">
        <v>0</v>
      </c>
      <c r="BW120" s="314">
        <v>0</v>
      </c>
      <c r="BX120" s="124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124">
        <v>0</v>
      </c>
      <c r="CF120" s="124">
        <v>0</v>
      </c>
      <c r="CG120" s="124">
        <v>0</v>
      </c>
      <c r="CH120" s="124">
        <v>0</v>
      </c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  <c r="DO120" s="269"/>
      <c r="DP120" s="269"/>
    </row>
    <row r="121" spans="1:120" ht="15">
      <c r="A121" s="269"/>
      <c r="B121" s="269"/>
      <c r="C121" s="392">
        <v>37995.416666666177</v>
      </c>
      <c r="D121" s="395">
        <v>37995.458333332841</v>
      </c>
      <c r="E121" s="261">
        <v>0</v>
      </c>
      <c r="F121" s="125">
        <v>0</v>
      </c>
      <c r="G121" s="273">
        <v>0</v>
      </c>
      <c r="H121" s="125">
        <v>0</v>
      </c>
      <c r="I121" s="315">
        <v>0</v>
      </c>
      <c r="J121" s="125">
        <v>0</v>
      </c>
      <c r="K121" s="125">
        <v>0</v>
      </c>
      <c r="L121" s="125">
        <v>0</v>
      </c>
      <c r="M121" s="273">
        <v>0</v>
      </c>
      <c r="N121" s="125">
        <v>0</v>
      </c>
      <c r="O121" s="315">
        <v>0</v>
      </c>
      <c r="P121" s="315">
        <v>0</v>
      </c>
      <c r="Q121" s="315">
        <v>0</v>
      </c>
      <c r="R121" s="315">
        <v>0</v>
      </c>
      <c r="S121" s="315">
        <v>0</v>
      </c>
      <c r="T121" s="315">
        <v>0</v>
      </c>
      <c r="U121" s="315">
        <v>0</v>
      </c>
      <c r="V121" s="315">
        <v>0</v>
      </c>
      <c r="W121" s="315">
        <v>0</v>
      </c>
      <c r="X121" s="315">
        <v>0</v>
      </c>
      <c r="Y121" s="315">
        <v>0</v>
      </c>
      <c r="Z121" s="315">
        <v>0</v>
      </c>
      <c r="AA121" s="315">
        <v>0</v>
      </c>
      <c r="AB121" s="315">
        <v>0</v>
      </c>
      <c r="AC121" s="315">
        <v>0</v>
      </c>
      <c r="AD121" s="315">
        <v>0</v>
      </c>
      <c r="AE121" s="315">
        <v>0</v>
      </c>
      <c r="AF121" s="315">
        <v>0</v>
      </c>
      <c r="AG121" s="315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125">
        <v>0</v>
      </c>
      <c r="AR121" s="269"/>
      <c r="AS121" s="269"/>
      <c r="AT121" s="392">
        <v>37995.416666666177</v>
      </c>
      <c r="AU121" s="395">
        <v>37995.458333332841</v>
      </c>
      <c r="AV121" s="261">
        <v>0</v>
      </c>
      <c r="AW121" s="125">
        <v>0</v>
      </c>
      <c r="AX121" s="273">
        <v>0</v>
      </c>
      <c r="AY121" s="125">
        <v>0</v>
      </c>
      <c r="AZ121" s="315">
        <v>0</v>
      </c>
      <c r="BA121" s="125">
        <v>0</v>
      </c>
      <c r="BB121" s="125">
        <v>0</v>
      </c>
      <c r="BC121" s="125">
        <v>0</v>
      </c>
      <c r="BD121" s="273">
        <v>0</v>
      </c>
      <c r="BE121" s="125">
        <v>0</v>
      </c>
      <c r="BF121" s="315">
        <v>0</v>
      </c>
      <c r="BG121" s="315">
        <v>0</v>
      </c>
      <c r="BH121" s="315">
        <v>0</v>
      </c>
      <c r="BI121" s="315">
        <v>0</v>
      </c>
      <c r="BJ121" s="315">
        <v>0</v>
      </c>
      <c r="BK121" s="315">
        <v>0</v>
      </c>
      <c r="BL121" s="315">
        <v>0</v>
      </c>
      <c r="BM121" s="315">
        <v>0</v>
      </c>
      <c r="BN121" s="315">
        <v>0</v>
      </c>
      <c r="BO121" s="315">
        <v>0</v>
      </c>
      <c r="BP121" s="315">
        <v>0</v>
      </c>
      <c r="BQ121" s="315">
        <v>0</v>
      </c>
      <c r="BR121" s="315">
        <v>0</v>
      </c>
      <c r="BS121" s="315">
        <v>0</v>
      </c>
      <c r="BT121" s="315">
        <v>0</v>
      </c>
      <c r="BU121" s="315">
        <v>0</v>
      </c>
      <c r="BV121" s="315">
        <v>0</v>
      </c>
      <c r="BW121" s="315">
        <v>0</v>
      </c>
      <c r="BX121" s="31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125">
        <v>0</v>
      </c>
      <c r="CH121" s="125">
        <v>0</v>
      </c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  <c r="DO121" s="269"/>
      <c r="DP121" s="269"/>
    </row>
    <row r="122" spans="1:120" ht="15">
      <c r="A122" s="269"/>
      <c r="B122" s="269"/>
      <c r="C122" s="392">
        <v>37995.458333332841</v>
      </c>
      <c r="D122" s="395">
        <v>37995.499999999505</v>
      </c>
      <c r="E122" s="261">
        <v>0</v>
      </c>
      <c r="F122" s="125">
        <v>0</v>
      </c>
      <c r="G122" s="273">
        <v>0</v>
      </c>
      <c r="H122" s="125">
        <v>0</v>
      </c>
      <c r="I122" s="315">
        <v>0</v>
      </c>
      <c r="J122" s="125">
        <v>0</v>
      </c>
      <c r="K122" s="125">
        <v>0</v>
      </c>
      <c r="L122" s="125">
        <v>0</v>
      </c>
      <c r="M122" s="273">
        <v>0</v>
      </c>
      <c r="N122" s="125">
        <v>0</v>
      </c>
      <c r="O122" s="315">
        <v>0</v>
      </c>
      <c r="P122" s="315">
        <v>0</v>
      </c>
      <c r="Q122" s="315">
        <v>0</v>
      </c>
      <c r="R122" s="315">
        <v>0</v>
      </c>
      <c r="S122" s="315">
        <v>0</v>
      </c>
      <c r="T122" s="315">
        <v>0</v>
      </c>
      <c r="U122" s="315">
        <v>0</v>
      </c>
      <c r="V122" s="315">
        <v>0</v>
      </c>
      <c r="W122" s="315">
        <v>0</v>
      </c>
      <c r="X122" s="315">
        <v>0</v>
      </c>
      <c r="Y122" s="315">
        <v>0</v>
      </c>
      <c r="Z122" s="315">
        <v>0</v>
      </c>
      <c r="AA122" s="315">
        <v>0</v>
      </c>
      <c r="AB122" s="315">
        <v>0</v>
      </c>
      <c r="AC122" s="315">
        <v>0</v>
      </c>
      <c r="AD122" s="315">
        <v>0</v>
      </c>
      <c r="AE122" s="315">
        <v>0</v>
      </c>
      <c r="AF122" s="315">
        <v>0</v>
      </c>
      <c r="AG122" s="315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125">
        <v>0</v>
      </c>
      <c r="AP122" s="125">
        <v>0</v>
      </c>
      <c r="AQ122" s="125">
        <v>0</v>
      </c>
      <c r="AR122" s="269"/>
      <c r="AS122" s="269"/>
      <c r="AT122" s="392">
        <v>37995.458333332841</v>
      </c>
      <c r="AU122" s="395">
        <v>37995.499999999505</v>
      </c>
      <c r="AV122" s="261">
        <v>0</v>
      </c>
      <c r="AW122" s="125">
        <v>0</v>
      </c>
      <c r="AX122" s="273">
        <v>0</v>
      </c>
      <c r="AY122" s="125">
        <v>0</v>
      </c>
      <c r="AZ122" s="315">
        <v>0</v>
      </c>
      <c r="BA122" s="125">
        <v>0</v>
      </c>
      <c r="BB122" s="125">
        <v>0</v>
      </c>
      <c r="BC122" s="125">
        <v>0</v>
      </c>
      <c r="BD122" s="273">
        <v>0</v>
      </c>
      <c r="BE122" s="125">
        <v>0</v>
      </c>
      <c r="BF122" s="315">
        <v>0</v>
      </c>
      <c r="BG122" s="315">
        <v>0</v>
      </c>
      <c r="BH122" s="315">
        <v>0</v>
      </c>
      <c r="BI122" s="315">
        <v>0</v>
      </c>
      <c r="BJ122" s="315">
        <v>0</v>
      </c>
      <c r="BK122" s="315">
        <v>0</v>
      </c>
      <c r="BL122" s="315">
        <v>0</v>
      </c>
      <c r="BM122" s="315">
        <v>0</v>
      </c>
      <c r="BN122" s="315">
        <v>0</v>
      </c>
      <c r="BO122" s="315">
        <v>0</v>
      </c>
      <c r="BP122" s="315">
        <v>0</v>
      </c>
      <c r="BQ122" s="315">
        <v>0</v>
      </c>
      <c r="BR122" s="315">
        <v>0</v>
      </c>
      <c r="BS122" s="315">
        <v>0</v>
      </c>
      <c r="BT122" s="315">
        <v>0</v>
      </c>
      <c r="BU122" s="315">
        <v>0</v>
      </c>
      <c r="BV122" s="315">
        <v>0</v>
      </c>
      <c r="BW122" s="315">
        <v>0</v>
      </c>
      <c r="BX122" s="315">
        <v>0</v>
      </c>
      <c r="BY122" s="125">
        <v>0</v>
      </c>
      <c r="BZ122" s="125">
        <v>0</v>
      </c>
      <c r="CA122" s="125">
        <v>0</v>
      </c>
      <c r="CB122" s="125">
        <v>0</v>
      </c>
      <c r="CC122" s="125">
        <v>0</v>
      </c>
      <c r="CD122" s="125">
        <v>0</v>
      </c>
      <c r="CE122" s="125">
        <v>0</v>
      </c>
      <c r="CF122" s="125">
        <v>0</v>
      </c>
      <c r="CG122" s="125">
        <v>0</v>
      </c>
      <c r="CH122" s="125">
        <v>0</v>
      </c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  <c r="DO122" s="269"/>
      <c r="DP122" s="269"/>
    </row>
    <row r="123" spans="1:120" ht="15">
      <c r="A123" s="269"/>
      <c r="B123" s="269"/>
      <c r="C123" s="392">
        <v>37995.499999999505</v>
      </c>
      <c r="D123" s="395">
        <v>37995.541666666169</v>
      </c>
      <c r="E123" s="261">
        <v>0</v>
      </c>
      <c r="F123" s="125">
        <v>0</v>
      </c>
      <c r="G123" s="273">
        <v>0</v>
      </c>
      <c r="H123" s="125">
        <v>0</v>
      </c>
      <c r="I123" s="315">
        <v>0</v>
      </c>
      <c r="J123" s="125">
        <v>0</v>
      </c>
      <c r="K123" s="125">
        <v>0</v>
      </c>
      <c r="L123" s="125">
        <v>0</v>
      </c>
      <c r="M123" s="273">
        <v>0</v>
      </c>
      <c r="N123" s="125">
        <v>0</v>
      </c>
      <c r="O123" s="315">
        <v>0</v>
      </c>
      <c r="P123" s="315">
        <v>0</v>
      </c>
      <c r="Q123" s="315">
        <v>0</v>
      </c>
      <c r="R123" s="315">
        <v>0</v>
      </c>
      <c r="S123" s="315">
        <v>0</v>
      </c>
      <c r="T123" s="315">
        <v>0</v>
      </c>
      <c r="U123" s="315">
        <v>0</v>
      </c>
      <c r="V123" s="315">
        <v>0</v>
      </c>
      <c r="W123" s="315">
        <v>0</v>
      </c>
      <c r="X123" s="315">
        <v>0</v>
      </c>
      <c r="Y123" s="315">
        <v>0</v>
      </c>
      <c r="Z123" s="315">
        <v>0</v>
      </c>
      <c r="AA123" s="315">
        <v>0</v>
      </c>
      <c r="AB123" s="315">
        <v>0</v>
      </c>
      <c r="AC123" s="315">
        <v>0</v>
      </c>
      <c r="AD123" s="315">
        <v>0</v>
      </c>
      <c r="AE123" s="315">
        <v>0</v>
      </c>
      <c r="AF123" s="315">
        <v>0</v>
      </c>
      <c r="AG123" s="315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125">
        <v>0</v>
      </c>
      <c r="AP123" s="125">
        <v>0</v>
      </c>
      <c r="AQ123" s="125">
        <v>0</v>
      </c>
      <c r="AR123" s="269"/>
      <c r="AS123" s="269"/>
      <c r="AT123" s="392">
        <v>37995.499999999505</v>
      </c>
      <c r="AU123" s="395">
        <v>37995.541666666169</v>
      </c>
      <c r="AV123" s="261">
        <v>0</v>
      </c>
      <c r="AW123" s="125">
        <v>0</v>
      </c>
      <c r="AX123" s="273">
        <v>0</v>
      </c>
      <c r="AY123" s="125">
        <v>0</v>
      </c>
      <c r="AZ123" s="315">
        <v>0</v>
      </c>
      <c r="BA123" s="125">
        <v>0</v>
      </c>
      <c r="BB123" s="125">
        <v>0</v>
      </c>
      <c r="BC123" s="125">
        <v>0</v>
      </c>
      <c r="BD123" s="273">
        <v>0</v>
      </c>
      <c r="BE123" s="125">
        <v>0</v>
      </c>
      <c r="BF123" s="315">
        <v>0</v>
      </c>
      <c r="BG123" s="315">
        <v>0</v>
      </c>
      <c r="BH123" s="315">
        <v>0</v>
      </c>
      <c r="BI123" s="315">
        <v>0</v>
      </c>
      <c r="BJ123" s="315">
        <v>0</v>
      </c>
      <c r="BK123" s="315">
        <v>0</v>
      </c>
      <c r="BL123" s="315">
        <v>0</v>
      </c>
      <c r="BM123" s="315">
        <v>0</v>
      </c>
      <c r="BN123" s="315">
        <v>0</v>
      </c>
      <c r="BO123" s="315">
        <v>0</v>
      </c>
      <c r="BP123" s="315">
        <v>0</v>
      </c>
      <c r="BQ123" s="315">
        <v>0</v>
      </c>
      <c r="BR123" s="315">
        <v>0</v>
      </c>
      <c r="BS123" s="315">
        <v>0</v>
      </c>
      <c r="BT123" s="315">
        <v>0</v>
      </c>
      <c r="BU123" s="315">
        <v>0</v>
      </c>
      <c r="BV123" s="315">
        <v>0</v>
      </c>
      <c r="BW123" s="315">
        <v>0</v>
      </c>
      <c r="BX123" s="315">
        <v>0</v>
      </c>
      <c r="BY123" s="125">
        <v>0</v>
      </c>
      <c r="BZ123" s="125">
        <v>0</v>
      </c>
      <c r="CA123" s="125">
        <v>0</v>
      </c>
      <c r="CB123" s="125">
        <v>0</v>
      </c>
      <c r="CC123" s="125">
        <v>0</v>
      </c>
      <c r="CD123" s="125">
        <v>0</v>
      </c>
      <c r="CE123" s="125">
        <v>0</v>
      </c>
      <c r="CF123" s="125">
        <v>0</v>
      </c>
      <c r="CG123" s="125">
        <v>0</v>
      </c>
      <c r="CH123" s="125">
        <v>0</v>
      </c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  <c r="DO123" s="269"/>
      <c r="DP123" s="269"/>
    </row>
    <row r="124" spans="1:120" ht="15">
      <c r="A124" s="269"/>
      <c r="B124" s="269"/>
      <c r="C124" s="391">
        <v>37995.541666666169</v>
      </c>
      <c r="D124" s="394">
        <v>37995.583333332834</v>
      </c>
      <c r="E124" s="258">
        <v>0</v>
      </c>
      <c r="F124" s="124">
        <v>0</v>
      </c>
      <c r="G124" s="272">
        <v>0</v>
      </c>
      <c r="H124" s="124">
        <v>0</v>
      </c>
      <c r="I124" s="314">
        <v>0</v>
      </c>
      <c r="J124" s="124">
        <v>0</v>
      </c>
      <c r="K124" s="124">
        <v>0</v>
      </c>
      <c r="L124" s="124">
        <v>0</v>
      </c>
      <c r="M124" s="272">
        <v>0</v>
      </c>
      <c r="N124" s="124">
        <v>0</v>
      </c>
      <c r="O124" s="314">
        <v>0</v>
      </c>
      <c r="P124" s="314">
        <v>0</v>
      </c>
      <c r="Q124" s="314">
        <v>0</v>
      </c>
      <c r="R124" s="314">
        <v>0</v>
      </c>
      <c r="S124" s="314">
        <v>0</v>
      </c>
      <c r="T124" s="314">
        <v>0</v>
      </c>
      <c r="U124" s="314">
        <v>0</v>
      </c>
      <c r="V124" s="314">
        <v>0</v>
      </c>
      <c r="W124" s="314">
        <v>0</v>
      </c>
      <c r="X124" s="314">
        <v>0</v>
      </c>
      <c r="Y124" s="314">
        <v>0</v>
      </c>
      <c r="Z124" s="314">
        <v>0</v>
      </c>
      <c r="AA124" s="314">
        <v>0</v>
      </c>
      <c r="AB124" s="314">
        <v>0</v>
      </c>
      <c r="AC124" s="314">
        <v>0</v>
      </c>
      <c r="AD124" s="314">
        <v>0</v>
      </c>
      <c r="AE124" s="314">
        <v>0</v>
      </c>
      <c r="AF124" s="314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124">
        <v>0</v>
      </c>
      <c r="AR124" s="269"/>
      <c r="AS124" s="269"/>
      <c r="AT124" s="391">
        <v>37995.541666666169</v>
      </c>
      <c r="AU124" s="394">
        <v>37995.583333332834</v>
      </c>
      <c r="AV124" s="258">
        <v>0</v>
      </c>
      <c r="AW124" s="124">
        <v>0</v>
      </c>
      <c r="AX124" s="272">
        <v>0</v>
      </c>
      <c r="AY124" s="124">
        <v>0</v>
      </c>
      <c r="AZ124" s="314">
        <v>0</v>
      </c>
      <c r="BA124" s="124">
        <v>0</v>
      </c>
      <c r="BB124" s="124">
        <v>0</v>
      </c>
      <c r="BC124" s="124">
        <v>0</v>
      </c>
      <c r="BD124" s="272">
        <v>0</v>
      </c>
      <c r="BE124" s="124">
        <v>0</v>
      </c>
      <c r="BF124" s="314">
        <v>0</v>
      </c>
      <c r="BG124" s="314">
        <v>0</v>
      </c>
      <c r="BH124" s="314">
        <v>0</v>
      </c>
      <c r="BI124" s="314">
        <v>0</v>
      </c>
      <c r="BJ124" s="314">
        <v>0</v>
      </c>
      <c r="BK124" s="314">
        <v>0</v>
      </c>
      <c r="BL124" s="314">
        <v>0</v>
      </c>
      <c r="BM124" s="314">
        <v>0</v>
      </c>
      <c r="BN124" s="314">
        <v>0</v>
      </c>
      <c r="BO124" s="314">
        <v>0</v>
      </c>
      <c r="BP124" s="314">
        <v>0</v>
      </c>
      <c r="BQ124" s="314">
        <v>0</v>
      </c>
      <c r="BR124" s="314">
        <v>0</v>
      </c>
      <c r="BS124" s="314">
        <v>0</v>
      </c>
      <c r="BT124" s="314">
        <v>0</v>
      </c>
      <c r="BU124" s="314">
        <v>0</v>
      </c>
      <c r="BV124" s="314">
        <v>0</v>
      </c>
      <c r="BW124" s="31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124">
        <v>0</v>
      </c>
      <c r="CH124" s="124">
        <v>0</v>
      </c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  <c r="DO124" s="269"/>
      <c r="DP124" s="269"/>
    </row>
    <row r="125" spans="1:120" ht="15">
      <c r="A125" s="269"/>
      <c r="B125" s="269"/>
      <c r="C125" s="391">
        <v>37995.583333332834</v>
      </c>
      <c r="D125" s="394">
        <v>37995.624999999498</v>
      </c>
      <c r="E125" s="258">
        <v>0</v>
      </c>
      <c r="F125" s="124">
        <v>0</v>
      </c>
      <c r="G125" s="272">
        <v>0</v>
      </c>
      <c r="H125" s="124">
        <v>0</v>
      </c>
      <c r="I125" s="314">
        <v>0</v>
      </c>
      <c r="J125" s="124">
        <v>0</v>
      </c>
      <c r="K125" s="124">
        <v>0</v>
      </c>
      <c r="L125" s="124">
        <v>0</v>
      </c>
      <c r="M125" s="272">
        <v>0</v>
      </c>
      <c r="N125" s="124">
        <v>0</v>
      </c>
      <c r="O125" s="314">
        <v>0</v>
      </c>
      <c r="P125" s="314">
        <v>0</v>
      </c>
      <c r="Q125" s="314">
        <v>0</v>
      </c>
      <c r="R125" s="314">
        <v>0</v>
      </c>
      <c r="S125" s="314">
        <v>0</v>
      </c>
      <c r="T125" s="314">
        <v>0</v>
      </c>
      <c r="U125" s="314">
        <v>0</v>
      </c>
      <c r="V125" s="314">
        <v>0</v>
      </c>
      <c r="W125" s="314">
        <v>0</v>
      </c>
      <c r="X125" s="314">
        <v>0</v>
      </c>
      <c r="Y125" s="314">
        <v>0</v>
      </c>
      <c r="Z125" s="314">
        <v>0</v>
      </c>
      <c r="AA125" s="314">
        <v>0</v>
      </c>
      <c r="AB125" s="314">
        <v>0</v>
      </c>
      <c r="AC125" s="314">
        <v>0</v>
      </c>
      <c r="AD125" s="314">
        <v>0</v>
      </c>
      <c r="AE125" s="314">
        <v>0</v>
      </c>
      <c r="AF125" s="314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124">
        <v>0</v>
      </c>
      <c r="AR125" s="269"/>
      <c r="AS125" s="269"/>
      <c r="AT125" s="391">
        <v>37995.583333332834</v>
      </c>
      <c r="AU125" s="394">
        <v>37995.624999999498</v>
      </c>
      <c r="AV125" s="258">
        <v>0</v>
      </c>
      <c r="AW125" s="124">
        <v>0</v>
      </c>
      <c r="AX125" s="272">
        <v>0</v>
      </c>
      <c r="AY125" s="124">
        <v>0</v>
      </c>
      <c r="AZ125" s="314">
        <v>0</v>
      </c>
      <c r="BA125" s="124">
        <v>0</v>
      </c>
      <c r="BB125" s="124">
        <v>0</v>
      </c>
      <c r="BC125" s="124">
        <v>0</v>
      </c>
      <c r="BD125" s="272">
        <v>0</v>
      </c>
      <c r="BE125" s="124">
        <v>0</v>
      </c>
      <c r="BF125" s="314">
        <v>0</v>
      </c>
      <c r="BG125" s="314">
        <v>0</v>
      </c>
      <c r="BH125" s="314">
        <v>0</v>
      </c>
      <c r="BI125" s="314">
        <v>0</v>
      </c>
      <c r="BJ125" s="314">
        <v>0</v>
      </c>
      <c r="BK125" s="314">
        <v>0</v>
      </c>
      <c r="BL125" s="314">
        <v>0</v>
      </c>
      <c r="BM125" s="314">
        <v>0</v>
      </c>
      <c r="BN125" s="314">
        <v>0</v>
      </c>
      <c r="BO125" s="314">
        <v>0</v>
      </c>
      <c r="BP125" s="314">
        <v>0</v>
      </c>
      <c r="BQ125" s="314">
        <v>0</v>
      </c>
      <c r="BR125" s="314">
        <v>0</v>
      </c>
      <c r="BS125" s="314">
        <v>0</v>
      </c>
      <c r="BT125" s="314">
        <v>0</v>
      </c>
      <c r="BU125" s="314">
        <v>0</v>
      </c>
      <c r="BV125" s="314">
        <v>0</v>
      </c>
      <c r="BW125" s="31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124">
        <v>0</v>
      </c>
      <c r="CH125" s="124">
        <v>0</v>
      </c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  <c r="DO125" s="269"/>
      <c r="DP125" s="269"/>
    </row>
    <row r="126" spans="1:120" ht="15">
      <c r="A126" s="269"/>
      <c r="B126" s="269"/>
      <c r="C126" s="391">
        <v>37995.624999999498</v>
      </c>
      <c r="D126" s="394">
        <v>37995.666666666162</v>
      </c>
      <c r="E126" s="258">
        <v>0</v>
      </c>
      <c r="F126" s="124">
        <v>0</v>
      </c>
      <c r="G126" s="272">
        <v>0</v>
      </c>
      <c r="H126" s="124">
        <v>0</v>
      </c>
      <c r="I126" s="314">
        <v>0</v>
      </c>
      <c r="J126" s="124">
        <v>0</v>
      </c>
      <c r="K126" s="124">
        <v>0</v>
      </c>
      <c r="L126" s="124">
        <v>0</v>
      </c>
      <c r="M126" s="272">
        <v>0</v>
      </c>
      <c r="N126" s="124">
        <v>0</v>
      </c>
      <c r="O126" s="314">
        <v>0</v>
      </c>
      <c r="P126" s="314">
        <v>0</v>
      </c>
      <c r="Q126" s="314">
        <v>0</v>
      </c>
      <c r="R126" s="314">
        <v>0</v>
      </c>
      <c r="S126" s="314">
        <v>0</v>
      </c>
      <c r="T126" s="314">
        <v>0</v>
      </c>
      <c r="U126" s="314">
        <v>0</v>
      </c>
      <c r="V126" s="314">
        <v>0</v>
      </c>
      <c r="W126" s="314">
        <v>0</v>
      </c>
      <c r="X126" s="314">
        <v>0</v>
      </c>
      <c r="Y126" s="314">
        <v>0</v>
      </c>
      <c r="Z126" s="314">
        <v>0</v>
      </c>
      <c r="AA126" s="314">
        <v>0</v>
      </c>
      <c r="AB126" s="314">
        <v>0</v>
      </c>
      <c r="AC126" s="314">
        <v>0</v>
      </c>
      <c r="AD126" s="314">
        <v>0</v>
      </c>
      <c r="AE126" s="314">
        <v>0</v>
      </c>
      <c r="AF126" s="314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124">
        <v>0</v>
      </c>
      <c r="AR126" s="269"/>
      <c r="AS126" s="269"/>
      <c r="AT126" s="391">
        <v>37995.624999999498</v>
      </c>
      <c r="AU126" s="394">
        <v>37995.666666666162</v>
      </c>
      <c r="AV126" s="258">
        <v>0</v>
      </c>
      <c r="AW126" s="124">
        <v>0</v>
      </c>
      <c r="AX126" s="272">
        <v>0</v>
      </c>
      <c r="AY126" s="124">
        <v>0</v>
      </c>
      <c r="AZ126" s="314">
        <v>0</v>
      </c>
      <c r="BA126" s="124">
        <v>0</v>
      </c>
      <c r="BB126" s="124">
        <v>0</v>
      </c>
      <c r="BC126" s="124">
        <v>0</v>
      </c>
      <c r="BD126" s="272">
        <v>0</v>
      </c>
      <c r="BE126" s="124">
        <v>0</v>
      </c>
      <c r="BF126" s="314">
        <v>0</v>
      </c>
      <c r="BG126" s="314">
        <v>0</v>
      </c>
      <c r="BH126" s="314">
        <v>0</v>
      </c>
      <c r="BI126" s="314">
        <v>0</v>
      </c>
      <c r="BJ126" s="314">
        <v>0</v>
      </c>
      <c r="BK126" s="314">
        <v>0</v>
      </c>
      <c r="BL126" s="314">
        <v>0</v>
      </c>
      <c r="BM126" s="314">
        <v>0</v>
      </c>
      <c r="BN126" s="314">
        <v>0</v>
      </c>
      <c r="BO126" s="314">
        <v>0</v>
      </c>
      <c r="BP126" s="314">
        <v>0</v>
      </c>
      <c r="BQ126" s="314">
        <v>0</v>
      </c>
      <c r="BR126" s="314">
        <v>0</v>
      </c>
      <c r="BS126" s="314">
        <v>0</v>
      </c>
      <c r="BT126" s="314">
        <v>0</v>
      </c>
      <c r="BU126" s="314">
        <v>0</v>
      </c>
      <c r="BV126" s="314">
        <v>0</v>
      </c>
      <c r="BW126" s="31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124">
        <v>0</v>
      </c>
      <c r="CH126" s="124">
        <v>0</v>
      </c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  <c r="DO126" s="269"/>
      <c r="DP126" s="269"/>
    </row>
    <row r="127" spans="1:120" ht="15">
      <c r="A127" s="269"/>
      <c r="B127" s="269"/>
      <c r="C127" s="391">
        <v>37995.666666666162</v>
      </c>
      <c r="D127" s="394">
        <v>37995.708333332826</v>
      </c>
      <c r="E127" s="258">
        <v>0</v>
      </c>
      <c r="F127" s="124">
        <v>0</v>
      </c>
      <c r="G127" s="272">
        <v>0</v>
      </c>
      <c r="H127" s="124">
        <v>0</v>
      </c>
      <c r="I127" s="314">
        <v>0</v>
      </c>
      <c r="J127" s="124">
        <v>0</v>
      </c>
      <c r="K127" s="124">
        <v>0</v>
      </c>
      <c r="L127" s="124">
        <v>0</v>
      </c>
      <c r="M127" s="272">
        <v>0</v>
      </c>
      <c r="N127" s="124">
        <v>0</v>
      </c>
      <c r="O127" s="314">
        <v>0</v>
      </c>
      <c r="P127" s="314">
        <v>0</v>
      </c>
      <c r="Q127" s="314">
        <v>0</v>
      </c>
      <c r="R127" s="314">
        <v>0</v>
      </c>
      <c r="S127" s="314">
        <v>0</v>
      </c>
      <c r="T127" s="314">
        <v>0</v>
      </c>
      <c r="U127" s="314">
        <v>0</v>
      </c>
      <c r="V127" s="314">
        <v>0</v>
      </c>
      <c r="W127" s="314">
        <v>0</v>
      </c>
      <c r="X127" s="314">
        <v>0</v>
      </c>
      <c r="Y127" s="314">
        <v>0</v>
      </c>
      <c r="Z127" s="314">
        <v>0</v>
      </c>
      <c r="AA127" s="314">
        <v>0</v>
      </c>
      <c r="AB127" s="314">
        <v>0</v>
      </c>
      <c r="AC127" s="314">
        <v>0</v>
      </c>
      <c r="AD127" s="314">
        <v>0</v>
      </c>
      <c r="AE127" s="314">
        <v>0</v>
      </c>
      <c r="AF127" s="314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124">
        <v>0</v>
      </c>
      <c r="AQ127" s="124">
        <v>0</v>
      </c>
      <c r="AR127" s="269"/>
      <c r="AS127" s="269"/>
      <c r="AT127" s="391">
        <v>37995.666666666162</v>
      </c>
      <c r="AU127" s="394">
        <v>37995.708333332826</v>
      </c>
      <c r="AV127" s="258">
        <v>0</v>
      </c>
      <c r="AW127" s="124">
        <v>0</v>
      </c>
      <c r="AX127" s="272">
        <v>0</v>
      </c>
      <c r="AY127" s="124">
        <v>0</v>
      </c>
      <c r="AZ127" s="314">
        <v>0</v>
      </c>
      <c r="BA127" s="124">
        <v>0</v>
      </c>
      <c r="BB127" s="124">
        <v>0</v>
      </c>
      <c r="BC127" s="124">
        <v>0</v>
      </c>
      <c r="BD127" s="272">
        <v>0</v>
      </c>
      <c r="BE127" s="124">
        <v>0</v>
      </c>
      <c r="BF127" s="314">
        <v>0</v>
      </c>
      <c r="BG127" s="314">
        <v>0</v>
      </c>
      <c r="BH127" s="314">
        <v>0</v>
      </c>
      <c r="BI127" s="314">
        <v>0</v>
      </c>
      <c r="BJ127" s="314">
        <v>0</v>
      </c>
      <c r="BK127" s="314">
        <v>0</v>
      </c>
      <c r="BL127" s="314">
        <v>0</v>
      </c>
      <c r="BM127" s="314">
        <v>0</v>
      </c>
      <c r="BN127" s="314">
        <v>0</v>
      </c>
      <c r="BO127" s="314">
        <v>0</v>
      </c>
      <c r="BP127" s="314">
        <v>0</v>
      </c>
      <c r="BQ127" s="314">
        <v>0</v>
      </c>
      <c r="BR127" s="314">
        <v>0</v>
      </c>
      <c r="BS127" s="314">
        <v>0</v>
      </c>
      <c r="BT127" s="314">
        <v>0</v>
      </c>
      <c r="BU127" s="314">
        <v>0</v>
      </c>
      <c r="BV127" s="314">
        <v>0</v>
      </c>
      <c r="BW127" s="314">
        <v>0</v>
      </c>
      <c r="BX127" s="124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124">
        <v>0</v>
      </c>
      <c r="CF127" s="124">
        <v>0</v>
      </c>
      <c r="CG127" s="124">
        <v>0</v>
      </c>
      <c r="CH127" s="124">
        <v>0</v>
      </c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  <c r="DO127" s="269"/>
      <c r="DP127" s="269"/>
    </row>
    <row r="128" spans="1:120" ht="15">
      <c r="A128" s="269"/>
      <c r="B128" s="269"/>
      <c r="C128" s="391">
        <v>37995.708333332826</v>
      </c>
      <c r="D128" s="394">
        <v>37995.749999999491</v>
      </c>
      <c r="E128" s="258">
        <v>0</v>
      </c>
      <c r="F128" s="124">
        <v>0</v>
      </c>
      <c r="G128" s="272">
        <v>0</v>
      </c>
      <c r="H128" s="124">
        <v>0</v>
      </c>
      <c r="I128" s="314">
        <v>0</v>
      </c>
      <c r="J128" s="124">
        <v>0</v>
      </c>
      <c r="K128" s="124">
        <v>0</v>
      </c>
      <c r="L128" s="124">
        <v>0</v>
      </c>
      <c r="M128" s="272">
        <v>0</v>
      </c>
      <c r="N128" s="124">
        <v>0</v>
      </c>
      <c r="O128" s="314">
        <v>0</v>
      </c>
      <c r="P128" s="314">
        <v>0</v>
      </c>
      <c r="Q128" s="314">
        <v>0</v>
      </c>
      <c r="R128" s="314">
        <v>0</v>
      </c>
      <c r="S128" s="314">
        <v>0</v>
      </c>
      <c r="T128" s="314">
        <v>0</v>
      </c>
      <c r="U128" s="314">
        <v>0</v>
      </c>
      <c r="V128" s="314">
        <v>0</v>
      </c>
      <c r="W128" s="314">
        <v>0</v>
      </c>
      <c r="X128" s="314">
        <v>0</v>
      </c>
      <c r="Y128" s="314">
        <v>0</v>
      </c>
      <c r="Z128" s="314">
        <v>0</v>
      </c>
      <c r="AA128" s="314">
        <v>0</v>
      </c>
      <c r="AB128" s="314">
        <v>0</v>
      </c>
      <c r="AC128" s="314">
        <v>0</v>
      </c>
      <c r="AD128" s="314">
        <v>0</v>
      </c>
      <c r="AE128" s="314">
        <v>0</v>
      </c>
      <c r="AF128" s="314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124">
        <v>0</v>
      </c>
      <c r="AQ128" s="124">
        <v>0</v>
      </c>
      <c r="AR128" s="269"/>
      <c r="AS128" s="269"/>
      <c r="AT128" s="391">
        <v>37995.708333332826</v>
      </c>
      <c r="AU128" s="394">
        <v>37995.749999999491</v>
      </c>
      <c r="AV128" s="258">
        <v>0</v>
      </c>
      <c r="AW128" s="124">
        <v>0</v>
      </c>
      <c r="AX128" s="272">
        <v>0</v>
      </c>
      <c r="AY128" s="124">
        <v>0</v>
      </c>
      <c r="AZ128" s="314">
        <v>0</v>
      </c>
      <c r="BA128" s="124">
        <v>0</v>
      </c>
      <c r="BB128" s="124">
        <v>0</v>
      </c>
      <c r="BC128" s="124">
        <v>0</v>
      </c>
      <c r="BD128" s="272">
        <v>0</v>
      </c>
      <c r="BE128" s="124">
        <v>0</v>
      </c>
      <c r="BF128" s="314">
        <v>0</v>
      </c>
      <c r="BG128" s="314">
        <v>0</v>
      </c>
      <c r="BH128" s="314">
        <v>0</v>
      </c>
      <c r="BI128" s="314">
        <v>0</v>
      </c>
      <c r="BJ128" s="314">
        <v>0</v>
      </c>
      <c r="BK128" s="314">
        <v>0</v>
      </c>
      <c r="BL128" s="314">
        <v>0</v>
      </c>
      <c r="BM128" s="314">
        <v>0</v>
      </c>
      <c r="BN128" s="314">
        <v>0</v>
      </c>
      <c r="BO128" s="314">
        <v>0</v>
      </c>
      <c r="BP128" s="314">
        <v>0</v>
      </c>
      <c r="BQ128" s="314">
        <v>0</v>
      </c>
      <c r="BR128" s="314">
        <v>0</v>
      </c>
      <c r="BS128" s="314">
        <v>0</v>
      </c>
      <c r="BT128" s="314">
        <v>0</v>
      </c>
      <c r="BU128" s="314">
        <v>0</v>
      </c>
      <c r="BV128" s="314">
        <v>0</v>
      </c>
      <c r="BW128" s="314">
        <v>0</v>
      </c>
      <c r="BX128" s="124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124">
        <v>0</v>
      </c>
      <c r="CF128" s="124">
        <v>0</v>
      </c>
      <c r="CG128" s="124">
        <v>0</v>
      </c>
      <c r="CH128" s="124">
        <v>0</v>
      </c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  <c r="DO128" s="269"/>
      <c r="DP128" s="269"/>
    </row>
    <row r="129" spans="1:120" ht="15">
      <c r="A129" s="269"/>
      <c r="B129" s="269"/>
      <c r="C129" s="392">
        <v>37995.749999999491</v>
      </c>
      <c r="D129" s="395">
        <v>37995.791666666155</v>
      </c>
      <c r="E129" s="261">
        <v>0</v>
      </c>
      <c r="F129" s="125">
        <v>0</v>
      </c>
      <c r="G129" s="273">
        <v>0</v>
      </c>
      <c r="H129" s="125">
        <v>0</v>
      </c>
      <c r="I129" s="315">
        <v>0</v>
      </c>
      <c r="J129" s="125">
        <v>0</v>
      </c>
      <c r="K129" s="125">
        <v>0</v>
      </c>
      <c r="L129" s="125">
        <v>0</v>
      </c>
      <c r="M129" s="273">
        <v>0</v>
      </c>
      <c r="N129" s="125">
        <v>0</v>
      </c>
      <c r="O129" s="315">
        <v>0</v>
      </c>
      <c r="P129" s="315">
        <v>0</v>
      </c>
      <c r="Q129" s="315">
        <v>0</v>
      </c>
      <c r="R129" s="315">
        <v>0</v>
      </c>
      <c r="S129" s="315">
        <v>0</v>
      </c>
      <c r="T129" s="315">
        <v>0</v>
      </c>
      <c r="U129" s="315">
        <v>0</v>
      </c>
      <c r="V129" s="315">
        <v>0</v>
      </c>
      <c r="W129" s="315">
        <v>0</v>
      </c>
      <c r="X129" s="315">
        <v>0</v>
      </c>
      <c r="Y129" s="315">
        <v>0</v>
      </c>
      <c r="Z129" s="315">
        <v>0</v>
      </c>
      <c r="AA129" s="315">
        <v>0</v>
      </c>
      <c r="AB129" s="315">
        <v>0</v>
      </c>
      <c r="AC129" s="315">
        <v>0</v>
      </c>
      <c r="AD129" s="315">
        <v>0</v>
      </c>
      <c r="AE129" s="315">
        <v>0</v>
      </c>
      <c r="AF129" s="315">
        <v>0</v>
      </c>
      <c r="AG129" s="315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125">
        <v>0</v>
      </c>
      <c r="AR129" s="269"/>
      <c r="AS129" s="269"/>
      <c r="AT129" s="392">
        <v>37995.749999999491</v>
      </c>
      <c r="AU129" s="395">
        <v>37995.791666666155</v>
      </c>
      <c r="AV129" s="261">
        <v>0</v>
      </c>
      <c r="AW129" s="125">
        <v>0</v>
      </c>
      <c r="AX129" s="273">
        <v>0</v>
      </c>
      <c r="AY129" s="125">
        <v>0</v>
      </c>
      <c r="AZ129" s="315">
        <v>0</v>
      </c>
      <c r="BA129" s="125">
        <v>0</v>
      </c>
      <c r="BB129" s="125">
        <v>0</v>
      </c>
      <c r="BC129" s="125">
        <v>0</v>
      </c>
      <c r="BD129" s="273">
        <v>0</v>
      </c>
      <c r="BE129" s="125">
        <v>0</v>
      </c>
      <c r="BF129" s="315">
        <v>0</v>
      </c>
      <c r="BG129" s="315">
        <v>0</v>
      </c>
      <c r="BH129" s="315">
        <v>0</v>
      </c>
      <c r="BI129" s="315">
        <v>0</v>
      </c>
      <c r="BJ129" s="315">
        <v>0</v>
      </c>
      <c r="BK129" s="315">
        <v>0</v>
      </c>
      <c r="BL129" s="315">
        <v>0</v>
      </c>
      <c r="BM129" s="315">
        <v>0</v>
      </c>
      <c r="BN129" s="315">
        <v>0</v>
      </c>
      <c r="BO129" s="315">
        <v>0</v>
      </c>
      <c r="BP129" s="315">
        <v>0</v>
      </c>
      <c r="BQ129" s="315">
        <v>0</v>
      </c>
      <c r="BR129" s="315">
        <v>0</v>
      </c>
      <c r="BS129" s="315">
        <v>0</v>
      </c>
      <c r="BT129" s="315">
        <v>0</v>
      </c>
      <c r="BU129" s="315">
        <v>0</v>
      </c>
      <c r="BV129" s="315">
        <v>0</v>
      </c>
      <c r="BW129" s="315">
        <v>0</v>
      </c>
      <c r="BX129" s="31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125">
        <v>0</v>
      </c>
      <c r="CH129" s="125">
        <v>0</v>
      </c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  <c r="DO129" s="269"/>
      <c r="DP129" s="269"/>
    </row>
    <row r="130" spans="1:120" ht="15">
      <c r="A130" s="269"/>
      <c r="B130" s="269"/>
      <c r="C130" s="392">
        <v>37995.791666666155</v>
      </c>
      <c r="D130" s="395">
        <v>37995.833333332819</v>
      </c>
      <c r="E130" s="261">
        <v>0</v>
      </c>
      <c r="F130" s="125">
        <v>0</v>
      </c>
      <c r="G130" s="273">
        <v>0</v>
      </c>
      <c r="H130" s="125">
        <v>0</v>
      </c>
      <c r="I130" s="315">
        <v>0</v>
      </c>
      <c r="J130" s="125">
        <v>0</v>
      </c>
      <c r="K130" s="125">
        <v>0</v>
      </c>
      <c r="L130" s="125">
        <v>0</v>
      </c>
      <c r="M130" s="273">
        <v>0</v>
      </c>
      <c r="N130" s="125">
        <v>0</v>
      </c>
      <c r="O130" s="315">
        <v>0</v>
      </c>
      <c r="P130" s="315">
        <v>0</v>
      </c>
      <c r="Q130" s="315">
        <v>0</v>
      </c>
      <c r="R130" s="315">
        <v>0</v>
      </c>
      <c r="S130" s="315">
        <v>0</v>
      </c>
      <c r="T130" s="315">
        <v>0</v>
      </c>
      <c r="U130" s="315">
        <v>0</v>
      </c>
      <c r="V130" s="315">
        <v>0</v>
      </c>
      <c r="W130" s="315">
        <v>0</v>
      </c>
      <c r="X130" s="315">
        <v>0</v>
      </c>
      <c r="Y130" s="315">
        <v>0</v>
      </c>
      <c r="Z130" s="315">
        <v>0</v>
      </c>
      <c r="AA130" s="315">
        <v>0</v>
      </c>
      <c r="AB130" s="315">
        <v>0</v>
      </c>
      <c r="AC130" s="315">
        <v>0</v>
      </c>
      <c r="AD130" s="315">
        <v>0</v>
      </c>
      <c r="AE130" s="315">
        <v>0</v>
      </c>
      <c r="AF130" s="315">
        <v>0</v>
      </c>
      <c r="AG130" s="315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125">
        <v>0</v>
      </c>
      <c r="AP130" s="125">
        <v>0</v>
      </c>
      <c r="AQ130" s="125">
        <v>0</v>
      </c>
      <c r="AR130" s="269"/>
      <c r="AS130" s="269"/>
      <c r="AT130" s="392">
        <v>37995.791666666155</v>
      </c>
      <c r="AU130" s="395">
        <v>37995.833333332819</v>
      </c>
      <c r="AV130" s="261">
        <v>0</v>
      </c>
      <c r="AW130" s="125">
        <v>0</v>
      </c>
      <c r="AX130" s="273">
        <v>0</v>
      </c>
      <c r="AY130" s="125">
        <v>0</v>
      </c>
      <c r="AZ130" s="315">
        <v>0</v>
      </c>
      <c r="BA130" s="125">
        <v>0</v>
      </c>
      <c r="BB130" s="125">
        <v>0</v>
      </c>
      <c r="BC130" s="125">
        <v>0</v>
      </c>
      <c r="BD130" s="273">
        <v>0</v>
      </c>
      <c r="BE130" s="125">
        <v>0</v>
      </c>
      <c r="BF130" s="315">
        <v>0</v>
      </c>
      <c r="BG130" s="315">
        <v>0</v>
      </c>
      <c r="BH130" s="315">
        <v>0</v>
      </c>
      <c r="BI130" s="315">
        <v>0</v>
      </c>
      <c r="BJ130" s="315">
        <v>0</v>
      </c>
      <c r="BK130" s="315">
        <v>0</v>
      </c>
      <c r="BL130" s="315">
        <v>0</v>
      </c>
      <c r="BM130" s="315">
        <v>0</v>
      </c>
      <c r="BN130" s="315">
        <v>0</v>
      </c>
      <c r="BO130" s="315">
        <v>0</v>
      </c>
      <c r="BP130" s="315">
        <v>0</v>
      </c>
      <c r="BQ130" s="315">
        <v>0</v>
      </c>
      <c r="BR130" s="315">
        <v>0</v>
      </c>
      <c r="BS130" s="315">
        <v>0</v>
      </c>
      <c r="BT130" s="315">
        <v>0</v>
      </c>
      <c r="BU130" s="315">
        <v>0</v>
      </c>
      <c r="BV130" s="315">
        <v>0</v>
      </c>
      <c r="BW130" s="315">
        <v>0</v>
      </c>
      <c r="BX130" s="315">
        <v>0</v>
      </c>
      <c r="BY130" s="125">
        <v>0</v>
      </c>
      <c r="BZ130" s="125">
        <v>0</v>
      </c>
      <c r="CA130" s="125">
        <v>0</v>
      </c>
      <c r="CB130" s="125">
        <v>0</v>
      </c>
      <c r="CC130" s="125">
        <v>0</v>
      </c>
      <c r="CD130" s="125">
        <v>0</v>
      </c>
      <c r="CE130" s="125">
        <v>0</v>
      </c>
      <c r="CF130" s="125">
        <v>0</v>
      </c>
      <c r="CG130" s="125">
        <v>0</v>
      </c>
      <c r="CH130" s="125">
        <v>0</v>
      </c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  <c r="DO130" s="269"/>
      <c r="DP130" s="269"/>
    </row>
    <row r="131" spans="1:120" ht="15">
      <c r="A131" s="269"/>
      <c r="B131" s="269"/>
      <c r="C131" s="392">
        <v>37995.833333332819</v>
      </c>
      <c r="D131" s="395">
        <v>37995.874999999483</v>
      </c>
      <c r="E131" s="261">
        <v>0</v>
      </c>
      <c r="F131" s="125">
        <v>0</v>
      </c>
      <c r="G131" s="273">
        <v>0</v>
      </c>
      <c r="H131" s="125">
        <v>0</v>
      </c>
      <c r="I131" s="315">
        <v>0</v>
      </c>
      <c r="J131" s="125">
        <v>0</v>
      </c>
      <c r="K131" s="125">
        <v>0</v>
      </c>
      <c r="L131" s="125">
        <v>0</v>
      </c>
      <c r="M131" s="273">
        <v>0</v>
      </c>
      <c r="N131" s="125">
        <v>0</v>
      </c>
      <c r="O131" s="315">
        <v>0</v>
      </c>
      <c r="P131" s="315">
        <v>0</v>
      </c>
      <c r="Q131" s="315">
        <v>0</v>
      </c>
      <c r="R131" s="315">
        <v>0</v>
      </c>
      <c r="S131" s="315">
        <v>0</v>
      </c>
      <c r="T131" s="315">
        <v>0</v>
      </c>
      <c r="U131" s="315">
        <v>0</v>
      </c>
      <c r="V131" s="315">
        <v>0</v>
      </c>
      <c r="W131" s="315">
        <v>0</v>
      </c>
      <c r="X131" s="315">
        <v>0</v>
      </c>
      <c r="Y131" s="315">
        <v>0</v>
      </c>
      <c r="Z131" s="315">
        <v>0</v>
      </c>
      <c r="AA131" s="315">
        <v>0</v>
      </c>
      <c r="AB131" s="315">
        <v>0</v>
      </c>
      <c r="AC131" s="315">
        <v>0</v>
      </c>
      <c r="AD131" s="315">
        <v>0</v>
      </c>
      <c r="AE131" s="315">
        <v>0</v>
      </c>
      <c r="AF131" s="315">
        <v>0</v>
      </c>
      <c r="AG131" s="315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125">
        <v>0</v>
      </c>
      <c r="AP131" s="125">
        <v>0</v>
      </c>
      <c r="AQ131" s="125">
        <v>0</v>
      </c>
      <c r="AR131" s="269"/>
      <c r="AS131" s="269"/>
      <c r="AT131" s="392">
        <v>37995.833333332819</v>
      </c>
      <c r="AU131" s="395">
        <v>37995.874999999483</v>
      </c>
      <c r="AV131" s="261">
        <v>0</v>
      </c>
      <c r="AW131" s="125">
        <v>0</v>
      </c>
      <c r="AX131" s="273">
        <v>0</v>
      </c>
      <c r="AY131" s="125">
        <v>0</v>
      </c>
      <c r="AZ131" s="315">
        <v>0</v>
      </c>
      <c r="BA131" s="125">
        <v>0</v>
      </c>
      <c r="BB131" s="125">
        <v>0</v>
      </c>
      <c r="BC131" s="125">
        <v>0</v>
      </c>
      <c r="BD131" s="273">
        <v>0</v>
      </c>
      <c r="BE131" s="125">
        <v>0</v>
      </c>
      <c r="BF131" s="315">
        <v>0</v>
      </c>
      <c r="BG131" s="315">
        <v>0</v>
      </c>
      <c r="BH131" s="315">
        <v>0</v>
      </c>
      <c r="BI131" s="315">
        <v>0</v>
      </c>
      <c r="BJ131" s="315">
        <v>0</v>
      </c>
      <c r="BK131" s="315">
        <v>0</v>
      </c>
      <c r="BL131" s="315">
        <v>0</v>
      </c>
      <c r="BM131" s="315">
        <v>0</v>
      </c>
      <c r="BN131" s="315">
        <v>0</v>
      </c>
      <c r="BO131" s="315">
        <v>0</v>
      </c>
      <c r="BP131" s="315">
        <v>0</v>
      </c>
      <c r="BQ131" s="315">
        <v>0</v>
      </c>
      <c r="BR131" s="315">
        <v>0</v>
      </c>
      <c r="BS131" s="315">
        <v>0</v>
      </c>
      <c r="BT131" s="315">
        <v>0</v>
      </c>
      <c r="BU131" s="315">
        <v>0</v>
      </c>
      <c r="BV131" s="315">
        <v>0</v>
      </c>
      <c r="BW131" s="315">
        <v>0</v>
      </c>
      <c r="BX131" s="315">
        <v>0</v>
      </c>
      <c r="BY131" s="125">
        <v>0</v>
      </c>
      <c r="BZ131" s="125">
        <v>0</v>
      </c>
      <c r="CA131" s="125">
        <v>0</v>
      </c>
      <c r="CB131" s="125">
        <v>0</v>
      </c>
      <c r="CC131" s="125">
        <v>0</v>
      </c>
      <c r="CD131" s="125">
        <v>0</v>
      </c>
      <c r="CE131" s="125">
        <v>0</v>
      </c>
      <c r="CF131" s="125">
        <v>0</v>
      </c>
      <c r="CG131" s="125">
        <v>0</v>
      </c>
      <c r="CH131" s="125">
        <v>0</v>
      </c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  <c r="DO131" s="269"/>
      <c r="DP131" s="269"/>
    </row>
    <row r="132" spans="1:120" ht="15">
      <c r="A132" s="269"/>
      <c r="B132" s="269"/>
      <c r="C132" s="391">
        <v>37995.874999999483</v>
      </c>
      <c r="D132" s="394">
        <v>37995.916666666148</v>
      </c>
      <c r="E132" s="258">
        <v>0</v>
      </c>
      <c r="F132" s="124">
        <v>0</v>
      </c>
      <c r="G132" s="272">
        <v>0</v>
      </c>
      <c r="H132" s="124">
        <v>0</v>
      </c>
      <c r="I132" s="314">
        <v>0</v>
      </c>
      <c r="J132" s="124">
        <v>0</v>
      </c>
      <c r="K132" s="124">
        <v>0</v>
      </c>
      <c r="L132" s="124">
        <v>0</v>
      </c>
      <c r="M132" s="272">
        <v>0</v>
      </c>
      <c r="N132" s="124">
        <v>0</v>
      </c>
      <c r="O132" s="314">
        <v>0</v>
      </c>
      <c r="P132" s="314">
        <v>0</v>
      </c>
      <c r="Q132" s="314">
        <v>0</v>
      </c>
      <c r="R132" s="314">
        <v>0</v>
      </c>
      <c r="S132" s="314">
        <v>0</v>
      </c>
      <c r="T132" s="314">
        <v>0</v>
      </c>
      <c r="U132" s="314">
        <v>0</v>
      </c>
      <c r="V132" s="314">
        <v>0</v>
      </c>
      <c r="W132" s="314">
        <v>0</v>
      </c>
      <c r="X132" s="314">
        <v>0</v>
      </c>
      <c r="Y132" s="314">
        <v>0</v>
      </c>
      <c r="Z132" s="314">
        <v>0</v>
      </c>
      <c r="AA132" s="314">
        <v>0</v>
      </c>
      <c r="AB132" s="314">
        <v>0</v>
      </c>
      <c r="AC132" s="314">
        <v>0</v>
      </c>
      <c r="AD132" s="314">
        <v>0</v>
      </c>
      <c r="AE132" s="314">
        <v>0</v>
      </c>
      <c r="AF132" s="314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124">
        <v>0</v>
      </c>
      <c r="AR132" s="269"/>
      <c r="AS132" s="269"/>
      <c r="AT132" s="391">
        <v>37995.874999999483</v>
      </c>
      <c r="AU132" s="394">
        <v>37995.916666666148</v>
      </c>
      <c r="AV132" s="258">
        <v>0</v>
      </c>
      <c r="AW132" s="124">
        <v>0</v>
      </c>
      <c r="AX132" s="272">
        <v>0</v>
      </c>
      <c r="AY132" s="124">
        <v>0</v>
      </c>
      <c r="AZ132" s="314">
        <v>0</v>
      </c>
      <c r="BA132" s="124">
        <v>0</v>
      </c>
      <c r="BB132" s="124">
        <v>0</v>
      </c>
      <c r="BC132" s="124">
        <v>0</v>
      </c>
      <c r="BD132" s="272">
        <v>0</v>
      </c>
      <c r="BE132" s="124">
        <v>0</v>
      </c>
      <c r="BF132" s="314">
        <v>0</v>
      </c>
      <c r="BG132" s="314">
        <v>0</v>
      </c>
      <c r="BH132" s="314">
        <v>0</v>
      </c>
      <c r="BI132" s="314">
        <v>0</v>
      </c>
      <c r="BJ132" s="314">
        <v>0</v>
      </c>
      <c r="BK132" s="314">
        <v>0</v>
      </c>
      <c r="BL132" s="314">
        <v>0</v>
      </c>
      <c r="BM132" s="314">
        <v>0</v>
      </c>
      <c r="BN132" s="314">
        <v>0</v>
      </c>
      <c r="BO132" s="314">
        <v>0</v>
      </c>
      <c r="BP132" s="314">
        <v>0</v>
      </c>
      <c r="BQ132" s="314">
        <v>0</v>
      </c>
      <c r="BR132" s="314">
        <v>0</v>
      </c>
      <c r="BS132" s="314">
        <v>0</v>
      </c>
      <c r="BT132" s="314">
        <v>0</v>
      </c>
      <c r="BU132" s="314">
        <v>0</v>
      </c>
      <c r="BV132" s="314">
        <v>0</v>
      </c>
      <c r="BW132" s="314">
        <v>0</v>
      </c>
      <c r="BX132" s="124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124">
        <v>0</v>
      </c>
      <c r="CE132" s="124">
        <v>0</v>
      </c>
      <c r="CF132" s="124">
        <v>0</v>
      </c>
      <c r="CG132" s="124">
        <v>0</v>
      </c>
      <c r="CH132" s="124">
        <v>0</v>
      </c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  <c r="DO132" s="269"/>
      <c r="DP132" s="269"/>
    </row>
    <row r="133" spans="1:120" ht="15">
      <c r="A133" s="269"/>
      <c r="B133" s="269"/>
      <c r="C133" s="391">
        <v>37995.916666666148</v>
      </c>
      <c r="D133" s="394">
        <v>37995.958333332812</v>
      </c>
      <c r="E133" s="258">
        <v>0</v>
      </c>
      <c r="F133" s="124">
        <v>0</v>
      </c>
      <c r="G133" s="272">
        <v>0</v>
      </c>
      <c r="H133" s="124">
        <v>0</v>
      </c>
      <c r="I133" s="314">
        <v>0</v>
      </c>
      <c r="J133" s="124">
        <v>0</v>
      </c>
      <c r="K133" s="124">
        <v>0</v>
      </c>
      <c r="L133" s="124">
        <v>0</v>
      </c>
      <c r="M133" s="272">
        <v>0</v>
      </c>
      <c r="N133" s="124">
        <v>0</v>
      </c>
      <c r="O133" s="314">
        <v>0</v>
      </c>
      <c r="P133" s="314">
        <v>0</v>
      </c>
      <c r="Q133" s="314">
        <v>0</v>
      </c>
      <c r="R133" s="314">
        <v>0</v>
      </c>
      <c r="S133" s="314">
        <v>0</v>
      </c>
      <c r="T133" s="314">
        <v>0</v>
      </c>
      <c r="U133" s="314">
        <v>0</v>
      </c>
      <c r="V133" s="314">
        <v>0</v>
      </c>
      <c r="W133" s="314">
        <v>0</v>
      </c>
      <c r="X133" s="314">
        <v>0</v>
      </c>
      <c r="Y133" s="314">
        <v>0</v>
      </c>
      <c r="Z133" s="314">
        <v>0</v>
      </c>
      <c r="AA133" s="314">
        <v>0</v>
      </c>
      <c r="AB133" s="314">
        <v>0</v>
      </c>
      <c r="AC133" s="314">
        <v>0</v>
      </c>
      <c r="AD133" s="314">
        <v>0</v>
      </c>
      <c r="AE133" s="314">
        <v>0</v>
      </c>
      <c r="AF133" s="314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124">
        <v>0</v>
      </c>
      <c r="AP133" s="124">
        <v>0</v>
      </c>
      <c r="AQ133" s="124">
        <v>0</v>
      </c>
      <c r="AR133" s="269"/>
      <c r="AS133" s="269"/>
      <c r="AT133" s="391">
        <v>37995.916666666148</v>
      </c>
      <c r="AU133" s="394">
        <v>37995.958333332812</v>
      </c>
      <c r="AV133" s="258">
        <v>0</v>
      </c>
      <c r="AW133" s="124">
        <v>0</v>
      </c>
      <c r="AX133" s="272">
        <v>0</v>
      </c>
      <c r="AY133" s="124">
        <v>0</v>
      </c>
      <c r="AZ133" s="314">
        <v>0</v>
      </c>
      <c r="BA133" s="124">
        <v>0</v>
      </c>
      <c r="BB133" s="124">
        <v>0</v>
      </c>
      <c r="BC133" s="124">
        <v>0</v>
      </c>
      <c r="BD133" s="272">
        <v>0</v>
      </c>
      <c r="BE133" s="124">
        <v>0</v>
      </c>
      <c r="BF133" s="314">
        <v>0</v>
      </c>
      <c r="BG133" s="314">
        <v>0</v>
      </c>
      <c r="BH133" s="314">
        <v>0</v>
      </c>
      <c r="BI133" s="314">
        <v>0</v>
      </c>
      <c r="BJ133" s="314">
        <v>0</v>
      </c>
      <c r="BK133" s="314">
        <v>0</v>
      </c>
      <c r="BL133" s="314">
        <v>0</v>
      </c>
      <c r="BM133" s="314">
        <v>0</v>
      </c>
      <c r="BN133" s="314">
        <v>0</v>
      </c>
      <c r="BO133" s="314">
        <v>0</v>
      </c>
      <c r="BP133" s="314">
        <v>0</v>
      </c>
      <c r="BQ133" s="314">
        <v>0</v>
      </c>
      <c r="BR133" s="314">
        <v>0</v>
      </c>
      <c r="BS133" s="314">
        <v>0</v>
      </c>
      <c r="BT133" s="314">
        <v>0</v>
      </c>
      <c r="BU133" s="314">
        <v>0</v>
      </c>
      <c r="BV133" s="314">
        <v>0</v>
      </c>
      <c r="BW133" s="314">
        <v>0</v>
      </c>
      <c r="BX133" s="124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124">
        <v>0</v>
      </c>
      <c r="CE133" s="124">
        <v>0</v>
      </c>
      <c r="CF133" s="124">
        <v>0</v>
      </c>
      <c r="CG133" s="124">
        <v>0</v>
      </c>
      <c r="CH133" s="124">
        <v>0</v>
      </c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  <c r="DO133" s="269"/>
      <c r="DP133" s="269"/>
    </row>
    <row r="134" spans="1:120" ht="15.75" thickBot="1">
      <c r="A134" s="269"/>
      <c r="B134" s="269"/>
      <c r="C134" s="396">
        <v>37995.958333332812</v>
      </c>
      <c r="D134" s="397">
        <v>37995.999999999476</v>
      </c>
      <c r="E134" s="263">
        <v>0</v>
      </c>
      <c r="F134" s="264">
        <v>0</v>
      </c>
      <c r="G134" s="353">
        <v>0</v>
      </c>
      <c r="H134" s="264">
        <v>0</v>
      </c>
      <c r="I134" s="317">
        <v>0</v>
      </c>
      <c r="J134" s="264">
        <v>0</v>
      </c>
      <c r="K134" s="264">
        <v>0</v>
      </c>
      <c r="L134" s="264">
        <v>0</v>
      </c>
      <c r="M134" s="353">
        <v>0</v>
      </c>
      <c r="N134" s="264">
        <v>0</v>
      </c>
      <c r="O134" s="317">
        <v>0</v>
      </c>
      <c r="P134" s="317">
        <v>0</v>
      </c>
      <c r="Q134" s="317">
        <v>0</v>
      </c>
      <c r="R134" s="317">
        <v>0</v>
      </c>
      <c r="S134" s="317">
        <v>0</v>
      </c>
      <c r="T134" s="317">
        <v>0</v>
      </c>
      <c r="U134" s="317">
        <v>0</v>
      </c>
      <c r="V134" s="317">
        <v>0</v>
      </c>
      <c r="W134" s="317">
        <v>0</v>
      </c>
      <c r="X134" s="317">
        <v>0</v>
      </c>
      <c r="Y134" s="317">
        <v>0</v>
      </c>
      <c r="Z134" s="317">
        <v>0</v>
      </c>
      <c r="AA134" s="317">
        <v>0</v>
      </c>
      <c r="AB134" s="317">
        <v>0</v>
      </c>
      <c r="AC134" s="317">
        <v>0</v>
      </c>
      <c r="AD134" s="317">
        <v>0</v>
      </c>
      <c r="AE134" s="317">
        <v>0</v>
      </c>
      <c r="AF134" s="317">
        <v>0</v>
      </c>
      <c r="AG134" s="264">
        <v>0</v>
      </c>
      <c r="AH134" s="264">
        <v>0</v>
      </c>
      <c r="AI134" s="264">
        <v>0</v>
      </c>
      <c r="AJ134" s="264">
        <v>0</v>
      </c>
      <c r="AK134" s="264">
        <v>0</v>
      </c>
      <c r="AL134" s="264">
        <v>0</v>
      </c>
      <c r="AM134" s="264">
        <v>0</v>
      </c>
      <c r="AN134" s="264">
        <v>0</v>
      </c>
      <c r="AO134" s="264">
        <v>0</v>
      </c>
      <c r="AP134" s="264">
        <v>0</v>
      </c>
      <c r="AQ134" s="264">
        <v>0</v>
      </c>
      <c r="AR134" s="269"/>
      <c r="AS134" s="269"/>
      <c r="AT134" s="396">
        <v>37995.958333332812</v>
      </c>
      <c r="AU134" s="397">
        <v>37995.999999999476</v>
      </c>
      <c r="AV134" s="263">
        <v>0</v>
      </c>
      <c r="AW134" s="264">
        <v>0</v>
      </c>
      <c r="AX134" s="353">
        <v>0</v>
      </c>
      <c r="AY134" s="264">
        <v>0</v>
      </c>
      <c r="AZ134" s="317">
        <v>0</v>
      </c>
      <c r="BA134" s="264">
        <v>0</v>
      </c>
      <c r="BB134" s="264">
        <v>0</v>
      </c>
      <c r="BC134" s="264">
        <v>0</v>
      </c>
      <c r="BD134" s="353">
        <v>0</v>
      </c>
      <c r="BE134" s="264">
        <v>0</v>
      </c>
      <c r="BF134" s="317">
        <v>0</v>
      </c>
      <c r="BG134" s="317">
        <v>0</v>
      </c>
      <c r="BH134" s="317">
        <v>0</v>
      </c>
      <c r="BI134" s="317">
        <v>0</v>
      </c>
      <c r="BJ134" s="317">
        <v>0</v>
      </c>
      <c r="BK134" s="317">
        <v>0</v>
      </c>
      <c r="BL134" s="317">
        <v>0</v>
      </c>
      <c r="BM134" s="317">
        <v>0</v>
      </c>
      <c r="BN134" s="317">
        <v>0</v>
      </c>
      <c r="BO134" s="317">
        <v>0</v>
      </c>
      <c r="BP134" s="317">
        <v>0</v>
      </c>
      <c r="BQ134" s="317">
        <v>0</v>
      </c>
      <c r="BR134" s="317">
        <v>0</v>
      </c>
      <c r="BS134" s="317">
        <v>0</v>
      </c>
      <c r="BT134" s="317">
        <v>0</v>
      </c>
      <c r="BU134" s="317">
        <v>0</v>
      </c>
      <c r="BV134" s="317">
        <v>0</v>
      </c>
      <c r="BW134" s="317">
        <v>0</v>
      </c>
      <c r="BX134" s="264">
        <v>0</v>
      </c>
      <c r="BY134" s="264">
        <v>0</v>
      </c>
      <c r="BZ134" s="264">
        <v>0</v>
      </c>
      <c r="CA134" s="264">
        <v>0</v>
      </c>
      <c r="CB134" s="264">
        <v>0</v>
      </c>
      <c r="CC134" s="264">
        <v>0</v>
      </c>
      <c r="CD134" s="264">
        <v>0</v>
      </c>
      <c r="CE134" s="264">
        <v>0</v>
      </c>
      <c r="CF134" s="264">
        <v>0</v>
      </c>
      <c r="CG134" s="264">
        <v>0</v>
      </c>
      <c r="CH134" s="264">
        <v>0</v>
      </c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  <c r="DO134" s="269"/>
      <c r="DP134" s="269"/>
    </row>
    <row r="135" spans="1:120" ht="15.75">
      <c r="A135" s="269"/>
      <c r="B135" s="269"/>
      <c r="C135" s="523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4"/>
      <c r="AB135" s="524"/>
      <c r="AC135" s="524"/>
      <c r="AD135" s="524"/>
      <c r="AE135" s="524"/>
      <c r="AF135" s="524"/>
      <c r="AG135" s="524"/>
      <c r="AH135" s="524"/>
      <c r="AI135" s="524"/>
      <c r="AJ135" s="524"/>
      <c r="AK135" s="524"/>
      <c r="AL135" s="524"/>
      <c r="AM135" s="524"/>
      <c r="AN135" s="524"/>
      <c r="AO135" s="524"/>
      <c r="AP135" s="524"/>
      <c r="AQ135" s="524"/>
      <c r="AR135" s="269"/>
      <c r="AS135" s="269"/>
      <c r="AT135" s="523"/>
      <c r="AU135" s="524"/>
      <c r="AV135" s="524"/>
      <c r="AW135" s="524"/>
      <c r="AX135" s="524"/>
      <c r="AY135" s="524"/>
      <c r="AZ135" s="524"/>
      <c r="BA135" s="524"/>
      <c r="BB135" s="524"/>
      <c r="BC135" s="524"/>
      <c r="BD135" s="524"/>
      <c r="BE135" s="524"/>
      <c r="BF135" s="524"/>
      <c r="BG135" s="524"/>
      <c r="BH135" s="524"/>
      <c r="BI135" s="524"/>
      <c r="BJ135" s="524"/>
      <c r="BK135" s="524"/>
      <c r="BL135" s="524"/>
      <c r="BM135" s="524"/>
      <c r="BN135" s="524"/>
      <c r="BO135" s="524"/>
      <c r="BP135" s="524"/>
      <c r="BQ135" s="524"/>
      <c r="BR135" s="524"/>
      <c r="BS135" s="524"/>
      <c r="BT135" s="524"/>
      <c r="BU135" s="524"/>
      <c r="BV135" s="524"/>
      <c r="BW135" s="524"/>
      <c r="BX135" s="524"/>
      <c r="BY135" s="524"/>
      <c r="BZ135" s="524"/>
      <c r="CA135" s="524"/>
      <c r="CB135" s="524"/>
      <c r="CC135" s="524"/>
      <c r="CD135" s="524"/>
      <c r="CE135" s="524"/>
      <c r="CF135" s="524"/>
      <c r="CG135" s="524"/>
      <c r="CH135" s="524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  <c r="DO135" s="269"/>
      <c r="DP135" s="269"/>
    </row>
    <row r="136" spans="1:120" ht="15">
      <c r="A136" s="269"/>
      <c r="B136" s="269"/>
      <c r="C136" s="268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8"/>
      <c r="AS136" s="268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7"/>
      <c r="CH136" s="267"/>
      <c r="CI136" s="269"/>
      <c r="CJ136" s="269"/>
      <c r="CK136" s="269"/>
      <c r="CL136" s="269"/>
      <c r="CM136" s="269"/>
      <c r="CN136" s="269"/>
      <c r="CO136" s="269"/>
      <c r="CP136" s="269"/>
      <c r="CQ136" s="269"/>
      <c r="CR136" s="269"/>
      <c r="CS136" s="269"/>
      <c r="CT136" s="269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  <c r="DI136" s="269"/>
      <c r="DJ136" s="269"/>
      <c r="DK136" s="269"/>
      <c r="DL136" s="269"/>
      <c r="DM136" s="269"/>
      <c r="DN136" s="269"/>
      <c r="DO136" s="269"/>
      <c r="DP136" s="269"/>
    </row>
    <row r="137" spans="1:120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69"/>
      <c r="CI137" s="269"/>
      <c r="CJ137" s="269"/>
      <c r="CK137" s="269"/>
      <c r="CL137" s="269"/>
      <c r="CM137" s="269"/>
      <c r="CN137" s="269"/>
      <c r="CO137" s="269"/>
      <c r="CP137" s="269"/>
      <c r="CQ137" s="269"/>
      <c r="CR137" s="269"/>
      <c r="CS137" s="269"/>
      <c r="CT137" s="269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  <c r="DI137" s="269"/>
      <c r="DJ137" s="269"/>
      <c r="DK137" s="269"/>
      <c r="DL137" s="269"/>
      <c r="DM137" s="269"/>
      <c r="DN137" s="269"/>
      <c r="DO137" s="269"/>
      <c r="DP137" s="269"/>
    </row>
    <row r="138" spans="1:120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69"/>
      <c r="AY138" s="269"/>
      <c r="AZ138" s="269"/>
      <c r="BA138" s="269"/>
      <c r="BB138" s="269"/>
      <c r="BC138" s="269"/>
      <c r="BD138" s="269"/>
      <c r="BE138" s="269"/>
      <c r="BF138" s="269"/>
      <c r="BG138" s="269"/>
      <c r="BH138" s="269"/>
      <c r="BI138" s="269"/>
      <c r="BJ138" s="269"/>
      <c r="BK138" s="269"/>
      <c r="BL138" s="269"/>
      <c r="BM138" s="269"/>
      <c r="BN138" s="269"/>
      <c r="BO138" s="269"/>
      <c r="BP138" s="269"/>
      <c r="BQ138" s="269"/>
      <c r="BR138" s="269"/>
      <c r="BS138" s="269"/>
      <c r="BT138" s="269"/>
      <c r="BU138" s="269"/>
      <c r="BV138" s="269"/>
      <c r="BW138" s="269"/>
      <c r="BX138" s="269"/>
      <c r="BY138" s="269"/>
      <c r="BZ138" s="269"/>
      <c r="CA138" s="269"/>
      <c r="CB138" s="269"/>
      <c r="CC138" s="269"/>
      <c r="CD138" s="269"/>
      <c r="CE138" s="269"/>
      <c r="CF138" s="269"/>
      <c r="CG138" s="269"/>
      <c r="CH138" s="269"/>
      <c r="CI138" s="269"/>
      <c r="CJ138" s="269"/>
      <c r="CK138" s="269"/>
      <c r="CL138" s="269"/>
      <c r="CM138" s="269"/>
      <c r="CN138" s="269"/>
      <c r="CO138" s="269"/>
      <c r="CP138" s="269"/>
      <c r="CQ138" s="269"/>
      <c r="CR138" s="269"/>
      <c r="CS138" s="269"/>
      <c r="CT138" s="269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  <c r="DI138" s="269"/>
      <c r="DJ138" s="269"/>
      <c r="DK138" s="269"/>
      <c r="DL138" s="269"/>
      <c r="DM138" s="269"/>
      <c r="DN138" s="269"/>
      <c r="DO138" s="269"/>
      <c r="DP138" s="269"/>
    </row>
    <row r="139" spans="1:120">
      <c r="A139" s="268" t="s">
        <v>18</v>
      </c>
      <c r="B139" s="269"/>
      <c r="C139" s="268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69"/>
      <c r="CI139" s="269"/>
      <c r="CJ139" s="269"/>
      <c r="CK139" s="269"/>
      <c r="CL139" s="269"/>
      <c r="CM139" s="269"/>
      <c r="CN139" s="269"/>
      <c r="CO139" s="269"/>
      <c r="CP139" s="269"/>
      <c r="CQ139" s="269"/>
      <c r="CR139" s="269"/>
      <c r="CS139" s="269"/>
      <c r="CT139" s="269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  <c r="DI139" s="269"/>
      <c r="DJ139" s="269"/>
      <c r="DK139" s="269"/>
      <c r="DL139" s="269"/>
      <c r="DM139" s="269"/>
      <c r="DN139" s="269"/>
      <c r="DO139" s="269"/>
      <c r="DP139" s="269"/>
    </row>
    <row r="140" spans="1:120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  <c r="AW140" s="269"/>
      <c r="AX140" s="269"/>
      <c r="AY140" s="269"/>
      <c r="AZ140" s="269"/>
      <c r="BA140" s="269"/>
      <c r="BB140" s="269"/>
      <c r="BC140" s="269"/>
      <c r="BD140" s="269"/>
      <c r="BE140" s="269"/>
      <c r="BF140" s="269"/>
      <c r="BG140" s="269"/>
      <c r="BH140" s="269"/>
      <c r="BI140" s="269"/>
      <c r="BJ140" s="269"/>
      <c r="BK140" s="269"/>
      <c r="BL140" s="269"/>
      <c r="BM140" s="269"/>
      <c r="BN140" s="269"/>
      <c r="BO140" s="269"/>
      <c r="BP140" s="269"/>
      <c r="BQ140" s="269"/>
      <c r="BR140" s="269"/>
      <c r="BS140" s="269"/>
      <c r="BT140" s="269"/>
      <c r="BU140" s="269"/>
      <c r="BV140" s="269"/>
      <c r="BW140" s="269"/>
      <c r="BX140" s="269"/>
      <c r="BY140" s="269"/>
      <c r="BZ140" s="269"/>
      <c r="CA140" s="269"/>
      <c r="CB140" s="269"/>
      <c r="CC140" s="269"/>
      <c r="CD140" s="269"/>
      <c r="CE140" s="269"/>
      <c r="CF140" s="269"/>
      <c r="CG140" s="269"/>
      <c r="CH140" s="269"/>
      <c r="CI140" s="269"/>
      <c r="CJ140" s="269"/>
      <c r="CK140" s="269"/>
      <c r="CL140" s="269"/>
      <c r="CM140" s="269"/>
      <c r="CN140" s="269"/>
      <c r="CO140" s="269"/>
      <c r="CP140" s="269"/>
      <c r="CQ140" s="269"/>
      <c r="CR140" s="269"/>
      <c r="CS140" s="269"/>
      <c r="CT140" s="269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  <c r="DI140" s="269"/>
      <c r="DJ140" s="269"/>
      <c r="DK140" s="269"/>
      <c r="DL140" s="269"/>
      <c r="DM140" s="269"/>
      <c r="DN140" s="269"/>
      <c r="DO140" s="269"/>
      <c r="DP140" s="269"/>
    </row>
    <row r="141" spans="1:120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69"/>
      <c r="CI141" s="269"/>
      <c r="CJ141" s="269"/>
      <c r="CK141" s="269"/>
      <c r="CL141" s="269"/>
      <c r="CM141" s="269"/>
      <c r="CN141" s="269"/>
      <c r="CO141" s="269"/>
      <c r="CP141" s="269"/>
      <c r="CQ141" s="269"/>
      <c r="CR141" s="269"/>
      <c r="CS141" s="269"/>
      <c r="CT141" s="269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  <c r="DI141" s="269"/>
      <c r="DJ141" s="269"/>
      <c r="DK141" s="269"/>
      <c r="DL141" s="269"/>
      <c r="DM141" s="269"/>
      <c r="DN141" s="269"/>
      <c r="DO141" s="269"/>
      <c r="DP141" s="269"/>
    </row>
    <row r="142" spans="1:120">
      <c r="A142" s="269"/>
      <c r="B142" s="269"/>
      <c r="C142" s="268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  <c r="AW142" s="269"/>
      <c r="AX142" s="269"/>
      <c r="AY142" s="269"/>
      <c r="AZ142" s="269"/>
      <c r="BA142" s="269"/>
      <c r="BB142" s="269"/>
      <c r="BC142" s="269"/>
      <c r="BD142" s="269"/>
      <c r="BE142" s="269"/>
      <c r="BF142" s="269"/>
      <c r="BG142" s="269"/>
      <c r="BH142" s="269"/>
      <c r="BI142" s="269"/>
      <c r="BJ142" s="269"/>
      <c r="BK142" s="269"/>
      <c r="BL142" s="269"/>
      <c r="BM142" s="269"/>
      <c r="BN142" s="269"/>
      <c r="BO142" s="269"/>
      <c r="BP142" s="269"/>
      <c r="BQ142" s="269"/>
      <c r="BR142" s="269"/>
      <c r="BS142" s="269"/>
      <c r="BT142" s="269"/>
      <c r="BU142" s="269"/>
      <c r="BV142" s="269"/>
      <c r="BW142" s="269"/>
      <c r="BX142" s="269"/>
      <c r="BY142" s="269"/>
      <c r="BZ142" s="269"/>
      <c r="CA142" s="269"/>
      <c r="CB142" s="269"/>
      <c r="CC142" s="269"/>
      <c r="CD142" s="269"/>
      <c r="CE142" s="269"/>
      <c r="CF142" s="269"/>
      <c r="CG142" s="269"/>
      <c r="CH142" s="269"/>
      <c r="CI142" s="269"/>
      <c r="CJ142" s="269"/>
      <c r="CK142" s="269"/>
      <c r="CL142" s="269"/>
      <c r="CM142" s="269"/>
      <c r="CN142" s="269"/>
      <c r="CO142" s="269"/>
      <c r="CP142" s="269"/>
      <c r="CQ142" s="269"/>
      <c r="CR142" s="269"/>
      <c r="CS142" s="269"/>
      <c r="CT142" s="269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  <c r="DI142" s="269"/>
      <c r="DJ142" s="269"/>
      <c r="DK142" s="269"/>
      <c r="DL142" s="269"/>
      <c r="DM142" s="269"/>
      <c r="DN142" s="269"/>
      <c r="DO142" s="269"/>
      <c r="DP142" s="269"/>
    </row>
    <row r="143" spans="1:120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69"/>
      <c r="CI143" s="269"/>
      <c r="CJ143" s="269"/>
      <c r="CK143" s="269"/>
      <c r="CL143" s="269"/>
      <c r="CM143" s="269"/>
      <c r="CN143" s="269"/>
      <c r="CO143" s="269"/>
      <c r="CP143" s="269"/>
      <c r="CQ143" s="269"/>
      <c r="CR143" s="269"/>
      <c r="CS143" s="269"/>
      <c r="CT143" s="269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  <c r="DI143" s="269"/>
      <c r="DJ143" s="269"/>
      <c r="DK143" s="269"/>
      <c r="DL143" s="269"/>
      <c r="DM143" s="269"/>
      <c r="DN143" s="269"/>
      <c r="DO143" s="269"/>
      <c r="DP143" s="269"/>
    </row>
    <row r="144" spans="1:120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  <c r="AW144" s="269"/>
      <c r="AX144" s="269"/>
      <c r="AY144" s="269"/>
      <c r="AZ144" s="269"/>
      <c r="BA144" s="269"/>
      <c r="BB144" s="269"/>
      <c r="BC144" s="269"/>
      <c r="BD144" s="269"/>
      <c r="BE144" s="269"/>
      <c r="BF144" s="269"/>
      <c r="BG144" s="269"/>
      <c r="BH144" s="269"/>
      <c r="BI144" s="269"/>
      <c r="BJ144" s="269"/>
      <c r="BK144" s="269"/>
      <c r="BL144" s="269"/>
      <c r="BM144" s="269"/>
      <c r="BN144" s="269"/>
      <c r="BO144" s="269"/>
      <c r="BP144" s="269"/>
      <c r="BQ144" s="269"/>
      <c r="BR144" s="269"/>
      <c r="BS144" s="269"/>
      <c r="BT144" s="269"/>
      <c r="BU144" s="269"/>
      <c r="BV144" s="269"/>
      <c r="BW144" s="269"/>
      <c r="BX144" s="269"/>
      <c r="BY144" s="269"/>
      <c r="BZ144" s="269"/>
      <c r="CA144" s="269"/>
      <c r="CB144" s="269"/>
      <c r="CC144" s="269"/>
      <c r="CD144" s="269"/>
      <c r="CE144" s="269"/>
      <c r="CF144" s="269"/>
      <c r="CG144" s="269"/>
      <c r="CH144" s="269"/>
      <c r="CI144" s="269"/>
      <c r="CJ144" s="269"/>
      <c r="CK144" s="269"/>
      <c r="CL144" s="269"/>
      <c r="CM144" s="269"/>
      <c r="CN144" s="269"/>
      <c r="CO144" s="269"/>
      <c r="CP144" s="269"/>
      <c r="CQ144" s="269"/>
      <c r="CR144" s="269"/>
      <c r="CS144" s="269"/>
      <c r="CT144" s="269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  <c r="DI144" s="269"/>
      <c r="DJ144" s="269"/>
      <c r="DK144" s="269"/>
      <c r="DL144" s="269"/>
      <c r="DM144" s="269"/>
      <c r="DN144" s="269"/>
      <c r="DO144" s="269"/>
      <c r="DP144" s="269"/>
    </row>
    <row r="145" spans="1:120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69"/>
      <c r="CI145" s="269"/>
      <c r="CJ145" s="269"/>
      <c r="CK145" s="269"/>
      <c r="CL145" s="269"/>
      <c r="CM145" s="269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  <c r="DI145" s="269"/>
      <c r="DJ145" s="269"/>
      <c r="DK145" s="269"/>
      <c r="DL145" s="269"/>
      <c r="DM145" s="269"/>
      <c r="DN145" s="269"/>
      <c r="DO145" s="269"/>
      <c r="DP145" s="269"/>
    </row>
    <row r="146" spans="1:120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  <c r="AW146" s="269"/>
      <c r="AX146" s="269"/>
      <c r="AY146" s="269"/>
      <c r="AZ146" s="269"/>
      <c r="BA146" s="269"/>
      <c r="BB146" s="269"/>
      <c r="BC146" s="269"/>
      <c r="BD146" s="269"/>
      <c r="BE146" s="269"/>
      <c r="BF146" s="269"/>
      <c r="BG146" s="269"/>
      <c r="BH146" s="269"/>
      <c r="BI146" s="269"/>
      <c r="BJ146" s="269"/>
      <c r="BK146" s="269"/>
      <c r="BL146" s="269"/>
      <c r="BM146" s="269"/>
      <c r="BN146" s="269"/>
      <c r="BO146" s="269"/>
      <c r="BP146" s="269"/>
      <c r="BQ146" s="269"/>
      <c r="BR146" s="269"/>
      <c r="BS146" s="269"/>
      <c r="BT146" s="269"/>
      <c r="BU146" s="269"/>
      <c r="BV146" s="269"/>
      <c r="BW146" s="269"/>
      <c r="BX146" s="269"/>
      <c r="BY146" s="269"/>
      <c r="BZ146" s="269"/>
      <c r="CA146" s="269"/>
      <c r="CB146" s="269"/>
      <c r="CC146" s="269"/>
      <c r="CD146" s="269"/>
      <c r="CE146" s="269"/>
      <c r="CF146" s="269"/>
      <c r="CG146" s="269"/>
      <c r="CH146" s="269"/>
      <c r="CI146" s="269"/>
      <c r="CJ146" s="269"/>
      <c r="CK146" s="269"/>
      <c r="CL146" s="269"/>
      <c r="CM146" s="269"/>
      <c r="CN146" s="269"/>
      <c r="CO146" s="269"/>
      <c r="CP146" s="269"/>
      <c r="CQ146" s="269"/>
      <c r="CR146" s="269"/>
      <c r="CS146" s="269"/>
      <c r="CT146" s="269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  <c r="DI146" s="269"/>
      <c r="DJ146" s="269"/>
      <c r="DK146" s="269"/>
      <c r="DL146" s="269"/>
      <c r="DM146" s="269"/>
      <c r="DN146" s="269"/>
      <c r="DO146" s="269"/>
      <c r="DP146" s="269"/>
    </row>
    <row r="147" spans="1:120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69"/>
      <c r="CI147" s="269"/>
      <c r="CJ147" s="269"/>
      <c r="CK147" s="269"/>
      <c r="CL147" s="269"/>
      <c r="CM147" s="269"/>
      <c r="CN147" s="269"/>
      <c r="CO147" s="269"/>
      <c r="CP147" s="269"/>
      <c r="CQ147" s="269"/>
      <c r="CR147" s="269"/>
      <c r="CS147" s="269"/>
      <c r="CT147" s="269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  <c r="DI147" s="269"/>
      <c r="DJ147" s="269"/>
      <c r="DK147" s="269"/>
      <c r="DL147" s="269"/>
      <c r="DM147" s="269"/>
      <c r="DN147" s="269"/>
      <c r="DO147" s="269"/>
      <c r="DP147" s="269"/>
    </row>
    <row r="148" spans="1:120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9"/>
      <c r="AV148" s="269"/>
      <c r="AW148" s="269"/>
      <c r="AX148" s="269"/>
      <c r="AY148" s="269"/>
      <c r="AZ148" s="269"/>
      <c r="BA148" s="269"/>
      <c r="BB148" s="269"/>
      <c r="BC148" s="269"/>
      <c r="BD148" s="269"/>
      <c r="BE148" s="269"/>
      <c r="BF148" s="269"/>
      <c r="BG148" s="269"/>
      <c r="BH148" s="269"/>
      <c r="BI148" s="269"/>
      <c r="BJ148" s="269"/>
      <c r="BK148" s="269"/>
      <c r="BL148" s="269"/>
      <c r="BM148" s="269"/>
      <c r="BN148" s="269"/>
      <c r="BO148" s="269"/>
      <c r="BP148" s="269"/>
      <c r="BQ148" s="269"/>
      <c r="BR148" s="269"/>
      <c r="BS148" s="269"/>
      <c r="BT148" s="269"/>
      <c r="BU148" s="269"/>
      <c r="BV148" s="269"/>
      <c r="BW148" s="269"/>
      <c r="BX148" s="269"/>
      <c r="BY148" s="269"/>
      <c r="BZ148" s="269"/>
      <c r="CA148" s="269"/>
      <c r="CB148" s="269"/>
      <c r="CC148" s="269"/>
      <c r="CD148" s="269"/>
      <c r="CE148" s="269"/>
      <c r="CF148" s="269"/>
      <c r="CG148" s="269"/>
      <c r="CH148" s="269"/>
      <c r="CI148" s="269"/>
      <c r="CJ148" s="269"/>
      <c r="CK148" s="269"/>
      <c r="CL148" s="269"/>
      <c r="CM148" s="269"/>
      <c r="CN148" s="269"/>
      <c r="CO148" s="269"/>
      <c r="CP148" s="269"/>
      <c r="CQ148" s="269"/>
      <c r="CR148" s="269"/>
      <c r="CS148" s="269"/>
      <c r="CT148" s="269"/>
      <c r="CU148" s="269"/>
      <c r="CV148" s="269"/>
      <c r="CW148" s="269"/>
      <c r="CX148" s="269"/>
      <c r="CY148" s="269"/>
      <c r="CZ148" s="269"/>
      <c r="DA148" s="269"/>
      <c r="DB148" s="269"/>
      <c r="DC148" s="269"/>
      <c r="DD148" s="269"/>
      <c r="DE148" s="269"/>
      <c r="DF148" s="269"/>
      <c r="DG148" s="269"/>
      <c r="DH148" s="269"/>
      <c r="DI148" s="269"/>
      <c r="DJ148" s="269"/>
      <c r="DK148" s="269"/>
      <c r="DL148" s="269"/>
      <c r="DM148" s="269"/>
      <c r="DN148" s="269"/>
      <c r="DO148" s="269"/>
      <c r="DP148" s="269"/>
    </row>
    <row r="149" spans="1:120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69"/>
      <c r="CI149" s="269"/>
      <c r="CJ149" s="269"/>
      <c r="CK149" s="269"/>
      <c r="CL149" s="269"/>
      <c r="CM149" s="269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69"/>
      <c r="CZ149" s="269"/>
      <c r="DA149" s="269"/>
      <c r="DB149" s="269"/>
      <c r="DC149" s="269"/>
      <c r="DD149" s="269"/>
      <c r="DE149" s="269"/>
      <c r="DF149" s="269"/>
      <c r="DG149" s="269"/>
      <c r="DH149" s="269"/>
      <c r="DI149" s="269"/>
      <c r="DJ149" s="269"/>
      <c r="DK149" s="269"/>
      <c r="DL149" s="269"/>
      <c r="DM149" s="269"/>
      <c r="DN149" s="269"/>
      <c r="DO149" s="269"/>
      <c r="DP149" s="269"/>
    </row>
  </sheetData>
  <mergeCells count="50">
    <mergeCell ref="C45:AQ45"/>
    <mergeCell ref="C19:D20"/>
    <mergeCell ref="E19:AQ19"/>
    <mergeCell ref="C75:AQ75"/>
    <mergeCell ref="AR19:AR20"/>
    <mergeCell ref="AS19:AS20"/>
    <mergeCell ref="C18:AQ18"/>
    <mergeCell ref="H14:I14"/>
    <mergeCell ref="J14:K14"/>
    <mergeCell ref="L14:M14"/>
    <mergeCell ref="C14:G14"/>
    <mergeCell ref="AR18:AS18"/>
    <mergeCell ref="H15:I15"/>
    <mergeCell ref="J15:K15"/>
    <mergeCell ref="L15:M15"/>
    <mergeCell ref="C15:G15"/>
    <mergeCell ref="L11:M11"/>
    <mergeCell ref="C11:G11"/>
    <mergeCell ref="C12:G12"/>
    <mergeCell ref="H12:I12"/>
    <mergeCell ref="J12:K12"/>
    <mergeCell ref="A3:D3"/>
    <mergeCell ref="H11:I11"/>
    <mergeCell ref="C7:AD7"/>
    <mergeCell ref="C8:AD8"/>
    <mergeCell ref="CI49:CI50"/>
    <mergeCell ref="C49:D50"/>
    <mergeCell ref="E49:AQ49"/>
    <mergeCell ref="AT49:AU50"/>
    <mergeCell ref="AV49:CH49"/>
    <mergeCell ref="AR49:AR50"/>
    <mergeCell ref="L13:M13"/>
    <mergeCell ref="H13:I13"/>
    <mergeCell ref="J13:K13"/>
    <mergeCell ref="J11:K11"/>
    <mergeCell ref="C13:G13"/>
    <mergeCell ref="L12:M12"/>
    <mergeCell ref="AT75:CH75"/>
    <mergeCell ref="C105:AQ105"/>
    <mergeCell ref="C135:AQ135"/>
    <mergeCell ref="AT105:CH105"/>
    <mergeCell ref="AT135:CH135"/>
    <mergeCell ref="AT80:AU80"/>
    <mergeCell ref="AT109:CH109"/>
    <mergeCell ref="AT110:AU110"/>
    <mergeCell ref="AT79:CH79"/>
    <mergeCell ref="C110:D110"/>
    <mergeCell ref="C109:AQ109"/>
    <mergeCell ref="C79:AQ79"/>
    <mergeCell ref="C80:D80"/>
  </mergeCells>
  <phoneticPr fontId="11" type="noConversion"/>
  <conditionalFormatting sqref="E81:AQ104 E111:AQ134">
    <cfRule type="cellIs" dxfId="6" priority="5" stopIfTrue="1" operator="lessThan">
      <formula>0</formula>
    </cfRule>
  </conditionalFormatting>
  <conditionalFormatting sqref="AV81:CH104">
    <cfRule type="cellIs" dxfId="5" priority="2" stopIfTrue="1" operator="lessThan">
      <formula>0</formula>
    </cfRule>
  </conditionalFormatting>
  <conditionalFormatting sqref="AV111:CH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6.855468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77" t="s">
        <v>319</v>
      </c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23"/>
    </row>
    <row r="3" spans="1:14" ht="16.5" thickBot="1">
      <c r="A3" s="23"/>
      <c r="B3" s="23"/>
      <c r="C3" s="591" t="s">
        <v>19</v>
      </c>
      <c r="D3" s="592"/>
      <c r="E3" s="592"/>
      <c r="F3" s="592"/>
      <c r="G3" s="592"/>
      <c r="H3" s="592"/>
      <c r="I3" s="592"/>
      <c r="J3" s="592"/>
      <c r="K3" s="592"/>
      <c r="L3" s="592"/>
      <c r="M3" s="593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0" t="s">
        <v>65</v>
      </c>
      <c r="I5" s="581"/>
      <c r="J5" s="581"/>
      <c r="K5" s="581"/>
      <c r="L5" s="582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 ht="51">
      <c r="A7" s="23"/>
      <c r="B7" s="23"/>
      <c r="C7" s="61">
        <v>0</v>
      </c>
      <c r="D7" s="62">
        <v>4.1666666666666664E-2</v>
      </c>
      <c r="E7" s="63" t="s">
        <v>612</v>
      </c>
      <c r="F7" s="298">
        <v>70.887977219999996</v>
      </c>
      <c r="G7" s="299">
        <v>9.2789999999999999</v>
      </c>
      <c r="H7" s="228">
        <v>-18.77</v>
      </c>
      <c r="I7" s="228">
        <v>0.14000000000000001</v>
      </c>
      <c r="J7" s="228">
        <v>-86.18</v>
      </c>
      <c r="K7" s="228">
        <v>-44.69</v>
      </c>
      <c r="L7" s="228">
        <v>81.760000000000005</v>
      </c>
      <c r="M7" s="237" t="s">
        <v>625</v>
      </c>
      <c r="N7" s="23"/>
    </row>
    <row r="8" spans="1:14" ht="51">
      <c r="A8" s="23"/>
      <c r="B8" s="23"/>
      <c r="C8" s="61">
        <v>4.1666666666666699E-2</v>
      </c>
      <c r="D8" s="62">
        <v>8.3333333333333301E-2</v>
      </c>
      <c r="E8" s="63" t="s">
        <v>613</v>
      </c>
      <c r="F8" s="298">
        <v>52.364418309999998</v>
      </c>
      <c r="G8" s="299">
        <v>27.803000000000001</v>
      </c>
      <c r="H8" s="228">
        <v>5.78</v>
      </c>
      <c r="I8" s="228">
        <v>0.53</v>
      </c>
      <c r="J8" s="228">
        <v>-54.57</v>
      </c>
      <c r="K8" s="228">
        <v>-48.57</v>
      </c>
      <c r="L8" s="228">
        <v>103.26</v>
      </c>
      <c r="M8" s="237" t="s">
        <v>625</v>
      </c>
      <c r="N8" s="23"/>
    </row>
    <row r="9" spans="1:14" ht="25.5">
      <c r="A9" s="23"/>
      <c r="B9" s="23"/>
      <c r="C9" s="61">
        <v>8.3333333333333301E-2</v>
      </c>
      <c r="D9" s="62">
        <v>0.125</v>
      </c>
      <c r="E9" s="63" t="s">
        <v>613</v>
      </c>
      <c r="F9" s="298">
        <v>52.364418309999998</v>
      </c>
      <c r="G9" s="299">
        <v>13.765000000000001</v>
      </c>
      <c r="H9" s="228">
        <v>48.32</v>
      </c>
      <c r="I9" s="228">
        <v>0.5</v>
      </c>
      <c r="J9" s="228">
        <v>13.71</v>
      </c>
      <c r="K9" s="228">
        <v>-28.14</v>
      </c>
      <c r="L9" s="228">
        <v>42.39</v>
      </c>
      <c r="M9" s="237" t="s">
        <v>626</v>
      </c>
      <c r="N9" s="23"/>
    </row>
    <row r="10" spans="1:14" ht="38.25">
      <c r="A10" s="23"/>
      <c r="B10" s="23"/>
      <c r="C10" s="61">
        <v>0.125</v>
      </c>
      <c r="D10" s="62">
        <v>0.16666666666666699</v>
      </c>
      <c r="E10" s="63" t="s">
        <v>613</v>
      </c>
      <c r="F10" s="298">
        <v>52.364418309999998</v>
      </c>
      <c r="G10" s="299">
        <v>18.001000000000001</v>
      </c>
      <c r="H10" s="228">
        <v>-32.35</v>
      </c>
      <c r="I10" s="228">
        <v>-0.46</v>
      </c>
      <c r="J10" s="228">
        <v>-47.83</v>
      </c>
      <c r="K10" s="228">
        <v>-1.75</v>
      </c>
      <c r="L10" s="228">
        <v>-4.16</v>
      </c>
      <c r="M10" s="237" t="s">
        <v>617</v>
      </c>
      <c r="N10" s="23"/>
    </row>
    <row r="11" spans="1:14" ht="38.25">
      <c r="A11" s="23"/>
      <c r="B11" s="23"/>
      <c r="C11" s="61">
        <v>0.16666666666666699</v>
      </c>
      <c r="D11" s="62">
        <v>0.20833333333333301</v>
      </c>
      <c r="E11" s="63" t="s">
        <v>613</v>
      </c>
      <c r="F11" s="298">
        <v>52.364418309999998</v>
      </c>
      <c r="G11" s="299">
        <v>18.001000000000001</v>
      </c>
      <c r="H11" s="228">
        <v>18.61</v>
      </c>
      <c r="I11" s="228">
        <v>0.23</v>
      </c>
      <c r="J11" s="228">
        <v>4.01</v>
      </c>
      <c r="K11" s="228">
        <v>1</v>
      </c>
      <c r="L11" s="228">
        <v>-23.61</v>
      </c>
      <c r="M11" s="237" t="s">
        <v>618</v>
      </c>
      <c r="N11" s="23"/>
    </row>
    <row r="12" spans="1:14" ht="51">
      <c r="A12" s="23"/>
      <c r="B12" s="23"/>
      <c r="C12" s="61">
        <v>0.20833333333333301</v>
      </c>
      <c r="D12" s="62">
        <v>0.25</v>
      </c>
      <c r="E12" s="63" t="s">
        <v>612</v>
      </c>
      <c r="F12" s="298">
        <v>70.887977219999996</v>
      </c>
      <c r="G12" s="299">
        <v>-0.52300000000000002</v>
      </c>
      <c r="H12" s="228">
        <v>-24.84</v>
      </c>
      <c r="I12" s="228">
        <v>7.0000000000000007E-2</v>
      </c>
      <c r="J12" s="228">
        <v>56</v>
      </c>
      <c r="K12" s="228">
        <v>-17.420000000000002</v>
      </c>
      <c r="L12" s="228">
        <v>-61.84</v>
      </c>
      <c r="M12" s="237" t="s">
        <v>619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612</v>
      </c>
      <c r="F13" s="300">
        <v>78.991859300000002</v>
      </c>
      <c r="G13" s="301">
        <v>-12.21</v>
      </c>
      <c r="H13" s="229">
        <v>-49.34</v>
      </c>
      <c r="I13" s="229">
        <v>0.08</v>
      </c>
      <c r="J13" s="229">
        <v>-170.12</v>
      </c>
      <c r="K13" s="229">
        <v>176.81</v>
      </c>
      <c r="L13" s="229">
        <v>-62.84</v>
      </c>
      <c r="M13" s="238" t="s">
        <v>620</v>
      </c>
      <c r="N13" s="23"/>
    </row>
    <row r="14" spans="1:14" ht="38.25">
      <c r="A14" s="23"/>
      <c r="B14" s="23"/>
      <c r="C14" s="64">
        <v>0.29166666666666669</v>
      </c>
      <c r="D14" s="65">
        <v>0.33333333333333298</v>
      </c>
      <c r="E14" s="66" t="s">
        <v>612</v>
      </c>
      <c r="F14" s="300">
        <v>78.991859300000002</v>
      </c>
      <c r="G14" s="301">
        <v>-7.9320000000000004</v>
      </c>
      <c r="H14" s="229">
        <v>-70.05</v>
      </c>
      <c r="I14" s="229">
        <v>-0.91</v>
      </c>
      <c r="J14" s="229">
        <v>-192.93</v>
      </c>
      <c r="K14" s="229">
        <v>202.31</v>
      </c>
      <c r="L14" s="229">
        <v>-89.01</v>
      </c>
      <c r="M14" s="238" t="s">
        <v>620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612</v>
      </c>
      <c r="F15" s="300">
        <v>78.991859300000002</v>
      </c>
      <c r="G15" s="301">
        <v>-4.7560000000000002</v>
      </c>
      <c r="H15" s="229">
        <v>-78.64</v>
      </c>
      <c r="I15" s="229">
        <v>-0.8</v>
      </c>
      <c r="J15" s="229">
        <v>-129.72999999999999</v>
      </c>
      <c r="K15" s="229">
        <v>145.72</v>
      </c>
      <c r="L15" s="229">
        <v>-105.02</v>
      </c>
      <c r="M15" s="238" t="s">
        <v>620</v>
      </c>
      <c r="N15" s="23"/>
    </row>
    <row r="16" spans="1:14" ht="63.75">
      <c r="A16" s="23"/>
      <c r="B16" s="23"/>
      <c r="C16" s="64">
        <v>0.375</v>
      </c>
      <c r="D16" s="65">
        <v>0.41666666666666702</v>
      </c>
      <c r="E16" s="66" t="s">
        <v>613</v>
      </c>
      <c r="F16" s="300">
        <v>52.775001830000001</v>
      </c>
      <c r="G16" s="301">
        <v>21.460999999999999</v>
      </c>
      <c r="H16" s="229">
        <v>-51.82</v>
      </c>
      <c r="I16" s="229">
        <v>-1</v>
      </c>
      <c r="J16" s="229">
        <v>-58.2</v>
      </c>
      <c r="K16" s="229">
        <v>31.67</v>
      </c>
      <c r="L16" s="229">
        <v>-51.58</v>
      </c>
      <c r="M16" s="238" t="s">
        <v>621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612</v>
      </c>
      <c r="F17" s="302">
        <v>77.897139120000006</v>
      </c>
      <c r="G17" s="340">
        <v>-3.746</v>
      </c>
      <c r="H17" s="230">
        <v>-24.16</v>
      </c>
      <c r="I17" s="230">
        <v>-1.33</v>
      </c>
      <c r="J17" s="230">
        <v>-6.81</v>
      </c>
      <c r="K17" s="230">
        <v>60.45</v>
      </c>
      <c r="L17" s="230">
        <v>-63.32</v>
      </c>
      <c r="M17" s="239" t="s">
        <v>620</v>
      </c>
      <c r="N17" s="23"/>
    </row>
    <row r="18" spans="1:14" ht="38.25">
      <c r="A18" s="23"/>
      <c r="B18" s="23"/>
      <c r="C18" s="67">
        <v>0.45833333333333298</v>
      </c>
      <c r="D18" s="68">
        <v>0.5</v>
      </c>
      <c r="E18" s="69" t="s">
        <v>612</v>
      </c>
      <c r="F18" s="302">
        <v>77.897139120000006</v>
      </c>
      <c r="G18" s="340">
        <v>-3.746</v>
      </c>
      <c r="H18" s="230">
        <v>-20.28</v>
      </c>
      <c r="I18" s="230">
        <v>-0.86</v>
      </c>
      <c r="J18" s="230">
        <v>-28.95</v>
      </c>
      <c r="K18" s="230">
        <v>67.010000000000005</v>
      </c>
      <c r="L18" s="230">
        <v>-64.75</v>
      </c>
      <c r="M18" s="239" t="s">
        <v>620</v>
      </c>
      <c r="N18" s="23"/>
    </row>
    <row r="19" spans="1:14" ht="38.25">
      <c r="A19" s="23"/>
      <c r="B19" s="23"/>
      <c r="C19" s="67">
        <v>0.5</v>
      </c>
      <c r="D19" s="68">
        <v>0.54166666666666696</v>
      </c>
      <c r="E19" s="69" t="s">
        <v>612</v>
      </c>
      <c r="F19" s="302">
        <v>77.897139120000006</v>
      </c>
      <c r="G19" s="340">
        <v>-3.746</v>
      </c>
      <c r="H19" s="230">
        <v>-39.659999999999997</v>
      </c>
      <c r="I19" s="230">
        <v>0.27</v>
      </c>
      <c r="J19" s="230">
        <v>-34.979999999999997</v>
      </c>
      <c r="K19" s="230">
        <v>61.02</v>
      </c>
      <c r="L19" s="230">
        <v>-75.78</v>
      </c>
      <c r="M19" s="239" t="s">
        <v>620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320</v>
      </c>
      <c r="F20" s="300">
        <v>80.934990679999999</v>
      </c>
      <c r="G20" s="301">
        <v>-9.875</v>
      </c>
      <c r="H20" s="229">
        <v>6.4</v>
      </c>
      <c r="I20" s="229">
        <v>0.14000000000000001</v>
      </c>
      <c r="J20" s="229">
        <v>129.03</v>
      </c>
      <c r="K20" s="229">
        <v>-90.02</v>
      </c>
      <c r="L20" s="229">
        <v>-34.5</v>
      </c>
      <c r="M20" s="238" t="s">
        <v>622</v>
      </c>
      <c r="N20" s="23"/>
    </row>
    <row r="21" spans="1:14" ht="38.25">
      <c r="A21" s="23"/>
      <c r="B21" s="23"/>
      <c r="C21" s="64">
        <v>0.58333333333333304</v>
      </c>
      <c r="D21" s="65">
        <v>0.625</v>
      </c>
      <c r="E21" s="66" t="s">
        <v>320</v>
      </c>
      <c r="F21" s="300">
        <v>80.934990679999999</v>
      </c>
      <c r="G21" s="301">
        <v>28.965</v>
      </c>
      <c r="H21" s="229">
        <v>45.61</v>
      </c>
      <c r="I21" s="229">
        <v>1.1299999999999999</v>
      </c>
      <c r="J21" s="229">
        <v>64.42</v>
      </c>
      <c r="K21" s="229">
        <v>1.03</v>
      </c>
      <c r="L21" s="229">
        <v>-31.02</v>
      </c>
      <c r="M21" s="238" t="s">
        <v>618</v>
      </c>
      <c r="N21" s="23"/>
    </row>
    <row r="22" spans="1:14" ht="25.5">
      <c r="A22" s="23"/>
      <c r="B22" s="23"/>
      <c r="C22" s="64">
        <v>0.625</v>
      </c>
      <c r="D22" s="65">
        <v>0.66666666666666696</v>
      </c>
      <c r="E22" s="66" t="s">
        <v>614</v>
      </c>
      <c r="F22" s="300">
        <v>117.9348195</v>
      </c>
      <c r="G22" s="301">
        <v>23.21</v>
      </c>
      <c r="H22" s="229">
        <v>-97.91</v>
      </c>
      <c r="I22" s="229">
        <v>1.6</v>
      </c>
      <c r="J22" s="229">
        <v>45.97</v>
      </c>
      <c r="K22" s="229">
        <v>-114.19</v>
      </c>
      <c r="L22" s="229">
        <v>4.57</v>
      </c>
      <c r="M22" s="238" t="s">
        <v>623</v>
      </c>
      <c r="N22" s="23"/>
    </row>
    <row r="23" spans="1:14" ht="51">
      <c r="A23" s="23"/>
      <c r="B23" s="23"/>
      <c r="C23" s="64">
        <v>0.66666666666666696</v>
      </c>
      <c r="D23" s="65">
        <v>0.70833333333333304</v>
      </c>
      <c r="E23" s="66" t="s">
        <v>325</v>
      </c>
      <c r="F23" s="300">
        <v>120.11920135</v>
      </c>
      <c r="G23" s="301">
        <v>23.934999999999999</v>
      </c>
      <c r="H23" s="229">
        <v>-46.08</v>
      </c>
      <c r="I23" s="229">
        <v>0.65</v>
      </c>
      <c r="J23" s="229">
        <v>-84.01</v>
      </c>
      <c r="K23" s="229">
        <v>-47.13</v>
      </c>
      <c r="L23" s="229">
        <v>77.680000000000007</v>
      </c>
      <c r="M23" s="238" t="s">
        <v>616</v>
      </c>
      <c r="N23" s="23"/>
    </row>
    <row r="24" spans="1:14" ht="38.25">
      <c r="A24" s="23"/>
      <c r="B24" s="23"/>
      <c r="C24" s="64">
        <v>0.70833333333333304</v>
      </c>
      <c r="D24" s="65">
        <v>0.75</v>
      </c>
      <c r="E24" s="66" t="s">
        <v>615</v>
      </c>
      <c r="F24" s="300">
        <v>201.52343117999999</v>
      </c>
      <c r="G24" s="301">
        <v>-57.469000000000001</v>
      </c>
      <c r="H24" s="229">
        <v>-40.94</v>
      </c>
      <c r="I24" s="229">
        <v>1.72</v>
      </c>
      <c r="J24" s="229">
        <v>-59.47</v>
      </c>
      <c r="K24" s="229">
        <v>36.71</v>
      </c>
      <c r="L24" s="229">
        <v>-9.98</v>
      </c>
      <c r="M24" s="238" t="s">
        <v>620</v>
      </c>
      <c r="N24" s="23"/>
    </row>
    <row r="25" spans="1:14" ht="25.5">
      <c r="A25" s="23"/>
      <c r="B25" s="23"/>
      <c r="C25" s="67">
        <v>0.75</v>
      </c>
      <c r="D25" s="68">
        <v>0.79166666666666696</v>
      </c>
      <c r="E25" s="69" t="s">
        <v>368</v>
      </c>
      <c r="F25" s="302">
        <v>185.78889913</v>
      </c>
      <c r="G25" s="340">
        <v>-28.545000000000002</v>
      </c>
      <c r="H25" s="230">
        <v>-57.58</v>
      </c>
      <c r="I25" s="230">
        <v>2.31</v>
      </c>
      <c r="J25" s="230">
        <v>-79.95</v>
      </c>
      <c r="K25" s="230">
        <v>38.44</v>
      </c>
      <c r="L25" s="230">
        <v>-7.61</v>
      </c>
      <c r="M25" s="239" t="s">
        <v>627</v>
      </c>
      <c r="N25" s="23"/>
    </row>
    <row r="26" spans="1:14" ht="25.5">
      <c r="A26" s="23"/>
      <c r="B26" s="23"/>
      <c r="C26" s="67">
        <v>0.79166666666666696</v>
      </c>
      <c r="D26" s="68">
        <v>0.83333333333333304</v>
      </c>
      <c r="E26" s="69" t="s">
        <v>369</v>
      </c>
      <c r="F26" s="302">
        <v>165.27736263</v>
      </c>
      <c r="G26" s="340">
        <v>-45.712000000000003</v>
      </c>
      <c r="H26" s="230">
        <v>-47.8</v>
      </c>
      <c r="I26" s="230">
        <v>2.25</v>
      </c>
      <c r="J26" s="230">
        <v>-61.51</v>
      </c>
      <c r="K26" s="230">
        <v>33.75</v>
      </c>
      <c r="L26" s="230">
        <v>-27.11</v>
      </c>
      <c r="M26" s="239" t="s">
        <v>627</v>
      </c>
      <c r="N26" s="23"/>
    </row>
    <row r="27" spans="1:14">
      <c r="A27" s="23"/>
      <c r="B27" s="23"/>
      <c r="C27" s="67">
        <v>0.83333333333333304</v>
      </c>
      <c r="D27" s="68">
        <v>0.875</v>
      </c>
      <c r="E27" s="69" t="s">
        <v>325</v>
      </c>
      <c r="F27" s="302">
        <v>119.56459689</v>
      </c>
      <c r="G27" s="340">
        <v>-9.7449999999999992</v>
      </c>
      <c r="H27" s="230">
        <v>7.64</v>
      </c>
      <c r="I27" s="230">
        <v>3.48</v>
      </c>
      <c r="J27" s="230">
        <v>-59.06</v>
      </c>
      <c r="K27" s="230">
        <v>32.46</v>
      </c>
      <c r="L27" s="230">
        <v>34.28</v>
      </c>
      <c r="M27" s="239" t="s">
        <v>628</v>
      </c>
      <c r="N27" s="23"/>
    </row>
    <row r="28" spans="1:14">
      <c r="A28" s="23"/>
      <c r="B28" s="23"/>
      <c r="C28" s="64">
        <v>0.875</v>
      </c>
      <c r="D28" s="65">
        <v>0.91666666666666696</v>
      </c>
      <c r="E28" s="66" t="s">
        <v>320</v>
      </c>
      <c r="F28" s="300">
        <v>80.408657460000001</v>
      </c>
      <c r="G28" s="301">
        <v>0</v>
      </c>
      <c r="H28" s="229"/>
      <c r="I28" s="229"/>
      <c r="J28" s="229"/>
      <c r="K28" s="229"/>
      <c r="L28" s="229"/>
      <c r="M28" s="238" t="s">
        <v>624</v>
      </c>
      <c r="N28" s="23"/>
    </row>
    <row r="29" spans="1:14" ht="38.25">
      <c r="A29" s="23"/>
      <c r="B29" s="23"/>
      <c r="C29" s="64">
        <v>0.91666666666666696</v>
      </c>
      <c r="D29" s="65">
        <v>0.95833333333333304</v>
      </c>
      <c r="E29" s="66" t="s">
        <v>612</v>
      </c>
      <c r="F29" s="300">
        <v>74.89893103</v>
      </c>
      <c r="G29" s="301">
        <v>5.51</v>
      </c>
      <c r="H29" s="229">
        <v>-33.619999999999997</v>
      </c>
      <c r="I29" s="229">
        <v>2.82</v>
      </c>
      <c r="J29" s="229">
        <v>-76.849999999999994</v>
      </c>
      <c r="K29" s="229">
        <v>26.99</v>
      </c>
      <c r="L29" s="229">
        <v>40.54</v>
      </c>
      <c r="M29" s="238" t="s">
        <v>617</v>
      </c>
      <c r="N29" s="23"/>
    </row>
    <row r="30" spans="1:14" ht="39" thickBot="1">
      <c r="A30" s="23"/>
      <c r="B30" s="23"/>
      <c r="C30" s="70">
        <v>0.95833333333333304</v>
      </c>
      <c r="D30" s="71" t="s">
        <v>12</v>
      </c>
      <c r="E30" s="72" t="s">
        <v>613</v>
      </c>
      <c r="F30" s="228">
        <v>52.364418309999998</v>
      </c>
      <c r="G30" s="303">
        <v>34.741999999999997</v>
      </c>
      <c r="H30" s="228">
        <v>-3.55</v>
      </c>
      <c r="I30" s="228">
        <v>3.2</v>
      </c>
      <c r="J30" s="228">
        <v>-65.72</v>
      </c>
      <c r="K30" s="228">
        <v>29.27</v>
      </c>
      <c r="L30" s="228">
        <v>53.61</v>
      </c>
      <c r="M30" s="237" t="s">
        <v>617</v>
      </c>
      <c r="N30" s="23"/>
    </row>
    <row r="31" spans="1:14" ht="18">
      <c r="A31" s="23"/>
      <c r="B31" s="23"/>
      <c r="C31" s="588" t="s">
        <v>14</v>
      </c>
      <c r="D31" s="589"/>
      <c r="E31" s="590"/>
      <c r="F31" s="304">
        <f>AVERAGE(F7:F30)</f>
        <v>89.767746817083335</v>
      </c>
      <c r="G31" s="304">
        <f>AVERAGE(G7:G30)</f>
        <v>1.5277916666666675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594" t="s">
        <v>15</v>
      </c>
      <c r="D32" s="595"/>
      <c r="E32" s="596"/>
      <c r="F32" s="305">
        <f>+MAX(F7:F30)</f>
        <v>201.52343117999999</v>
      </c>
      <c r="G32" s="305">
        <f>+MAX(G7:G30)</f>
        <v>34.741999999999997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3" t="s">
        <v>16</v>
      </c>
      <c r="D33" s="584"/>
      <c r="E33" s="585"/>
      <c r="F33" s="306">
        <f>+MIN(F7:F30)</f>
        <v>52.364418309999998</v>
      </c>
      <c r="G33" s="306">
        <f>+MIN(G7:G30)</f>
        <v>-57.469000000000001</v>
      </c>
      <c r="H33" s="297"/>
      <c r="I33" s="297"/>
      <c r="J33" s="297"/>
      <c r="K33" s="297"/>
      <c r="L33" s="297"/>
      <c r="M33" s="297"/>
      <c r="N33" s="23"/>
    </row>
    <row r="34" spans="1:14" ht="18">
      <c r="A34" s="23"/>
      <c r="B34" s="23"/>
      <c r="C34" s="296"/>
      <c r="D34" s="296"/>
      <c r="E34" s="296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86" t="s">
        <v>18</v>
      </c>
      <c r="D35" s="586"/>
      <c r="E35" s="586"/>
      <c r="F35" s="586"/>
      <c r="G35" s="586"/>
      <c r="H35" s="586"/>
      <c r="I35" s="587"/>
      <c r="J35" s="587"/>
      <c r="K35" s="587"/>
      <c r="L35" s="587"/>
      <c r="M35" s="587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599"/>
      <c r="B1" s="599"/>
      <c r="C1" s="599"/>
      <c r="D1" s="600" t="s">
        <v>48</v>
      </c>
      <c r="E1" s="600"/>
      <c r="F1" s="600"/>
      <c r="G1" s="600"/>
      <c r="H1" s="600"/>
      <c r="I1" s="600"/>
      <c r="J1" s="598"/>
      <c r="K1" s="598"/>
      <c r="L1" s="598"/>
    </row>
    <row r="2" spans="1:12" customFormat="1" ht="15" customHeight="1">
      <c r="A2" s="73"/>
      <c r="B2" s="73"/>
      <c r="C2" s="73"/>
      <c r="D2" s="600"/>
      <c r="E2" s="600"/>
      <c r="F2" s="600"/>
      <c r="G2" s="600"/>
      <c r="H2" s="600"/>
      <c r="I2" s="600"/>
      <c r="J2" s="73"/>
      <c r="K2" s="73"/>
      <c r="L2" s="73"/>
    </row>
    <row r="3" spans="1:12" customFormat="1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73"/>
      <c r="K3" s="73"/>
      <c r="L3" s="73"/>
    </row>
    <row r="4" spans="1:12" customFormat="1" ht="9" customHeight="1">
      <c r="A4" s="73"/>
      <c r="B4" s="73"/>
      <c r="C4" s="73"/>
      <c r="D4" s="601"/>
      <c r="E4" s="601"/>
      <c r="F4" s="601"/>
      <c r="G4" s="601"/>
      <c r="H4" s="601"/>
      <c r="I4" s="601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597"/>
      <c r="B52" s="597"/>
      <c r="C52" s="597"/>
      <c r="D52" s="192"/>
      <c r="E52" s="193"/>
      <c r="F52" s="190"/>
      <c r="G52" s="190"/>
      <c r="H52" s="190"/>
      <c r="I52" s="190"/>
      <c r="J52" s="598"/>
      <c r="K52" s="598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598"/>
      <c r="K53" s="598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70.887977219999996</v>
      </c>
      <c r="B55" s="79">
        <v>80.1668057279377</v>
      </c>
      <c r="C55" s="357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52.364418309999998</v>
      </c>
      <c r="B56" s="79">
        <v>80.1668057279377</v>
      </c>
      <c r="C56" s="357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52.364418309999998</v>
      </c>
      <c r="B57" s="79">
        <v>66.129284501242694</v>
      </c>
      <c r="C57" s="357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52.364418309999998</v>
      </c>
      <c r="B58" s="79">
        <v>70.365360056359805</v>
      </c>
      <c r="C58" s="357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52.364418309999998</v>
      </c>
      <c r="B59" s="79">
        <v>70.365360056359805</v>
      </c>
      <c r="C59" s="357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70.887977219999996</v>
      </c>
      <c r="B60" s="79">
        <v>70.365360056359805</v>
      </c>
      <c r="C60" s="357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78.991859300000002</v>
      </c>
      <c r="B61" s="79">
        <v>66.782480268210193</v>
      </c>
      <c r="C61" s="357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78.991859300000002</v>
      </c>
      <c r="B62" s="79">
        <v>71.060397900434694</v>
      </c>
      <c r="C62" s="357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78.991859300000002</v>
      </c>
      <c r="B63" s="79">
        <v>74.235654185928198</v>
      </c>
      <c r="C63" s="357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52.775001830000001</v>
      </c>
      <c r="B64" s="79">
        <v>74.235654185928198</v>
      </c>
      <c r="C64" s="357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77.897139120000006</v>
      </c>
      <c r="B65" s="79">
        <v>74.151309326717495</v>
      </c>
      <c r="C65" s="357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77.897139120000006</v>
      </c>
      <c r="B66" s="79">
        <v>74.151309326717495</v>
      </c>
      <c r="C66" s="357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77.897139120000006</v>
      </c>
      <c r="B67" s="79">
        <v>74.151309326717495</v>
      </c>
      <c r="C67" s="357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80.934990679999999</v>
      </c>
      <c r="B68" s="79">
        <v>71.060397900434694</v>
      </c>
      <c r="C68" s="357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80.934990679999999</v>
      </c>
      <c r="B69" s="79">
        <v>109.89964844000001</v>
      </c>
      <c r="C69" s="357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117.9348195</v>
      </c>
      <c r="B70" s="79">
        <v>141.14507249093401</v>
      </c>
      <c r="C70" s="357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120.11920135</v>
      </c>
      <c r="B71" s="79">
        <v>144.05427069000001</v>
      </c>
      <c r="C71" s="357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201.52343117999999</v>
      </c>
      <c r="B72" s="79">
        <v>144.05427069000001</v>
      </c>
      <c r="C72" s="357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185.78889913</v>
      </c>
      <c r="B73" s="79">
        <v>157.24373722999999</v>
      </c>
      <c r="C73" s="357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165.27736263</v>
      </c>
      <c r="B74" s="79">
        <v>119.564596891951</v>
      </c>
      <c r="C74" s="357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119.56459689</v>
      </c>
      <c r="B75" s="79">
        <v>109.81992825</v>
      </c>
      <c r="C75" s="357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80.408657460000001</v>
      </c>
      <c r="B76" s="79">
        <v>80.408657463718896</v>
      </c>
      <c r="C76" s="357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74.89893103</v>
      </c>
      <c r="B77" s="79">
        <v>80.408657463718896</v>
      </c>
      <c r="C77" s="357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52.364418309999998</v>
      </c>
      <c r="B78" s="79">
        <v>87.106165819971196</v>
      </c>
      <c r="C78" s="357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500" t="s">
        <v>54</v>
      </c>
      <c r="C4" s="501"/>
      <c r="D4" s="501"/>
      <c r="E4" s="501"/>
      <c r="F4" s="501"/>
      <c r="G4" s="502"/>
      <c r="H4" s="200"/>
    </row>
    <row r="5" spans="1:8" s="76" customFormat="1" ht="16.5" thickBot="1">
      <c r="A5" s="200"/>
      <c r="B5" s="607" t="s">
        <v>319</v>
      </c>
      <c r="C5" s="608"/>
      <c r="D5" s="608"/>
      <c r="E5" s="608"/>
      <c r="F5" s="608"/>
      <c r="G5" s="609"/>
      <c r="H5" s="200"/>
    </row>
    <row r="6" spans="1:8" s="76" customFormat="1" ht="21" thickBot="1">
      <c r="A6" s="200"/>
      <c r="B6" s="604" t="s">
        <v>114</v>
      </c>
      <c r="C6" s="604"/>
      <c r="D6" s="604"/>
      <c r="E6" s="604"/>
      <c r="F6" s="604"/>
      <c r="G6" s="604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05"/>
      <c r="D8" s="605"/>
      <c r="E8" s="605"/>
      <c r="F8" s="605"/>
      <c r="G8" s="606"/>
      <c r="H8" s="200"/>
    </row>
    <row r="9" spans="1:8" s="76" customFormat="1" ht="15">
      <c r="A9" s="200"/>
      <c r="B9" s="141"/>
      <c r="C9" s="602"/>
      <c r="D9" s="602"/>
      <c r="E9" s="602"/>
      <c r="F9" s="602"/>
      <c r="G9" s="603"/>
      <c r="H9" s="200"/>
    </row>
    <row r="10" spans="1:8" s="76" customFormat="1" ht="15">
      <c r="A10" s="200"/>
      <c r="B10" s="141"/>
      <c r="C10" s="602"/>
      <c r="D10" s="602"/>
      <c r="E10" s="602"/>
      <c r="F10" s="602"/>
      <c r="G10" s="603"/>
      <c r="H10" s="200"/>
    </row>
    <row r="11" spans="1:8" s="76" customFormat="1" ht="15">
      <c r="A11" s="200"/>
      <c r="B11" s="141"/>
      <c r="C11" s="602"/>
      <c r="D11" s="602"/>
      <c r="E11" s="602"/>
      <c r="F11" s="602"/>
      <c r="G11" s="603"/>
      <c r="H11" s="200"/>
    </row>
    <row r="12" spans="1:8" s="76" customFormat="1" ht="15">
      <c r="A12" s="200"/>
      <c r="B12" s="141"/>
      <c r="C12" s="602"/>
      <c r="D12" s="602"/>
      <c r="E12" s="602"/>
      <c r="F12" s="602"/>
      <c r="G12" s="603"/>
      <c r="H12" s="200"/>
    </row>
    <row r="13" spans="1:8" s="76" customFormat="1" ht="27.75" customHeight="1">
      <c r="A13" s="200"/>
      <c r="B13" s="141"/>
      <c r="C13" s="602"/>
      <c r="D13" s="602"/>
      <c r="E13" s="602"/>
      <c r="F13" s="602"/>
      <c r="G13" s="603"/>
      <c r="H13" s="200"/>
    </row>
    <row r="14" spans="1:8" s="76" customFormat="1" ht="14.25" customHeight="1">
      <c r="A14" s="200"/>
      <c r="B14" s="141"/>
      <c r="C14" s="602"/>
      <c r="D14" s="602"/>
      <c r="E14" s="602"/>
      <c r="F14" s="602"/>
      <c r="G14" s="603"/>
      <c r="H14" s="200"/>
    </row>
    <row r="15" spans="1:8" s="76" customFormat="1" ht="29.25" customHeight="1">
      <c r="A15" s="200"/>
      <c r="B15" s="141"/>
      <c r="C15" s="602"/>
      <c r="D15" s="602"/>
      <c r="E15" s="602"/>
      <c r="F15" s="602"/>
      <c r="G15" s="603"/>
      <c r="H15" s="200"/>
    </row>
    <row r="16" spans="1:8" s="76" customFormat="1" ht="15">
      <c r="A16" s="200"/>
      <c r="B16" s="141"/>
      <c r="C16" s="602"/>
      <c r="D16" s="602"/>
      <c r="E16" s="602"/>
      <c r="F16" s="602"/>
      <c r="G16" s="603"/>
      <c r="H16" s="200"/>
    </row>
    <row r="17" spans="1:8" s="76" customFormat="1" ht="27" customHeight="1">
      <c r="A17" s="200"/>
      <c r="B17" s="141"/>
      <c r="C17" s="602"/>
      <c r="D17" s="602"/>
      <c r="E17" s="602"/>
      <c r="F17" s="602"/>
      <c r="G17" s="603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602"/>
      <c r="D26" s="602"/>
      <c r="E26" s="602"/>
      <c r="F26" s="602"/>
      <c r="G26" s="603"/>
      <c r="H26" s="200"/>
    </row>
    <row r="27" spans="1:8" s="76" customFormat="1" ht="15">
      <c r="A27" s="200"/>
      <c r="B27" s="141"/>
      <c r="C27" s="602"/>
      <c r="D27" s="602"/>
      <c r="E27" s="602"/>
      <c r="F27" s="602"/>
      <c r="G27" s="603"/>
      <c r="H27" s="200"/>
    </row>
    <row r="28" spans="1:8" s="76" customFormat="1" ht="15">
      <c r="A28" s="200"/>
      <c r="B28" s="141"/>
      <c r="C28" s="602"/>
      <c r="D28" s="602"/>
      <c r="E28" s="602"/>
      <c r="F28" s="602"/>
      <c r="G28" s="603"/>
      <c r="H28" s="200"/>
    </row>
    <row r="29" spans="1:8" s="76" customFormat="1" ht="15">
      <c r="A29" s="200"/>
      <c r="B29" s="141"/>
      <c r="C29" s="602"/>
      <c r="D29" s="602"/>
      <c r="E29" s="602"/>
      <c r="F29" s="602"/>
      <c r="G29" s="603"/>
      <c r="H29" s="200"/>
    </row>
    <row r="30" spans="1:8" s="76" customFormat="1" ht="15">
      <c r="A30" s="200"/>
      <c r="B30" s="141"/>
      <c r="C30" s="602"/>
      <c r="D30" s="602"/>
      <c r="E30" s="602"/>
      <c r="F30" s="602"/>
      <c r="G30" s="603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602"/>
      <c r="D35" s="602"/>
      <c r="E35" s="602"/>
      <c r="F35" s="602"/>
      <c r="G35" s="603"/>
      <c r="H35" s="200"/>
    </row>
    <row r="36" spans="1:8" s="76" customFormat="1" ht="15">
      <c r="A36" s="200"/>
      <c r="B36" s="141"/>
      <c r="C36" s="602"/>
      <c r="D36" s="602"/>
      <c r="E36" s="602"/>
      <c r="F36" s="602"/>
      <c r="G36" s="603"/>
      <c r="H36" s="200"/>
    </row>
    <row r="37" spans="1:8" s="76" customFormat="1" ht="29.25" customHeight="1">
      <c r="A37" s="200"/>
      <c r="B37" s="141"/>
      <c r="C37" s="602"/>
      <c r="D37" s="602"/>
      <c r="E37" s="602"/>
      <c r="F37" s="602"/>
      <c r="G37" s="603"/>
      <c r="H37" s="200"/>
    </row>
    <row r="38" spans="1:8" s="76" customFormat="1" ht="29.25" customHeight="1">
      <c r="A38" s="200"/>
      <c r="B38" s="141"/>
      <c r="C38" s="602"/>
      <c r="D38" s="602"/>
      <c r="E38" s="602"/>
      <c r="F38" s="602"/>
      <c r="G38" s="603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38:G38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42</xdr:row>
                <xdr:rowOff>171450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500" t="s">
        <v>54</v>
      </c>
      <c r="C4" s="501"/>
      <c r="D4" s="501"/>
      <c r="E4" s="501"/>
      <c r="F4" s="501"/>
      <c r="G4" s="502"/>
      <c r="H4" s="200"/>
    </row>
    <row r="5" spans="1:8" s="136" customFormat="1" ht="16.5" thickBot="1">
      <c r="A5" s="200"/>
      <c r="B5" s="607" t="s">
        <v>319</v>
      </c>
      <c r="C5" s="610"/>
      <c r="D5" s="610"/>
      <c r="E5" s="610"/>
      <c r="F5" s="610"/>
      <c r="G5" s="611"/>
      <c r="H5" s="200"/>
    </row>
    <row r="6" spans="1:8" s="136" customFormat="1" ht="21" customHeight="1" thickBot="1">
      <c r="A6" s="200"/>
      <c r="B6" s="612" t="s">
        <v>115</v>
      </c>
      <c r="C6" s="612"/>
      <c r="D6" s="612"/>
      <c r="E6" s="612"/>
      <c r="F6" s="612"/>
      <c r="G6" s="612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05"/>
      <c r="D8" s="605"/>
      <c r="E8" s="605"/>
      <c r="F8" s="605"/>
      <c r="G8" s="606"/>
      <c r="H8" s="200"/>
    </row>
    <row r="9" spans="1:8" s="136" customFormat="1" ht="15">
      <c r="A9" s="200"/>
      <c r="B9" s="141"/>
      <c r="C9" s="602"/>
      <c r="D9" s="602"/>
      <c r="E9" s="602"/>
      <c r="F9" s="602"/>
      <c r="G9" s="603"/>
      <c r="H9" s="200"/>
    </row>
    <row r="10" spans="1:8" s="136" customFormat="1" ht="14.25" customHeight="1">
      <c r="A10" s="200"/>
      <c r="B10" s="141"/>
      <c r="C10" s="602"/>
      <c r="D10" s="602"/>
      <c r="E10" s="602"/>
      <c r="F10" s="602"/>
      <c r="G10" s="603"/>
      <c r="H10" s="200"/>
    </row>
    <row r="11" spans="1:8" s="136" customFormat="1" ht="28.5" customHeight="1">
      <c r="A11" s="200"/>
      <c r="B11" s="141"/>
      <c r="C11" s="602"/>
      <c r="D11" s="602"/>
      <c r="E11" s="602"/>
      <c r="F11" s="602"/>
      <c r="G11" s="603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602"/>
      <c r="D28" s="602"/>
      <c r="E28" s="602"/>
      <c r="F28" s="602"/>
      <c r="G28" s="603"/>
      <c r="H28" s="200"/>
    </row>
    <row r="29" spans="1:8" s="136" customFormat="1" ht="14.25" customHeight="1">
      <c r="A29" s="200"/>
      <c r="B29" s="141"/>
      <c r="C29" s="602"/>
      <c r="D29" s="602"/>
      <c r="E29" s="602"/>
      <c r="F29" s="602"/>
      <c r="G29" s="603"/>
      <c r="H29" s="200"/>
    </row>
    <row r="30" spans="1:8" s="136" customFormat="1" ht="28.5" customHeight="1">
      <c r="A30" s="200"/>
      <c r="B30" s="141"/>
      <c r="C30" s="602"/>
      <c r="D30" s="602"/>
      <c r="E30" s="602"/>
      <c r="F30" s="602"/>
      <c r="G30" s="603"/>
      <c r="H30" s="200"/>
    </row>
    <row r="31" spans="1:8" s="136" customFormat="1" ht="15">
      <c r="A31" s="200"/>
      <c r="B31" s="141"/>
      <c r="C31" s="602"/>
      <c r="D31" s="602"/>
      <c r="E31" s="602"/>
      <c r="F31" s="602"/>
      <c r="G31" s="603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602"/>
      <c r="D36" s="602"/>
      <c r="E36" s="602"/>
      <c r="F36" s="602"/>
      <c r="G36" s="603"/>
      <c r="H36" s="200"/>
    </row>
    <row r="37" spans="1:8" s="136" customFormat="1" ht="15">
      <c r="A37" s="200"/>
      <c r="B37" s="141"/>
      <c r="C37" s="602"/>
      <c r="D37" s="602"/>
      <c r="E37" s="602"/>
      <c r="F37" s="602"/>
      <c r="G37" s="603"/>
      <c r="H37" s="200"/>
    </row>
    <row r="38" spans="1:8" s="136" customFormat="1" ht="15">
      <c r="A38" s="200"/>
      <c r="B38" s="141"/>
      <c r="C38" s="602"/>
      <c r="D38" s="602"/>
      <c r="E38" s="602"/>
      <c r="F38" s="602"/>
      <c r="G38" s="603"/>
      <c r="H38" s="200"/>
    </row>
    <row r="39" spans="1:8" s="136" customFormat="1" ht="15">
      <c r="A39" s="200"/>
      <c r="B39" s="141"/>
      <c r="C39" s="602"/>
      <c r="D39" s="602"/>
      <c r="E39" s="602"/>
      <c r="F39" s="602"/>
      <c r="G39" s="603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autoPict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1323975</xdr:colOff>
                <xdr:row>26</xdr:row>
                <xdr:rowOff>95250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500" t="s">
        <v>54</v>
      </c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2"/>
    </row>
    <row r="5" spans="1:14" s="136" customFormat="1" ht="16.5" thickBot="1">
      <c r="A5" s="200"/>
      <c r="B5" s="607" t="s">
        <v>319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1"/>
    </row>
    <row r="6" spans="1:14" s="136" customFormat="1" ht="21" customHeight="1" thickBot="1">
      <c r="A6" s="200"/>
      <c r="B6" s="604" t="s">
        <v>292</v>
      </c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7" t="s">
        <v>291</v>
      </c>
      <c r="D9" s="617"/>
      <c r="E9" s="617"/>
      <c r="F9" s="617"/>
      <c r="G9" s="617"/>
      <c r="H9" s="617"/>
      <c r="I9" s="617"/>
      <c r="J9" s="617"/>
      <c r="K9" s="617"/>
      <c r="L9" s="617"/>
      <c r="M9" s="617"/>
      <c r="N9" s="143"/>
    </row>
    <row r="10" spans="1:14" s="136" customFormat="1" ht="15">
      <c r="A10" s="200"/>
      <c r="B10" s="141"/>
      <c r="C10" s="142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2"/>
    </row>
    <row r="11" spans="1:14" s="136" customFormat="1" ht="14.25" customHeight="1">
      <c r="A11" s="200"/>
      <c r="B11" s="141"/>
      <c r="C11" s="361"/>
      <c r="D11" s="360" t="s">
        <v>370</v>
      </c>
      <c r="E11" s="360" t="s">
        <v>371</v>
      </c>
      <c r="F11" s="360" t="s">
        <v>372</v>
      </c>
      <c r="G11" s="360" t="s">
        <v>343</v>
      </c>
      <c r="H11" s="360" t="s">
        <v>341</v>
      </c>
      <c r="I11" s="360" t="s">
        <v>361</v>
      </c>
      <c r="J11" s="360" t="s">
        <v>363</v>
      </c>
      <c r="K11" s="360" t="s">
        <v>357</v>
      </c>
      <c r="L11" s="360" t="s">
        <v>373</v>
      </c>
      <c r="M11" s="360" t="s">
        <v>374</v>
      </c>
      <c r="N11" s="359" t="s">
        <v>355</v>
      </c>
    </row>
    <row r="12" spans="1:14" s="136" customFormat="1" ht="15">
      <c r="A12" s="200"/>
      <c r="B12" s="615" t="s">
        <v>24</v>
      </c>
      <c r="C12" s="616"/>
      <c r="D12" s="372" t="s">
        <v>294</v>
      </c>
      <c r="E12" s="372" t="s">
        <v>294</v>
      </c>
      <c r="F12" s="372" t="s">
        <v>294</v>
      </c>
      <c r="G12" s="372" t="s">
        <v>294</v>
      </c>
      <c r="H12" s="372" t="s">
        <v>294</v>
      </c>
      <c r="I12" s="372" t="s">
        <v>294</v>
      </c>
      <c r="J12" s="372" t="s">
        <v>294</v>
      </c>
      <c r="K12" s="372" t="s">
        <v>294</v>
      </c>
      <c r="L12" s="372" t="s">
        <v>294</v>
      </c>
      <c r="M12" s="372" t="s">
        <v>294</v>
      </c>
      <c r="N12" s="373" t="s">
        <v>294</v>
      </c>
    </row>
    <row r="13" spans="1:14" s="136" customFormat="1" ht="15">
      <c r="A13" s="200"/>
      <c r="B13" s="615" t="s">
        <v>290</v>
      </c>
      <c r="C13" s="616"/>
      <c r="D13" s="374">
        <v>8</v>
      </c>
      <c r="E13" s="374">
        <v>5</v>
      </c>
      <c r="F13" s="374">
        <v>71</v>
      </c>
      <c r="G13" s="374">
        <v>7.4</v>
      </c>
      <c r="H13" s="374">
        <v>4.5999999999999996</v>
      </c>
      <c r="I13" s="374">
        <v>60</v>
      </c>
      <c r="J13" s="374">
        <v>45</v>
      </c>
      <c r="K13" s="374">
        <v>21.5</v>
      </c>
      <c r="L13" s="374">
        <v>34.9</v>
      </c>
      <c r="M13" s="374">
        <v>12</v>
      </c>
      <c r="N13" s="375">
        <v>350</v>
      </c>
    </row>
    <row r="14" spans="1:14" s="136" customFormat="1" ht="15">
      <c r="A14" s="200"/>
      <c r="B14" s="615" t="s">
        <v>289</v>
      </c>
      <c r="C14" s="616"/>
      <c r="D14" s="374">
        <v>8</v>
      </c>
      <c r="E14" s="374">
        <v>5</v>
      </c>
      <c r="F14" s="374">
        <v>72</v>
      </c>
      <c r="G14" s="374">
        <v>8.1</v>
      </c>
      <c r="H14" s="374">
        <v>4.5999999999999996</v>
      </c>
      <c r="I14" s="374">
        <v>60</v>
      </c>
      <c r="J14" s="374">
        <v>44</v>
      </c>
      <c r="K14" s="374">
        <v>21.5</v>
      </c>
      <c r="L14" s="374">
        <v>34.9</v>
      </c>
      <c r="M14" s="374">
        <v>12</v>
      </c>
      <c r="N14" s="375">
        <v>400</v>
      </c>
    </row>
    <row r="15" spans="1:14" s="136" customFormat="1" ht="15">
      <c r="A15" s="200"/>
      <c r="B15" s="615" t="s">
        <v>288</v>
      </c>
      <c r="C15" s="616"/>
      <c r="D15" s="374">
        <v>8</v>
      </c>
      <c r="E15" s="374">
        <v>5</v>
      </c>
      <c r="F15" s="374">
        <v>72</v>
      </c>
      <c r="G15" s="374">
        <v>7.5</v>
      </c>
      <c r="H15" s="374">
        <v>4.4000000000000004</v>
      </c>
      <c r="I15" s="374">
        <v>60</v>
      </c>
      <c r="J15" s="374">
        <v>44</v>
      </c>
      <c r="K15" s="374">
        <v>21.5</v>
      </c>
      <c r="L15" s="374">
        <v>34.9</v>
      </c>
      <c r="M15" s="374">
        <v>12</v>
      </c>
      <c r="N15" s="375">
        <v>400</v>
      </c>
    </row>
    <row r="16" spans="1:14" s="136" customFormat="1" ht="15">
      <c r="A16" s="200"/>
      <c r="B16" s="615" t="s">
        <v>287</v>
      </c>
      <c r="C16" s="616"/>
      <c r="D16" s="374">
        <v>8</v>
      </c>
      <c r="E16" s="374">
        <v>5</v>
      </c>
      <c r="F16" s="374">
        <v>72</v>
      </c>
      <c r="G16" s="374">
        <v>6.3</v>
      </c>
      <c r="H16" s="374">
        <v>4.4000000000000004</v>
      </c>
      <c r="I16" s="374">
        <v>60</v>
      </c>
      <c r="J16" s="374">
        <v>44</v>
      </c>
      <c r="K16" s="374">
        <v>21.5</v>
      </c>
      <c r="L16" s="374">
        <v>34.9</v>
      </c>
      <c r="M16" s="374">
        <v>12</v>
      </c>
      <c r="N16" s="375">
        <v>450</v>
      </c>
    </row>
    <row r="17" spans="1:14" s="136" customFormat="1" ht="15">
      <c r="A17" s="200"/>
      <c r="B17" s="615" t="s">
        <v>286</v>
      </c>
      <c r="C17" s="616"/>
      <c r="D17" s="374">
        <v>8</v>
      </c>
      <c r="E17" s="374">
        <v>5</v>
      </c>
      <c r="F17" s="374">
        <v>72</v>
      </c>
      <c r="G17" s="374">
        <v>7.5</v>
      </c>
      <c r="H17" s="374">
        <v>4.2</v>
      </c>
      <c r="I17" s="374">
        <v>60</v>
      </c>
      <c r="J17" s="374">
        <v>44</v>
      </c>
      <c r="K17" s="374">
        <v>21.5</v>
      </c>
      <c r="L17" s="374">
        <v>35.1</v>
      </c>
      <c r="M17" s="374">
        <v>12</v>
      </c>
      <c r="N17" s="375">
        <v>450</v>
      </c>
    </row>
    <row r="18" spans="1:14" s="136" customFormat="1" ht="15">
      <c r="A18" s="200"/>
      <c r="B18" s="615" t="s">
        <v>285</v>
      </c>
      <c r="C18" s="616"/>
      <c r="D18" s="374">
        <v>8</v>
      </c>
      <c r="E18" s="374">
        <v>5</v>
      </c>
      <c r="F18" s="374">
        <v>70</v>
      </c>
      <c r="G18" s="374">
        <v>6.3</v>
      </c>
      <c r="H18" s="374">
        <v>4.1100000000000003</v>
      </c>
      <c r="I18" s="374">
        <v>50</v>
      </c>
      <c r="J18" s="374">
        <v>44</v>
      </c>
      <c r="K18" s="374">
        <v>21.5</v>
      </c>
      <c r="L18" s="374">
        <v>35.1</v>
      </c>
      <c r="M18" s="374">
        <v>12</v>
      </c>
      <c r="N18" s="375">
        <v>400</v>
      </c>
    </row>
    <row r="19" spans="1:14" s="136" customFormat="1" ht="15">
      <c r="A19" s="200"/>
      <c r="B19" s="615" t="s">
        <v>284</v>
      </c>
      <c r="C19" s="616"/>
      <c r="D19" s="376">
        <v>8</v>
      </c>
      <c r="E19" s="376">
        <v>4.4000000000000004</v>
      </c>
      <c r="F19" s="376">
        <v>70</v>
      </c>
      <c r="G19" s="376">
        <v>6.5</v>
      </c>
      <c r="H19" s="376">
        <v>3.96</v>
      </c>
      <c r="I19" s="376">
        <v>50</v>
      </c>
      <c r="J19" s="376">
        <v>44</v>
      </c>
      <c r="K19" s="376">
        <v>21.5</v>
      </c>
      <c r="L19" s="376">
        <v>35.1</v>
      </c>
      <c r="M19" s="376">
        <v>12</v>
      </c>
      <c r="N19" s="377">
        <v>350</v>
      </c>
    </row>
    <row r="20" spans="1:14" s="136" customFormat="1" ht="15">
      <c r="A20" s="200"/>
      <c r="B20" s="615" t="s">
        <v>283</v>
      </c>
      <c r="C20" s="616"/>
      <c r="D20" s="376">
        <v>8</v>
      </c>
      <c r="E20" s="376">
        <v>4.4000000000000004</v>
      </c>
      <c r="F20" s="376">
        <v>70</v>
      </c>
      <c r="G20" s="376">
        <v>6</v>
      </c>
      <c r="H20" s="376">
        <v>3.91</v>
      </c>
      <c r="I20" s="376">
        <v>50</v>
      </c>
      <c r="J20" s="376">
        <v>44</v>
      </c>
      <c r="K20" s="376">
        <v>21.5</v>
      </c>
      <c r="L20" s="376">
        <v>35.1</v>
      </c>
      <c r="M20" s="376">
        <v>12</v>
      </c>
      <c r="N20" s="377">
        <v>325</v>
      </c>
    </row>
    <row r="21" spans="1:14" s="136" customFormat="1" ht="15">
      <c r="A21" s="200"/>
      <c r="B21" s="615" t="s">
        <v>282</v>
      </c>
      <c r="C21" s="616"/>
      <c r="D21" s="376">
        <v>8</v>
      </c>
      <c r="E21" s="376">
        <v>4.4000000000000004</v>
      </c>
      <c r="F21" s="376">
        <v>71</v>
      </c>
      <c r="G21" s="376">
        <v>6.5</v>
      </c>
      <c r="H21" s="376">
        <v>3.55</v>
      </c>
      <c r="I21" s="376">
        <v>50</v>
      </c>
      <c r="J21" s="376">
        <v>44</v>
      </c>
      <c r="K21" s="376">
        <v>21.5</v>
      </c>
      <c r="L21" s="376">
        <v>35.200000000000003</v>
      </c>
      <c r="M21" s="376">
        <v>12</v>
      </c>
      <c r="N21" s="377">
        <v>325</v>
      </c>
    </row>
    <row r="22" spans="1:14" s="136" customFormat="1" ht="15">
      <c r="A22" s="200"/>
      <c r="B22" s="615" t="s">
        <v>281</v>
      </c>
      <c r="C22" s="616"/>
      <c r="D22" s="376">
        <v>8</v>
      </c>
      <c r="E22" s="376">
        <v>5</v>
      </c>
      <c r="F22" s="376">
        <v>70</v>
      </c>
      <c r="G22" s="376">
        <v>6.4</v>
      </c>
      <c r="H22" s="376">
        <v>3.67</v>
      </c>
      <c r="I22" s="376">
        <v>50</v>
      </c>
      <c r="J22" s="376">
        <v>44</v>
      </c>
      <c r="K22" s="376">
        <v>21</v>
      </c>
      <c r="L22" s="376">
        <v>35.200000000000003</v>
      </c>
      <c r="M22" s="376">
        <v>12</v>
      </c>
      <c r="N22" s="377">
        <v>325</v>
      </c>
    </row>
    <row r="23" spans="1:14" s="136" customFormat="1" ht="15">
      <c r="A23" s="200"/>
      <c r="B23" s="615" t="s">
        <v>280</v>
      </c>
      <c r="C23" s="616"/>
      <c r="D23" s="378">
        <v>8</v>
      </c>
      <c r="E23" s="378">
        <v>6.3</v>
      </c>
      <c r="F23" s="378">
        <v>70</v>
      </c>
      <c r="G23" s="378">
        <v>6.1</v>
      </c>
      <c r="H23" s="378">
        <v>3.87</v>
      </c>
      <c r="I23" s="378">
        <v>50</v>
      </c>
      <c r="J23" s="378">
        <v>44</v>
      </c>
      <c r="K23" s="378">
        <v>21</v>
      </c>
      <c r="L23" s="378">
        <v>35.200000000000003</v>
      </c>
      <c r="M23" s="378">
        <v>12</v>
      </c>
      <c r="N23" s="379">
        <v>300</v>
      </c>
    </row>
    <row r="24" spans="1:14" s="136" customFormat="1" ht="15">
      <c r="A24" s="200"/>
      <c r="B24" s="615" t="s">
        <v>279</v>
      </c>
      <c r="C24" s="616"/>
      <c r="D24" s="378">
        <v>2.8</v>
      </c>
      <c r="E24" s="378">
        <v>7</v>
      </c>
      <c r="F24" s="378">
        <v>70</v>
      </c>
      <c r="G24" s="378">
        <v>6</v>
      </c>
      <c r="H24" s="378">
        <v>3.84</v>
      </c>
      <c r="I24" s="378">
        <v>50</v>
      </c>
      <c r="J24" s="378">
        <v>44</v>
      </c>
      <c r="K24" s="378">
        <v>21</v>
      </c>
      <c r="L24" s="378">
        <v>35.1</v>
      </c>
      <c r="M24" s="378">
        <v>12</v>
      </c>
      <c r="N24" s="379">
        <v>300</v>
      </c>
    </row>
    <row r="25" spans="1:14" s="136" customFormat="1" ht="15">
      <c r="A25" s="200"/>
      <c r="B25" s="615" t="s">
        <v>278</v>
      </c>
      <c r="C25" s="616"/>
      <c r="D25" s="378">
        <v>2.8</v>
      </c>
      <c r="E25" s="378">
        <v>7.8</v>
      </c>
      <c r="F25" s="378">
        <v>70</v>
      </c>
      <c r="G25" s="378">
        <v>6.2</v>
      </c>
      <c r="H25" s="378">
        <v>4.1399999999999997</v>
      </c>
      <c r="I25" s="378">
        <v>48</v>
      </c>
      <c r="J25" s="378">
        <v>44</v>
      </c>
      <c r="K25" s="378">
        <v>21</v>
      </c>
      <c r="L25" s="378">
        <v>35.1</v>
      </c>
      <c r="M25" s="378">
        <v>12</v>
      </c>
      <c r="N25" s="379">
        <v>300</v>
      </c>
    </row>
    <row r="26" spans="1:14" s="136" customFormat="1" ht="15">
      <c r="A26" s="200"/>
      <c r="B26" s="615" t="s">
        <v>277</v>
      </c>
      <c r="C26" s="616"/>
      <c r="D26" s="376">
        <v>2.8</v>
      </c>
      <c r="E26" s="376">
        <v>7.8</v>
      </c>
      <c r="F26" s="376">
        <v>70</v>
      </c>
      <c r="G26" s="376">
        <v>6.7</v>
      </c>
      <c r="H26" s="376">
        <v>4.4800000000000004</v>
      </c>
      <c r="I26" s="376">
        <v>48</v>
      </c>
      <c r="J26" s="376">
        <v>42</v>
      </c>
      <c r="K26" s="376">
        <v>21</v>
      </c>
      <c r="L26" s="376">
        <v>35.1</v>
      </c>
      <c r="M26" s="376">
        <v>12</v>
      </c>
      <c r="N26" s="377">
        <v>300</v>
      </c>
    </row>
    <row r="27" spans="1:14" s="136" customFormat="1" ht="15">
      <c r="A27" s="200"/>
      <c r="B27" s="615" t="s">
        <v>276</v>
      </c>
      <c r="C27" s="616"/>
      <c r="D27" s="376">
        <v>2.8</v>
      </c>
      <c r="E27" s="376">
        <v>7.8</v>
      </c>
      <c r="F27" s="376">
        <v>69</v>
      </c>
      <c r="G27" s="376">
        <v>6.9</v>
      </c>
      <c r="H27" s="376">
        <v>4.7300000000000004</v>
      </c>
      <c r="I27" s="376">
        <v>51</v>
      </c>
      <c r="J27" s="376">
        <v>42</v>
      </c>
      <c r="K27" s="376">
        <v>21</v>
      </c>
      <c r="L27" s="376">
        <v>34.9</v>
      </c>
      <c r="M27" s="376">
        <v>12</v>
      </c>
      <c r="N27" s="377">
        <v>300</v>
      </c>
    </row>
    <row r="28" spans="1:14" s="136" customFormat="1" ht="15">
      <c r="A28" s="200"/>
      <c r="B28" s="615" t="s">
        <v>275</v>
      </c>
      <c r="C28" s="616"/>
      <c r="D28" s="376">
        <v>7.5</v>
      </c>
      <c r="E28" s="376">
        <v>7.8</v>
      </c>
      <c r="F28" s="376">
        <v>69</v>
      </c>
      <c r="G28" s="376">
        <v>7.2</v>
      </c>
      <c r="H28" s="376">
        <v>5.0599999999999996</v>
      </c>
      <c r="I28" s="376">
        <v>50</v>
      </c>
      <c r="J28" s="376">
        <v>42</v>
      </c>
      <c r="K28" s="376">
        <v>20.5</v>
      </c>
      <c r="L28" s="376">
        <v>34.9</v>
      </c>
      <c r="M28" s="376">
        <v>12</v>
      </c>
      <c r="N28" s="377">
        <v>250</v>
      </c>
    </row>
    <row r="29" spans="1:14" s="136" customFormat="1" ht="15">
      <c r="A29" s="200"/>
      <c r="B29" s="615" t="s">
        <v>274</v>
      </c>
      <c r="C29" s="616"/>
      <c r="D29" s="376">
        <v>8</v>
      </c>
      <c r="E29" s="376">
        <v>9.6999999999999993</v>
      </c>
      <c r="F29" s="376">
        <v>69</v>
      </c>
      <c r="G29" s="376">
        <v>7.2</v>
      </c>
      <c r="H29" s="376">
        <v>5.32</v>
      </c>
      <c r="I29" s="376">
        <v>50</v>
      </c>
      <c r="J29" s="376">
        <v>41</v>
      </c>
      <c r="K29" s="376">
        <v>20</v>
      </c>
      <c r="L29" s="376">
        <v>34.9</v>
      </c>
      <c r="M29" s="376">
        <v>12</v>
      </c>
      <c r="N29" s="377">
        <v>250</v>
      </c>
    </row>
    <row r="30" spans="1:14" s="136" customFormat="1" ht="15">
      <c r="A30" s="200"/>
      <c r="B30" s="615" t="s">
        <v>273</v>
      </c>
      <c r="C30" s="616"/>
      <c r="D30" s="376">
        <v>8</v>
      </c>
      <c r="E30" s="376">
        <v>10.9</v>
      </c>
      <c r="F30" s="376">
        <v>69</v>
      </c>
      <c r="G30" s="376">
        <v>7.5</v>
      </c>
      <c r="H30" s="376">
        <v>5.3</v>
      </c>
      <c r="I30" s="376">
        <v>50</v>
      </c>
      <c r="J30" s="376">
        <v>41</v>
      </c>
      <c r="K30" s="376">
        <v>20</v>
      </c>
      <c r="L30" s="376">
        <v>34.9</v>
      </c>
      <c r="M30" s="376">
        <v>12</v>
      </c>
      <c r="N30" s="377">
        <v>250</v>
      </c>
    </row>
    <row r="31" spans="1:14" s="136" customFormat="1" ht="15">
      <c r="A31" s="200"/>
      <c r="B31" s="615" t="s">
        <v>272</v>
      </c>
      <c r="C31" s="616"/>
      <c r="D31" s="378">
        <v>8</v>
      </c>
      <c r="E31" s="378">
        <v>10.9</v>
      </c>
      <c r="F31" s="378">
        <v>70</v>
      </c>
      <c r="G31" s="378">
        <v>7.4</v>
      </c>
      <c r="H31" s="378">
        <v>5.4</v>
      </c>
      <c r="I31" s="378">
        <v>53</v>
      </c>
      <c r="J31" s="378">
        <v>41</v>
      </c>
      <c r="K31" s="378">
        <v>20</v>
      </c>
      <c r="L31" s="378">
        <v>34.9</v>
      </c>
      <c r="M31" s="378">
        <v>12</v>
      </c>
      <c r="N31" s="379">
        <v>250</v>
      </c>
    </row>
    <row r="32" spans="1:14" s="136" customFormat="1" ht="15">
      <c r="A32" s="200"/>
      <c r="B32" s="615" t="s">
        <v>271</v>
      </c>
      <c r="C32" s="616"/>
      <c r="D32" s="378">
        <v>8</v>
      </c>
      <c r="E32" s="378">
        <v>10.9</v>
      </c>
      <c r="F32" s="378">
        <v>70</v>
      </c>
      <c r="G32" s="378">
        <v>7.2</v>
      </c>
      <c r="H32" s="378">
        <v>5.2</v>
      </c>
      <c r="I32" s="378">
        <v>58</v>
      </c>
      <c r="J32" s="378">
        <v>41</v>
      </c>
      <c r="K32" s="378">
        <v>20</v>
      </c>
      <c r="L32" s="378">
        <v>34.9</v>
      </c>
      <c r="M32" s="378">
        <v>12</v>
      </c>
      <c r="N32" s="379">
        <v>250</v>
      </c>
    </row>
    <row r="33" spans="1:14" s="136" customFormat="1" ht="15">
      <c r="A33" s="200"/>
      <c r="B33" s="615" t="s">
        <v>270</v>
      </c>
      <c r="C33" s="616"/>
      <c r="D33" s="378">
        <v>8</v>
      </c>
      <c r="E33" s="378">
        <v>11.3</v>
      </c>
      <c r="F33" s="378">
        <v>69</v>
      </c>
      <c r="G33" s="378">
        <v>6.7</v>
      </c>
      <c r="H33" s="378">
        <v>5.2</v>
      </c>
      <c r="I33" s="378">
        <v>58</v>
      </c>
      <c r="J33" s="378">
        <v>41</v>
      </c>
      <c r="K33" s="378">
        <v>20</v>
      </c>
      <c r="L33" s="378">
        <v>34.9</v>
      </c>
      <c r="M33" s="378">
        <v>12</v>
      </c>
      <c r="N33" s="379">
        <v>250</v>
      </c>
    </row>
    <row r="34" spans="1:14" s="136" customFormat="1" ht="15">
      <c r="A34" s="200"/>
      <c r="B34" s="615" t="s">
        <v>269</v>
      </c>
      <c r="C34" s="616"/>
      <c r="D34" s="376">
        <v>8</v>
      </c>
      <c r="E34" s="376">
        <v>7</v>
      </c>
      <c r="F34" s="376">
        <v>69</v>
      </c>
      <c r="G34" s="376">
        <v>5.8</v>
      </c>
      <c r="H34" s="376">
        <v>5.0999999999999996</v>
      </c>
      <c r="I34" s="376">
        <v>30</v>
      </c>
      <c r="J34" s="376">
        <v>41</v>
      </c>
      <c r="K34" s="376">
        <v>20</v>
      </c>
      <c r="L34" s="376">
        <v>34.9</v>
      </c>
      <c r="M34" s="376">
        <v>12</v>
      </c>
      <c r="N34" s="377">
        <v>250</v>
      </c>
    </row>
    <row r="35" spans="1:14" s="136" customFormat="1" ht="15">
      <c r="A35" s="200"/>
      <c r="B35" s="615" t="s">
        <v>268</v>
      </c>
      <c r="C35" s="616"/>
      <c r="D35" s="376">
        <v>8</v>
      </c>
      <c r="E35" s="376">
        <v>5</v>
      </c>
      <c r="F35" s="376">
        <v>69</v>
      </c>
      <c r="G35" s="376">
        <v>6.3</v>
      </c>
      <c r="H35" s="376">
        <v>4.9000000000000004</v>
      </c>
      <c r="I35" s="376">
        <v>52</v>
      </c>
      <c r="J35" s="376">
        <v>41</v>
      </c>
      <c r="K35" s="376">
        <v>20</v>
      </c>
      <c r="L35" s="376">
        <v>34.9</v>
      </c>
      <c r="M35" s="376">
        <v>12</v>
      </c>
      <c r="N35" s="377">
        <v>250</v>
      </c>
    </row>
    <row r="36" spans="1:14" s="136" customFormat="1" ht="15">
      <c r="A36" s="200"/>
      <c r="B36" s="615" t="s">
        <v>267</v>
      </c>
      <c r="C36" s="616"/>
      <c r="D36" s="374">
        <v>8</v>
      </c>
      <c r="E36" s="374">
        <v>5</v>
      </c>
      <c r="F36" s="374">
        <v>68</v>
      </c>
      <c r="G36" s="374">
        <v>6.8</v>
      </c>
      <c r="H36" s="374">
        <v>4.7</v>
      </c>
      <c r="I36" s="374">
        <v>52</v>
      </c>
      <c r="J36" s="374">
        <v>41</v>
      </c>
      <c r="K36" s="374">
        <v>20</v>
      </c>
      <c r="L36" s="374">
        <v>34.9</v>
      </c>
      <c r="M36" s="374">
        <v>12</v>
      </c>
      <c r="N36" s="375">
        <v>250</v>
      </c>
    </row>
    <row r="37" spans="1:14" s="136" customFormat="1" ht="15">
      <c r="A37" s="200"/>
      <c r="B37" s="613" t="s">
        <v>266</v>
      </c>
      <c r="C37" s="614"/>
      <c r="D37" s="380">
        <v>7.11</v>
      </c>
      <c r="E37" s="380">
        <v>6.81</v>
      </c>
      <c r="F37" s="380">
        <v>70.040000000000006</v>
      </c>
      <c r="G37" s="380">
        <v>6.77</v>
      </c>
      <c r="H37" s="380">
        <v>4.53</v>
      </c>
      <c r="I37" s="380">
        <v>52.08</v>
      </c>
      <c r="J37" s="380">
        <v>42.79</v>
      </c>
      <c r="K37" s="380">
        <v>20.83</v>
      </c>
      <c r="L37" s="380">
        <v>35</v>
      </c>
      <c r="M37" s="380">
        <v>12</v>
      </c>
      <c r="N37" s="381">
        <v>313.54000000000002</v>
      </c>
    </row>
    <row r="38" spans="1:14" s="136" customFormat="1" ht="15">
      <c r="A38" s="200"/>
      <c r="B38" s="613" t="s">
        <v>265</v>
      </c>
      <c r="C38" s="614"/>
      <c r="D38" s="380">
        <v>8</v>
      </c>
      <c r="E38" s="380">
        <v>11.3</v>
      </c>
      <c r="F38" s="380">
        <v>72</v>
      </c>
      <c r="G38" s="380">
        <v>8.1</v>
      </c>
      <c r="H38" s="380">
        <v>5.4</v>
      </c>
      <c r="I38" s="380">
        <v>60</v>
      </c>
      <c r="J38" s="380">
        <v>45</v>
      </c>
      <c r="K38" s="380">
        <v>21.5</v>
      </c>
      <c r="L38" s="380">
        <v>35.200000000000003</v>
      </c>
      <c r="M38" s="380">
        <v>12</v>
      </c>
      <c r="N38" s="381">
        <v>450</v>
      </c>
    </row>
    <row r="39" spans="1:14" s="136" customFormat="1" ht="15">
      <c r="A39" s="200"/>
      <c r="B39" s="613" t="s">
        <v>264</v>
      </c>
      <c r="C39" s="614"/>
      <c r="D39" s="380">
        <v>2.8</v>
      </c>
      <c r="E39" s="380">
        <v>4.4000000000000004</v>
      </c>
      <c r="F39" s="380">
        <v>68</v>
      </c>
      <c r="G39" s="380">
        <v>5.8</v>
      </c>
      <c r="H39" s="380">
        <v>3.55</v>
      </c>
      <c r="I39" s="380">
        <v>30</v>
      </c>
      <c r="J39" s="380">
        <v>41</v>
      </c>
      <c r="K39" s="380">
        <v>20</v>
      </c>
      <c r="L39" s="380">
        <v>34.9</v>
      </c>
      <c r="M39" s="380">
        <v>12</v>
      </c>
      <c r="N39" s="381">
        <v>250</v>
      </c>
    </row>
    <row r="40" spans="1:14" s="136" customFormat="1" ht="15">
      <c r="A40" s="200"/>
      <c r="B40" s="613" t="s">
        <v>263</v>
      </c>
      <c r="C40" s="614"/>
      <c r="D40" s="380">
        <v>35.69</v>
      </c>
      <c r="E40" s="380">
        <v>27.99</v>
      </c>
      <c r="F40" s="380">
        <v>266.85000000000002</v>
      </c>
      <c r="G40" s="380">
        <v>23.22</v>
      </c>
      <c r="H40" s="380">
        <v>20.88</v>
      </c>
      <c r="I40" s="380">
        <v>89.06</v>
      </c>
      <c r="J40" s="380">
        <v>56.05</v>
      </c>
      <c r="K40" s="380">
        <v>72.069999999999993</v>
      </c>
      <c r="L40" s="380">
        <v>65.8</v>
      </c>
      <c r="M40" s="380">
        <v>48</v>
      </c>
      <c r="N40" s="381">
        <v>90.93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18" t="s">
        <v>6</v>
      </c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/>
      <c r="AE2" s="618"/>
      <c r="AF2" s="618"/>
      <c r="AG2" s="618"/>
      <c r="AH2" s="618"/>
      <c r="AI2" s="618"/>
      <c r="AJ2" s="618"/>
      <c r="AK2" s="618"/>
      <c r="AL2" s="618"/>
      <c r="AM2" s="618"/>
      <c r="AN2" s="618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19"/>
      <c r="F3" s="619"/>
      <c r="G3" s="619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19"/>
      <c r="DT3" s="619"/>
      <c r="DU3" s="619"/>
      <c r="DV3" s="619"/>
      <c r="DW3" s="619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6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32" t="s">
        <v>309</v>
      </c>
      <c r="ET6" s="432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1" t="s">
        <v>251</v>
      </c>
      <c r="FB6" s="331" t="s">
        <v>252</v>
      </c>
      <c r="FC6" s="331" t="s">
        <v>253</v>
      </c>
      <c r="FD6" s="331" t="s">
        <v>254</v>
      </c>
    </row>
    <row r="7" spans="1:161">
      <c r="A7" s="10"/>
      <c r="B7" s="211">
        <v>6329.9724999999999</v>
      </c>
      <c r="C7" s="211">
        <v>723.05499999999995</v>
      </c>
      <c r="D7" s="211">
        <v>756.98749999999995</v>
      </c>
      <c r="E7" s="211">
        <v>0</v>
      </c>
      <c r="F7" s="211">
        <v>96.215000000000003</v>
      </c>
      <c r="G7" s="211">
        <v>0</v>
      </c>
      <c r="H7" s="211">
        <v>22.982500000000002</v>
      </c>
      <c r="I7" s="211">
        <v>217.88249999999999</v>
      </c>
      <c r="J7" s="211">
        <v>381.08749999999998</v>
      </c>
      <c r="K7" s="211">
        <v>0</v>
      </c>
      <c r="L7" s="211">
        <v>236.82749999999999</v>
      </c>
      <c r="M7" s="211">
        <v>76.614999999999995</v>
      </c>
      <c r="N7" s="211">
        <v>84.584999999999994</v>
      </c>
      <c r="O7" s="211">
        <v>273.63499999999999</v>
      </c>
      <c r="P7" s="211">
        <v>528.91250000000002</v>
      </c>
      <c r="Q7" s="211">
        <v>130.10249999999999</v>
      </c>
      <c r="R7" s="211">
        <v>1341.55</v>
      </c>
      <c r="S7" s="211">
        <v>2477.4650000000001</v>
      </c>
      <c r="T7" s="211">
        <v>1588.3425</v>
      </c>
      <c r="U7" s="211">
        <v>945.9425</v>
      </c>
      <c r="V7" s="211">
        <v>85.322500000000005</v>
      </c>
      <c r="W7" s="211">
        <v>103.5325</v>
      </c>
      <c r="X7" s="211">
        <v>312.33749999999998</v>
      </c>
      <c r="Y7" s="211">
        <v>282.45749999999998</v>
      </c>
      <c r="Z7" s="211">
        <v>1982.83</v>
      </c>
      <c r="AA7" s="211">
        <v>1214.3625</v>
      </c>
      <c r="AB7" s="211">
        <v>72.105000000000004</v>
      </c>
      <c r="AC7" s="211">
        <v>294.5</v>
      </c>
      <c r="AD7" s="211">
        <v>152.32249999999999</v>
      </c>
      <c r="AE7" s="211">
        <v>1576.9324999999999</v>
      </c>
      <c r="AF7" s="211">
        <v>49.685000000000002</v>
      </c>
      <c r="AG7" s="211">
        <v>46.255000000000003</v>
      </c>
      <c r="AH7" s="211">
        <v>48.697499999999998</v>
      </c>
      <c r="AI7" s="211">
        <v>0</v>
      </c>
      <c r="AJ7" s="211">
        <v>48.612499999999997</v>
      </c>
      <c r="AK7" s="211">
        <v>29.037500000000001</v>
      </c>
      <c r="AL7" s="211">
        <v>30.092500000000001</v>
      </c>
      <c r="AM7" s="211">
        <v>125.995</v>
      </c>
      <c r="AN7" s="211">
        <v>1.93</v>
      </c>
      <c r="AO7" s="211">
        <v>27.07</v>
      </c>
      <c r="AP7" s="211">
        <v>13.17</v>
      </c>
      <c r="AQ7" s="211">
        <v>73.790000000000006</v>
      </c>
      <c r="AR7" s="211">
        <v>0</v>
      </c>
      <c r="AS7" s="211">
        <v>595.08500000000004</v>
      </c>
      <c r="AT7" s="211">
        <v>1129.2574999999999</v>
      </c>
      <c r="AU7" s="211">
        <v>21.19</v>
      </c>
      <c r="AV7" s="211">
        <v>103.52500000000001</v>
      </c>
      <c r="AW7" s="211">
        <v>84.844999999999999</v>
      </c>
      <c r="AX7" s="211">
        <v>199.85</v>
      </c>
      <c r="AY7" s="211">
        <v>9.5225000000000009</v>
      </c>
      <c r="AZ7" s="211">
        <v>69.547499999999999</v>
      </c>
      <c r="BA7" s="211">
        <v>19.899999999999999</v>
      </c>
      <c r="BB7" s="211">
        <v>61.307499999999997</v>
      </c>
      <c r="BC7" s="211">
        <v>74.644999999999996</v>
      </c>
      <c r="BD7" s="211">
        <v>51.8675</v>
      </c>
      <c r="BE7" s="211">
        <v>13.5075</v>
      </c>
      <c r="BF7" s="211">
        <v>8.08</v>
      </c>
      <c r="BG7" s="211">
        <v>35.384999999999998</v>
      </c>
      <c r="BH7" s="211">
        <v>360.98</v>
      </c>
      <c r="BI7" s="211">
        <v>353.55</v>
      </c>
      <c r="BJ7" s="211">
        <v>0</v>
      </c>
      <c r="BK7" s="211">
        <v>0</v>
      </c>
      <c r="BL7" s="211">
        <v>359.67</v>
      </c>
      <c r="BM7" s="211">
        <v>222.95750000000001</v>
      </c>
      <c r="BN7" s="211">
        <v>415.39749999999998</v>
      </c>
      <c r="BO7" s="211">
        <v>438.6825</v>
      </c>
      <c r="BP7" s="211">
        <v>485.78250000000003</v>
      </c>
      <c r="BQ7" s="211">
        <v>80.8</v>
      </c>
      <c r="BR7" s="211">
        <v>331.6875</v>
      </c>
      <c r="BS7" s="211">
        <v>331.01749999999998</v>
      </c>
      <c r="BT7" s="211">
        <v>564.29999999999995</v>
      </c>
      <c r="BU7" s="211">
        <v>858.43</v>
      </c>
      <c r="BV7" s="211">
        <v>412.97500000000002</v>
      </c>
      <c r="BW7" s="211">
        <v>523.88</v>
      </c>
      <c r="BX7" s="211">
        <v>267.51</v>
      </c>
      <c r="BY7" s="211">
        <v>0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0</v>
      </c>
      <c r="CG7" s="211">
        <v>0</v>
      </c>
      <c r="CH7" s="211">
        <v>864.8125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338">
        <v>0</v>
      </c>
      <c r="CO7" s="338">
        <v>0</v>
      </c>
      <c r="CP7" s="338">
        <v>0</v>
      </c>
      <c r="CQ7" s="338">
        <v>0</v>
      </c>
      <c r="CR7" s="338">
        <v>0</v>
      </c>
      <c r="CS7" s="338">
        <v>0</v>
      </c>
      <c r="CT7" s="338">
        <v>0</v>
      </c>
      <c r="CU7" s="338">
        <v>0</v>
      </c>
      <c r="CV7" s="338">
        <v>0</v>
      </c>
      <c r="CW7" s="338">
        <v>603.73</v>
      </c>
      <c r="CX7" s="338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813.61249999999995</v>
      </c>
      <c r="DF7" s="211">
        <v>2108.3249999999998</v>
      </c>
      <c r="DG7" s="336">
        <v>280.0675</v>
      </c>
      <c r="DH7" s="336">
        <v>1471.6849999999999</v>
      </c>
      <c r="DI7" s="336">
        <v>0</v>
      </c>
      <c r="DJ7" s="336">
        <v>574.87750000000005</v>
      </c>
      <c r="DK7" s="336">
        <v>2533.645</v>
      </c>
      <c r="DL7" s="336">
        <v>0</v>
      </c>
      <c r="DM7" s="336">
        <v>0</v>
      </c>
      <c r="DN7" s="336">
        <v>0</v>
      </c>
      <c r="DO7" s="336">
        <v>0</v>
      </c>
      <c r="DP7" s="336">
        <v>0</v>
      </c>
      <c r="DQ7" s="336">
        <v>0</v>
      </c>
      <c r="DR7" s="336">
        <v>0</v>
      </c>
      <c r="DS7" s="336">
        <v>0</v>
      </c>
      <c r="DT7" s="336">
        <v>0</v>
      </c>
      <c r="DU7" s="336">
        <v>0</v>
      </c>
      <c r="DV7" s="336">
        <v>0</v>
      </c>
      <c r="DW7" s="336">
        <v>84.92</v>
      </c>
      <c r="DX7" s="336">
        <v>91.167500000000004</v>
      </c>
      <c r="DY7" s="336">
        <v>94.045000000000002</v>
      </c>
      <c r="DZ7" s="336">
        <v>4.2</v>
      </c>
      <c r="EA7" s="336">
        <v>0</v>
      </c>
      <c r="EB7" s="336">
        <v>0</v>
      </c>
      <c r="EC7" s="336">
        <v>0</v>
      </c>
      <c r="ED7" s="336">
        <v>0</v>
      </c>
      <c r="EE7" s="336">
        <v>0</v>
      </c>
      <c r="EF7" s="336">
        <v>0</v>
      </c>
      <c r="EG7" s="336">
        <v>0</v>
      </c>
      <c r="EH7" s="336">
        <v>408.58</v>
      </c>
      <c r="EI7" s="336">
        <v>51.664999999999999</v>
      </c>
      <c r="EJ7" s="336">
        <v>68.760000000000005</v>
      </c>
      <c r="EK7" s="336">
        <v>0</v>
      </c>
      <c r="EL7" s="336">
        <v>0</v>
      </c>
      <c r="EM7" s="336">
        <v>0</v>
      </c>
      <c r="EN7" s="336">
        <v>0</v>
      </c>
      <c r="EO7" s="336">
        <v>5.39</v>
      </c>
      <c r="EP7" s="336">
        <v>0</v>
      </c>
      <c r="EQ7" s="336">
        <v>0</v>
      </c>
      <c r="ER7" s="336">
        <v>127.16249999999999</v>
      </c>
      <c r="ES7" s="336">
        <v>201.4025</v>
      </c>
      <c r="ET7" s="336">
        <v>189.12</v>
      </c>
      <c r="EU7" s="336">
        <v>0</v>
      </c>
      <c r="EV7" s="336">
        <v>0</v>
      </c>
      <c r="EW7" s="336">
        <v>0</v>
      </c>
      <c r="EX7" s="336">
        <v>0</v>
      </c>
      <c r="EY7" s="336">
        <v>0</v>
      </c>
      <c r="EZ7" s="336">
        <v>103.4725</v>
      </c>
      <c r="FA7" s="336">
        <v>3035.2950000000001</v>
      </c>
      <c r="FB7" s="336">
        <v>-5620.7</v>
      </c>
      <c r="FC7" s="336">
        <v>41948.77</v>
      </c>
      <c r="FD7" s="336">
        <v>44534.19</v>
      </c>
    </row>
    <row r="8" spans="1:161" s="20" customFormat="1" ht="19.5" customHeight="1">
      <c r="A8" s="19">
        <v>1</v>
      </c>
      <c r="B8" s="18">
        <v>275.5</v>
      </c>
      <c r="C8" s="18">
        <v>0</v>
      </c>
      <c r="D8" s="18">
        <v>23.38</v>
      </c>
      <c r="E8" s="18">
        <v>0</v>
      </c>
      <c r="F8" s="18">
        <v>4.01</v>
      </c>
      <c r="G8" s="18">
        <v>0</v>
      </c>
      <c r="H8" s="18">
        <v>0</v>
      </c>
      <c r="I8" s="18">
        <v>3.09</v>
      </c>
      <c r="J8" s="18">
        <v>15.94</v>
      </c>
      <c r="K8" s="18">
        <v>0</v>
      </c>
      <c r="L8" s="18">
        <v>9.8699999999999992</v>
      </c>
      <c r="M8" s="18">
        <v>3.18</v>
      </c>
      <c r="N8" s="18">
        <v>0.97</v>
      </c>
      <c r="O8" s="18">
        <v>6.23</v>
      </c>
      <c r="P8" s="18">
        <v>16.010000000000002</v>
      </c>
      <c r="Q8" s="18">
        <v>3.89</v>
      </c>
      <c r="R8" s="18">
        <v>62.13</v>
      </c>
      <c r="S8" s="18">
        <v>103.73</v>
      </c>
      <c r="T8" s="18">
        <v>65.989999999999995</v>
      </c>
      <c r="U8" s="18">
        <v>19.41</v>
      </c>
      <c r="V8" s="18">
        <v>4.0199999999999996</v>
      </c>
      <c r="W8" s="18">
        <v>4.4000000000000004</v>
      </c>
      <c r="X8" s="18">
        <v>9.8699999999999992</v>
      </c>
      <c r="Y8" s="18">
        <v>8.7200000000000006</v>
      </c>
      <c r="Z8" s="18">
        <v>87.72</v>
      </c>
      <c r="AA8" s="18">
        <v>49.93</v>
      </c>
      <c r="AB8" s="18">
        <v>1.87</v>
      </c>
      <c r="AC8" s="18">
        <v>11.09</v>
      </c>
      <c r="AD8" s="18">
        <v>6.33</v>
      </c>
      <c r="AE8" s="18">
        <v>48.29</v>
      </c>
      <c r="AF8" s="18">
        <v>3.65</v>
      </c>
      <c r="AG8" s="18">
        <v>1.81</v>
      </c>
      <c r="AH8" s="18">
        <v>2.0299999999999998</v>
      </c>
      <c r="AI8" s="18">
        <v>0</v>
      </c>
      <c r="AJ8" s="18">
        <v>2.04</v>
      </c>
      <c r="AK8" s="18">
        <v>1.69</v>
      </c>
      <c r="AL8" s="18">
        <v>0</v>
      </c>
      <c r="AM8" s="18">
        <v>7.41</v>
      </c>
      <c r="AN8" s="18">
        <v>0</v>
      </c>
      <c r="AO8" s="18">
        <v>0</v>
      </c>
      <c r="AP8" s="18">
        <v>0.59</v>
      </c>
      <c r="AQ8" s="18">
        <v>0</v>
      </c>
      <c r="AR8" s="18">
        <v>0</v>
      </c>
      <c r="AS8" s="18">
        <v>24.82</v>
      </c>
      <c r="AT8" s="18">
        <v>51.3</v>
      </c>
      <c r="AU8" s="18">
        <v>0.87</v>
      </c>
      <c r="AV8" s="18">
        <v>0</v>
      </c>
      <c r="AW8" s="18">
        <v>0</v>
      </c>
      <c r="AX8" s="18">
        <v>8.3000000000000007</v>
      </c>
      <c r="AY8" s="18">
        <v>0</v>
      </c>
      <c r="AZ8" s="18">
        <v>2.5299999999999998</v>
      </c>
      <c r="BA8" s="18">
        <v>0</v>
      </c>
      <c r="BB8" s="18">
        <v>2.2999999999999998</v>
      </c>
      <c r="BC8" s="18">
        <v>2.61</v>
      </c>
      <c r="BD8" s="18">
        <v>2.2000000000000002</v>
      </c>
      <c r="BE8" s="18">
        <v>0</v>
      </c>
      <c r="BF8" s="18">
        <v>0</v>
      </c>
      <c r="BG8" s="18">
        <v>1.62</v>
      </c>
      <c r="BH8" s="18">
        <v>15.11</v>
      </c>
      <c r="BI8" s="18">
        <v>15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9.94</v>
      </c>
      <c r="BV8" s="18">
        <v>17.899999999999999</v>
      </c>
      <c r="BW8" s="18">
        <v>5.96</v>
      </c>
      <c r="BX8" s="18">
        <v>3.22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434">
        <v>30.43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434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4">
        <v>30.46</v>
      </c>
      <c r="DF8" s="435">
        <v>118.1</v>
      </c>
      <c r="DG8" s="434">
        <v>10.36</v>
      </c>
      <c r="DH8" s="434">
        <v>57.57</v>
      </c>
      <c r="DI8" s="337">
        <v>0</v>
      </c>
      <c r="DJ8" s="436">
        <v>25.77</v>
      </c>
      <c r="DK8" s="337">
        <v>133.18</v>
      </c>
      <c r="DL8" s="337">
        <v>0</v>
      </c>
      <c r="DM8" s="337">
        <v>0</v>
      </c>
      <c r="DN8" s="337">
        <v>0</v>
      </c>
      <c r="DO8" s="337">
        <v>0</v>
      </c>
      <c r="DP8" s="337">
        <v>0</v>
      </c>
      <c r="DQ8" s="337">
        <v>0</v>
      </c>
      <c r="DR8" s="337">
        <v>0</v>
      </c>
      <c r="DS8" s="337">
        <v>0</v>
      </c>
      <c r="DT8" s="337">
        <v>0</v>
      </c>
      <c r="DU8" s="337">
        <v>0</v>
      </c>
      <c r="DV8" s="337">
        <v>0</v>
      </c>
      <c r="DW8" s="337">
        <v>0</v>
      </c>
      <c r="DX8" s="436">
        <v>5.03</v>
      </c>
      <c r="DY8" s="436">
        <v>5.33</v>
      </c>
      <c r="DZ8" s="337">
        <v>0</v>
      </c>
      <c r="EA8" s="337">
        <v>0</v>
      </c>
      <c r="EB8" s="337">
        <v>0</v>
      </c>
      <c r="EC8" s="337">
        <v>0</v>
      </c>
      <c r="ED8" s="337">
        <v>0</v>
      </c>
      <c r="EE8" s="337">
        <v>0</v>
      </c>
      <c r="EF8" s="337">
        <v>0</v>
      </c>
      <c r="EG8" s="337">
        <v>0</v>
      </c>
      <c r="EH8" s="337">
        <v>0</v>
      </c>
      <c r="EI8" s="337">
        <v>0</v>
      </c>
      <c r="EJ8" s="337">
        <v>0</v>
      </c>
      <c r="EK8" s="337">
        <v>0</v>
      </c>
      <c r="EL8" s="337">
        <v>0</v>
      </c>
      <c r="EM8" s="337">
        <v>0</v>
      </c>
      <c r="EN8" s="337">
        <v>0</v>
      </c>
      <c r="EO8" s="337">
        <v>0.3</v>
      </c>
      <c r="EP8" s="337">
        <v>0</v>
      </c>
      <c r="EQ8" s="337">
        <v>0</v>
      </c>
      <c r="ER8" s="337">
        <v>11.65</v>
      </c>
      <c r="ES8" s="337">
        <v>8.85</v>
      </c>
      <c r="ET8" s="337">
        <v>6.37</v>
      </c>
      <c r="EU8" s="337">
        <v>0</v>
      </c>
      <c r="EV8" s="337">
        <v>0</v>
      </c>
      <c r="EW8" s="337">
        <v>0</v>
      </c>
      <c r="EX8" s="337">
        <v>0</v>
      </c>
      <c r="EY8" s="337">
        <v>0</v>
      </c>
      <c r="EZ8" s="337">
        <v>0</v>
      </c>
      <c r="FA8" s="337">
        <v>211.03</v>
      </c>
      <c r="FB8" s="337">
        <v>-233.9</v>
      </c>
      <c r="FC8" s="337">
        <v>1493.88</v>
      </c>
      <c r="FD8" s="337">
        <v>1516.75</v>
      </c>
      <c r="FE8" s="19">
        <v>1</v>
      </c>
    </row>
    <row r="9" spans="1:161" s="20" customFormat="1" ht="19.5" customHeight="1">
      <c r="A9" s="19">
        <v>2</v>
      </c>
      <c r="B9" s="18">
        <v>269.85000000000002</v>
      </c>
      <c r="C9" s="18">
        <v>0</v>
      </c>
      <c r="D9" s="18">
        <v>18.170000000000002</v>
      </c>
      <c r="E9" s="18">
        <v>0</v>
      </c>
      <c r="F9" s="18">
        <v>4.0199999999999996</v>
      </c>
      <c r="G9" s="18">
        <v>0</v>
      </c>
      <c r="H9" s="18">
        <v>0</v>
      </c>
      <c r="I9" s="18">
        <v>3.07</v>
      </c>
      <c r="J9" s="18">
        <v>15.86</v>
      </c>
      <c r="K9" s="18">
        <v>0</v>
      </c>
      <c r="L9" s="18">
        <v>9.8699999999999992</v>
      </c>
      <c r="M9" s="18">
        <v>3.19</v>
      </c>
      <c r="N9" s="18">
        <v>1.1399999999999999</v>
      </c>
      <c r="O9" s="18">
        <v>2.68</v>
      </c>
      <c r="P9" s="18">
        <v>10.37</v>
      </c>
      <c r="Q9" s="18">
        <v>2.5299999999999998</v>
      </c>
      <c r="R9" s="18">
        <v>62.16</v>
      </c>
      <c r="S9" s="18">
        <v>103.38</v>
      </c>
      <c r="T9" s="18">
        <v>65.89</v>
      </c>
      <c r="U9" s="18">
        <v>36.61</v>
      </c>
      <c r="V9" s="18">
        <v>4.03</v>
      </c>
      <c r="W9" s="18">
        <v>4.38</v>
      </c>
      <c r="X9" s="18">
        <v>9.9</v>
      </c>
      <c r="Y9" s="18">
        <v>9.7100000000000009</v>
      </c>
      <c r="Z9" s="18">
        <v>66.19</v>
      </c>
      <c r="AA9" s="18">
        <v>58.07</v>
      </c>
      <c r="AB9" s="18">
        <v>1.98</v>
      </c>
      <c r="AC9" s="18">
        <v>11</v>
      </c>
      <c r="AD9" s="18">
        <v>4.62</v>
      </c>
      <c r="AE9" s="18">
        <v>55.63</v>
      </c>
      <c r="AF9" s="18">
        <v>3.65</v>
      </c>
      <c r="AG9" s="18">
        <v>2</v>
      </c>
      <c r="AH9" s="18">
        <v>1.97</v>
      </c>
      <c r="AI9" s="18">
        <v>0</v>
      </c>
      <c r="AJ9" s="18">
        <v>2.04</v>
      </c>
      <c r="AK9" s="18">
        <v>1.69</v>
      </c>
      <c r="AL9" s="18">
        <v>0</v>
      </c>
      <c r="AM9" s="18">
        <v>3.24</v>
      </c>
      <c r="AN9" s="18">
        <v>0</v>
      </c>
      <c r="AO9" s="18">
        <v>0</v>
      </c>
      <c r="AP9" s="18">
        <v>0.56999999999999995</v>
      </c>
      <c r="AQ9" s="18">
        <v>0</v>
      </c>
      <c r="AR9" s="18">
        <v>0</v>
      </c>
      <c r="AS9" s="18">
        <v>24.78</v>
      </c>
      <c r="AT9" s="18">
        <v>42.56</v>
      </c>
      <c r="AU9" s="18">
        <v>0.84</v>
      </c>
      <c r="AV9" s="18">
        <v>0</v>
      </c>
      <c r="AW9" s="18">
        <v>9.26</v>
      </c>
      <c r="AX9" s="18">
        <v>8.3000000000000007</v>
      </c>
      <c r="AY9" s="18">
        <v>0</v>
      </c>
      <c r="AZ9" s="18">
        <v>2.6</v>
      </c>
      <c r="BA9" s="18">
        <v>0</v>
      </c>
      <c r="BB9" s="18">
        <v>1.93</v>
      </c>
      <c r="BC9" s="18">
        <v>2.6</v>
      </c>
      <c r="BD9" s="18">
        <v>2.2000000000000002</v>
      </c>
      <c r="BE9" s="18">
        <v>0</v>
      </c>
      <c r="BF9" s="18">
        <v>0</v>
      </c>
      <c r="BG9" s="18">
        <v>1.61</v>
      </c>
      <c r="BH9" s="18">
        <v>15.58</v>
      </c>
      <c r="BI9" s="18">
        <v>14.9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15.28</v>
      </c>
      <c r="BV9" s="18">
        <v>9.1999999999999993</v>
      </c>
      <c r="BW9" s="18">
        <v>7.27</v>
      </c>
      <c r="BX9" s="18">
        <v>0.89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434">
        <v>31.24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34">
        <v>23.01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4">
        <v>30.38</v>
      </c>
      <c r="DF9" s="435">
        <v>103.7</v>
      </c>
      <c r="DG9" s="434">
        <v>10.39</v>
      </c>
      <c r="DH9" s="434">
        <v>58.12</v>
      </c>
      <c r="DI9" s="337">
        <v>0</v>
      </c>
      <c r="DJ9" s="436">
        <v>19.41</v>
      </c>
      <c r="DK9" s="337">
        <v>133.66999999999999</v>
      </c>
      <c r="DL9" s="337">
        <v>0</v>
      </c>
      <c r="DM9" s="337">
        <v>0</v>
      </c>
      <c r="DN9" s="337">
        <v>0</v>
      </c>
      <c r="DO9" s="337">
        <v>0</v>
      </c>
      <c r="DP9" s="337">
        <v>0</v>
      </c>
      <c r="DQ9" s="337">
        <v>0</v>
      </c>
      <c r="DR9" s="337">
        <v>0</v>
      </c>
      <c r="DS9" s="337">
        <v>0</v>
      </c>
      <c r="DT9" s="337">
        <v>0</v>
      </c>
      <c r="DU9" s="337">
        <v>0</v>
      </c>
      <c r="DV9" s="337">
        <v>0</v>
      </c>
      <c r="DW9" s="337">
        <v>0</v>
      </c>
      <c r="DX9" s="337">
        <v>0</v>
      </c>
      <c r="DY9" s="337">
        <v>0</v>
      </c>
      <c r="DZ9" s="337">
        <v>0</v>
      </c>
      <c r="EA9" s="337">
        <v>0</v>
      </c>
      <c r="EB9" s="337">
        <v>0</v>
      </c>
      <c r="EC9" s="337">
        <v>0</v>
      </c>
      <c r="ED9" s="337">
        <v>0</v>
      </c>
      <c r="EE9" s="337">
        <v>0</v>
      </c>
      <c r="EF9" s="337">
        <v>0</v>
      </c>
      <c r="EG9" s="337">
        <v>0</v>
      </c>
      <c r="EH9" s="337">
        <v>0</v>
      </c>
      <c r="EI9" s="337">
        <v>0</v>
      </c>
      <c r="EJ9" s="337">
        <v>0</v>
      </c>
      <c r="EK9" s="337">
        <v>0</v>
      </c>
      <c r="EL9" s="337">
        <v>0</v>
      </c>
      <c r="EM9" s="337">
        <v>0</v>
      </c>
      <c r="EN9" s="337">
        <v>0</v>
      </c>
      <c r="EO9" s="337">
        <v>0.3</v>
      </c>
      <c r="EP9" s="337">
        <v>0</v>
      </c>
      <c r="EQ9" s="337">
        <v>0</v>
      </c>
      <c r="ER9" s="337">
        <v>11.61</v>
      </c>
      <c r="ES9" s="337">
        <v>8.84</v>
      </c>
      <c r="ET9" s="337">
        <v>6.32</v>
      </c>
      <c r="EU9" s="337">
        <v>0</v>
      </c>
      <c r="EV9" s="337">
        <v>0</v>
      </c>
      <c r="EW9" s="337">
        <v>0</v>
      </c>
      <c r="EX9" s="337">
        <v>0</v>
      </c>
      <c r="EY9" s="337">
        <v>0</v>
      </c>
      <c r="EZ9" s="337">
        <v>0</v>
      </c>
      <c r="FA9" s="337">
        <v>161.97</v>
      </c>
      <c r="FB9" s="337">
        <v>-205.3</v>
      </c>
      <c r="FC9" s="337">
        <v>1446.25</v>
      </c>
      <c r="FD9" s="337">
        <v>1489.58</v>
      </c>
      <c r="FE9" s="19">
        <v>2</v>
      </c>
    </row>
    <row r="10" spans="1:161" s="20" customFormat="1" ht="19.5" customHeight="1">
      <c r="A10" s="19">
        <v>3</v>
      </c>
      <c r="B10" s="18">
        <v>266.85000000000002</v>
      </c>
      <c r="C10" s="18">
        <v>0</v>
      </c>
      <c r="D10" s="18">
        <v>19.510000000000002</v>
      </c>
      <c r="E10" s="18">
        <v>0</v>
      </c>
      <c r="F10" s="18">
        <v>4.01</v>
      </c>
      <c r="G10" s="18">
        <v>0</v>
      </c>
      <c r="H10" s="18">
        <v>0</v>
      </c>
      <c r="I10" s="18">
        <v>5.57</v>
      </c>
      <c r="J10" s="18">
        <v>15.88</v>
      </c>
      <c r="K10" s="18">
        <v>0</v>
      </c>
      <c r="L10" s="18">
        <v>9.8699999999999992</v>
      </c>
      <c r="M10" s="18">
        <v>3.15</v>
      </c>
      <c r="N10" s="18">
        <v>1.31</v>
      </c>
      <c r="O10" s="18">
        <v>2.62</v>
      </c>
      <c r="P10" s="18">
        <v>11.65</v>
      </c>
      <c r="Q10" s="18">
        <v>2.2599999999999998</v>
      </c>
      <c r="R10" s="18">
        <v>62.05</v>
      </c>
      <c r="S10" s="18">
        <v>103.33</v>
      </c>
      <c r="T10" s="18">
        <v>66.52</v>
      </c>
      <c r="U10" s="18">
        <v>33.28</v>
      </c>
      <c r="V10" s="18">
        <v>4.03</v>
      </c>
      <c r="W10" s="18">
        <v>4.4000000000000004</v>
      </c>
      <c r="X10" s="18">
        <v>7.88</v>
      </c>
      <c r="Y10" s="18">
        <v>7.74</v>
      </c>
      <c r="Z10" s="18">
        <v>66.430000000000007</v>
      </c>
      <c r="AA10" s="18">
        <v>57.74</v>
      </c>
      <c r="AB10" s="18">
        <v>1.98</v>
      </c>
      <c r="AC10" s="18">
        <v>10.93</v>
      </c>
      <c r="AD10" s="18">
        <v>5.71</v>
      </c>
      <c r="AE10" s="18">
        <v>62.72</v>
      </c>
      <c r="AF10" s="18">
        <v>3.62</v>
      </c>
      <c r="AG10" s="18">
        <v>1.82</v>
      </c>
      <c r="AH10" s="18">
        <v>2.02</v>
      </c>
      <c r="AI10" s="18">
        <v>0</v>
      </c>
      <c r="AJ10" s="18">
        <v>2.04</v>
      </c>
      <c r="AK10" s="18">
        <v>1.69</v>
      </c>
      <c r="AL10" s="18">
        <v>0</v>
      </c>
      <c r="AM10" s="18">
        <v>3.19</v>
      </c>
      <c r="AN10" s="18">
        <v>0</v>
      </c>
      <c r="AO10" s="18">
        <v>0</v>
      </c>
      <c r="AP10" s="18">
        <v>0.55000000000000004</v>
      </c>
      <c r="AQ10" s="18">
        <v>0</v>
      </c>
      <c r="AR10" s="18">
        <v>0</v>
      </c>
      <c r="AS10" s="18">
        <v>24.77</v>
      </c>
      <c r="AT10" s="18">
        <v>42.83</v>
      </c>
      <c r="AU10" s="18">
        <v>0.79</v>
      </c>
      <c r="AV10" s="18">
        <v>0</v>
      </c>
      <c r="AW10" s="18">
        <v>9.41</v>
      </c>
      <c r="AX10" s="18">
        <v>8.3000000000000007</v>
      </c>
      <c r="AY10" s="18">
        <v>0</v>
      </c>
      <c r="AZ10" s="18">
        <v>2.6</v>
      </c>
      <c r="BA10" s="18">
        <v>0</v>
      </c>
      <c r="BB10" s="18">
        <v>1.3</v>
      </c>
      <c r="BC10" s="18">
        <v>2.61</v>
      </c>
      <c r="BD10" s="18">
        <v>2.2000000000000002</v>
      </c>
      <c r="BE10" s="18">
        <v>0</v>
      </c>
      <c r="BF10" s="18">
        <v>0</v>
      </c>
      <c r="BG10" s="18">
        <v>1.59</v>
      </c>
      <c r="BH10" s="18">
        <v>15.44</v>
      </c>
      <c r="BI10" s="18">
        <v>15.1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20.079999999999998</v>
      </c>
      <c r="BV10" s="18">
        <v>13.4</v>
      </c>
      <c r="BW10" s="18">
        <v>16.64</v>
      </c>
      <c r="BX10" s="18">
        <v>6.54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434">
        <v>30.91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34">
        <v>22.01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4">
        <v>30.37</v>
      </c>
      <c r="DF10" s="434">
        <v>90.2</v>
      </c>
      <c r="DG10" s="434">
        <v>10.48</v>
      </c>
      <c r="DH10" s="434">
        <v>57.76</v>
      </c>
      <c r="DI10" s="337">
        <v>0</v>
      </c>
      <c r="DJ10" s="436">
        <v>19.37</v>
      </c>
      <c r="DK10" s="437">
        <v>106.71</v>
      </c>
      <c r="DL10" s="337">
        <v>0</v>
      </c>
      <c r="DM10" s="337">
        <v>0</v>
      </c>
      <c r="DN10" s="337">
        <v>0</v>
      </c>
      <c r="DO10" s="337">
        <v>0</v>
      </c>
      <c r="DP10" s="337">
        <v>0</v>
      </c>
      <c r="DQ10" s="337">
        <v>0</v>
      </c>
      <c r="DR10" s="337">
        <v>0</v>
      </c>
      <c r="DS10" s="337">
        <v>0</v>
      </c>
      <c r="DT10" s="337">
        <v>0</v>
      </c>
      <c r="DU10" s="337">
        <v>0</v>
      </c>
      <c r="DV10" s="337">
        <v>0</v>
      </c>
      <c r="DW10" s="337">
        <v>0</v>
      </c>
      <c r="DX10" s="337">
        <v>0</v>
      </c>
      <c r="DY10" s="337">
        <v>0</v>
      </c>
      <c r="DZ10" s="337">
        <v>0</v>
      </c>
      <c r="EA10" s="337">
        <v>0</v>
      </c>
      <c r="EB10" s="337">
        <v>0</v>
      </c>
      <c r="EC10" s="337">
        <v>0</v>
      </c>
      <c r="ED10" s="337">
        <v>0</v>
      </c>
      <c r="EE10" s="337">
        <v>0</v>
      </c>
      <c r="EF10" s="337">
        <v>0</v>
      </c>
      <c r="EG10" s="337">
        <v>0</v>
      </c>
      <c r="EH10" s="337">
        <v>0</v>
      </c>
      <c r="EI10" s="337">
        <v>0</v>
      </c>
      <c r="EJ10" s="337">
        <v>0</v>
      </c>
      <c r="EK10" s="337">
        <v>0</v>
      </c>
      <c r="EL10" s="337">
        <v>0</v>
      </c>
      <c r="EM10" s="337">
        <v>0</v>
      </c>
      <c r="EN10" s="337">
        <v>0</v>
      </c>
      <c r="EO10" s="337">
        <v>0.3</v>
      </c>
      <c r="EP10" s="337">
        <v>0</v>
      </c>
      <c r="EQ10" s="337">
        <v>0</v>
      </c>
      <c r="ER10" s="436">
        <v>0</v>
      </c>
      <c r="ES10" s="337">
        <v>8.85</v>
      </c>
      <c r="ET10" s="337">
        <v>6.21</v>
      </c>
      <c r="EU10" s="337">
        <v>0</v>
      </c>
      <c r="EV10" s="337">
        <v>0</v>
      </c>
      <c r="EW10" s="337">
        <v>0</v>
      </c>
      <c r="EX10" s="337">
        <v>0</v>
      </c>
      <c r="EY10" s="337">
        <v>0</v>
      </c>
      <c r="EZ10" s="337">
        <v>0</v>
      </c>
      <c r="FA10" s="337">
        <v>161.69999999999999</v>
      </c>
      <c r="FB10" s="337">
        <v>-239</v>
      </c>
      <c r="FC10" s="337">
        <v>1419.12</v>
      </c>
      <c r="FD10" s="337">
        <v>1496.42</v>
      </c>
      <c r="FE10" s="19">
        <v>3</v>
      </c>
    </row>
    <row r="11" spans="1:161" s="20" customFormat="1" ht="19.5" customHeight="1">
      <c r="A11" s="19">
        <v>4</v>
      </c>
      <c r="B11" s="18">
        <v>260.54000000000002</v>
      </c>
      <c r="C11" s="18">
        <v>0</v>
      </c>
      <c r="D11" s="18">
        <v>26.94</v>
      </c>
      <c r="E11" s="18">
        <v>0</v>
      </c>
      <c r="F11" s="18">
        <v>4.01</v>
      </c>
      <c r="G11" s="18">
        <v>0</v>
      </c>
      <c r="H11" s="18">
        <v>0</v>
      </c>
      <c r="I11" s="18">
        <v>9.6999999999999993</v>
      </c>
      <c r="J11" s="18">
        <v>15.91</v>
      </c>
      <c r="K11" s="18">
        <v>0</v>
      </c>
      <c r="L11" s="18">
        <v>9.8699999999999992</v>
      </c>
      <c r="M11" s="18">
        <v>3.19</v>
      </c>
      <c r="N11" s="18">
        <v>1.27</v>
      </c>
      <c r="O11" s="18">
        <v>2.61</v>
      </c>
      <c r="P11" s="18">
        <v>9.8000000000000007</v>
      </c>
      <c r="Q11" s="18">
        <v>2.2599999999999998</v>
      </c>
      <c r="R11" s="18">
        <v>62.06</v>
      </c>
      <c r="S11" s="18">
        <v>103.63</v>
      </c>
      <c r="T11" s="18">
        <v>66.3</v>
      </c>
      <c r="U11" s="18">
        <v>30.8</v>
      </c>
      <c r="V11" s="18">
        <v>4.0199999999999996</v>
      </c>
      <c r="W11" s="18">
        <v>4.37</v>
      </c>
      <c r="X11" s="18">
        <v>7.9</v>
      </c>
      <c r="Y11" s="18">
        <v>7.73</v>
      </c>
      <c r="Z11" s="18">
        <v>73.680000000000007</v>
      </c>
      <c r="AA11" s="18">
        <v>42.15</v>
      </c>
      <c r="AB11" s="18">
        <v>1.98</v>
      </c>
      <c r="AC11" s="18">
        <v>11.04</v>
      </c>
      <c r="AD11" s="18">
        <v>4.28</v>
      </c>
      <c r="AE11" s="18">
        <v>56.96</v>
      </c>
      <c r="AF11" s="18">
        <v>0</v>
      </c>
      <c r="AG11" s="18">
        <v>1.83</v>
      </c>
      <c r="AH11" s="18">
        <v>2.0299999999999998</v>
      </c>
      <c r="AI11" s="18">
        <v>0</v>
      </c>
      <c r="AJ11" s="18">
        <v>2.04</v>
      </c>
      <c r="AK11" s="18">
        <v>1.69</v>
      </c>
      <c r="AL11" s="18">
        <v>0</v>
      </c>
      <c r="AM11" s="18">
        <v>3.25</v>
      </c>
      <c r="AN11" s="18">
        <v>0</v>
      </c>
      <c r="AO11" s="18">
        <v>0</v>
      </c>
      <c r="AP11" s="18">
        <v>0.55000000000000004</v>
      </c>
      <c r="AQ11" s="18">
        <v>0</v>
      </c>
      <c r="AR11" s="18">
        <v>0</v>
      </c>
      <c r="AS11" s="18">
        <v>24.75</v>
      </c>
      <c r="AT11" s="18">
        <v>34.92</v>
      </c>
      <c r="AU11" s="18">
        <v>0.72</v>
      </c>
      <c r="AV11" s="18">
        <v>0</v>
      </c>
      <c r="AW11" s="18">
        <v>0</v>
      </c>
      <c r="AX11" s="18">
        <v>8.3000000000000007</v>
      </c>
      <c r="AY11" s="18">
        <v>0</v>
      </c>
      <c r="AZ11" s="18">
        <v>2.54</v>
      </c>
      <c r="BA11" s="18">
        <v>0</v>
      </c>
      <c r="BB11" s="18">
        <v>2.27</v>
      </c>
      <c r="BC11" s="18">
        <v>2.62</v>
      </c>
      <c r="BD11" s="18">
        <v>2.2000000000000002</v>
      </c>
      <c r="BE11" s="18">
        <v>0</v>
      </c>
      <c r="BF11" s="18">
        <v>0</v>
      </c>
      <c r="BG11" s="18">
        <v>1.58</v>
      </c>
      <c r="BH11" s="18">
        <v>14.59</v>
      </c>
      <c r="BI11" s="18">
        <v>15.1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45.59</v>
      </c>
      <c r="BV11" s="18">
        <v>17.100000000000001</v>
      </c>
      <c r="BW11" s="18">
        <v>19.48</v>
      </c>
      <c r="BX11" s="18">
        <v>2.29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434">
        <v>30.3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434">
        <v>22.01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4">
        <v>30.63</v>
      </c>
      <c r="DF11" s="434">
        <v>75.7</v>
      </c>
      <c r="DG11" s="434">
        <v>10.41</v>
      </c>
      <c r="DH11" s="434">
        <v>57.05</v>
      </c>
      <c r="DI11" s="337">
        <v>0</v>
      </c>
      <c r="DJ11" s="436">
        <v>19.63</v>
      </c>
      <c r="DK11" s="437">
        <v>83.11</v>
      </c>
      <c r="DL11" s="337">
        <v>0</v>
      </c>
      <c r="DM11" s="337">
        <v>0</v>
      </c>
      <c r="DN11" s="337">
        <v>0</v>
      </c>
      <c r="DO11" s="337">
        <v>0</v>
      </c>
      <c r="DP11" s="337">
        <v>0</v>
      </c>
      <c r="DQ11" s="337">
        <v>0</v>
      </c>
      <c r="DR11" s="337">
        <v>0</v>
      </c>
      <c r="DS11" s="337">
        <v>0</v>
      </c>
      <c r="DT11" s="337">
        <v>0</v>
      </c>
      <c r="DU11" s="337">
        <v>0</v>
      </c>
      <c r="DV11" s="337">
        <v>0</v>
      </c>
      <c r="DW11" s="337">
        <v>0</v>
      </c>
      <c r="DX11" s="337">
        <v>0</v>
      </c>
      <c r="DY11" s="337">
        <v>0</v>
      </c>
      <c r="DZ11" s="337">
        <v>0</v>
      </c>
      <c r="EA11" s="337">
        <v>0</v>
      </c>
      <c r="EB11" s="337">
        <v>0</v>
      </c>
      <c r="EC11" s="337">
        <v>0</v>
      </c>
      <c r="ED11" s="337">
        <v>0</v>
      </c>
      <c r="EE11" s="337">
        <v>0</v>
      </c>
      <c r="EF11" s="337">
        <v>0</v>
      </c>
      <c r="EG11" s="337">
        <v>0</v>
      </c>
      <c r="EH11" s="337">
        <v>0</v>
      </c>
      <c r="EI11" s="337">
        <v>0</v>
      </c>
      <c r="EJ11" s="337">
        <v>0</v>
      </c>
      <c r="EK11" s="337">
        <v>0</v>
      </c>
      <c r="EL11" s="337">
        <v>0</v>
      </c>
      <c r="EM11" s="337">
        <v>0</v>
      </c>
      <c r="EN11" s="337">
        <v>0</v>
      </c>
      <c r="EO11" s="337">
        <v>0.3</v>
      </c>
      <c r="EP11" s="337">
        <v>0</v>
      </c>
      <c r="EQ11" s="337">
        <v>0</v>
      </c>
      <c r="ER11" s="337">
        <v>0</v>
      </c>
      <c r="ES11" s="337">
        <v>8.4499999999999993</v>
      </c>
      <c r="ET11" s="337">
        <v>6.39</v>
      </c>
      <c r="EU11" s="337">
        <v>0</v>
      </c>
      <c r="EV11" s="337">
        <v>0</v>
      </c>
      <c r="EW11" s="337">
        <v>0</v>
      </c>
      <c r="EX11" s="337">
        <v>0</v>
      </c>
      <c r="EY11" s="337">
        <v>0</v>
      </c>
      <c r="EZ11" s="337">
        <v>0</v>
      </c>
      <c r="FA11" s="337">
        <v>170.79</v>
      </c>
      <c r="FB11" s="337">
        <v>-246.9</v>
      </c>
      <c r="FC11" s="337">
        <v>1372.42</v>
      </c>
      <c r="FD11" s="337">
        <v>1448.53</v>
      </c>
      <c r="FE11" s="19">
        <v>4</v>
      </c>
    </row>
    <row r="12" spans="1:161" s="20" customFormat="1" ht="19.5" customHeight="1">
      <c r="A12" s="19">
        <v>5</v>
      </c>
      <c r="B12" s="18">
        <v>270.52</v>
      </c>
      <c r="C12" s="18">
        <v>0</v>
      </c>
      <c r="D12" s="18">
        <v>36.729999999999997</v>
      </c>
      <c r="E12" s="18">
        <v>0</v>
      </c>
      <c r="F12" s="18">
        <v>4.01</v>
      </c>
      <c r="G12" s="18">
        <v>0</v>
      </c>
      <c r="H12" s="18">
        <v>0</v>
      </c>
      <c r="I12" s="18">
        <v>9.75</v>
      </c>
      <c r="J12" s="18">
        <v>15.81</v>
      </c>
      <c r="K12" s="18">
        <v>0</v>
      </c>
      <c r="L12" s="18">
        <v>9.86</v>
      </c>
      <c r="M12" s="18">
        <v>3.18</v>
      </c>
      <c r="N12" s="18">
        <v>1.04</v>
      </c>
      <c r="O12" s="18">
        <v>4.75</v>
      </c>
      <c r="P12" s="18">
        <v>16.059999999999999</v>
      </c>
      <c r="Q12" s="18">
        <v>2.25</v>
      </c>
      <c r="R12" s="18">
        <v>62.28</v>
      </c>
      <c r="S12" s="18">
        <v>103.14</v>
      </c>
      <c r="T12" s="18">
        <v>66.69</v>
      </c>
      <c r="U12" s="18">
        <v>46.97</v>
      </c>
      <c r="V12" s="18">
        <v>4.01</v>
      </c>
      <c r="W12" s="18">
        <v>4.2300000000000004</v>
      </c>
      <c r="X12" s="18">
        <v>7.87</v>
      </c>
      <c r="Y12" s="18">
        <v>7.77</v>
      </c>
      <c r="Z12" s="18">
        <v>90.72</v>
      </c>
      <c r="AA12" s="18">
        <v>57.42</v>
      </c>
      <c r="AB12" s="18">
        <v>1.98</v>
      </c>
      <c r="AC12" s="18">
        <v>11.33</v>
      </c>
      <c r="AD12" s="18">
        <v>5.95</v>
      </c>
      <c r="AE12" s="18">
        <v>55.4</v>
      </c>
      <c r="AF12" s="18">
        <v>0</v>
      </c>
      <c r="AG12" s="18">
        <v>1.83</v>
      </c>
      <c r="AH12" s="18">
        <v>2.04</v>
      </c>
      <c r="AI12" s="18">
        <v>0</v>
      </c>
      <c r="AJ12" s="18">
        <v>2.04</v>
      </c>
      <c r="AK12" s="18">
        <v>0.87</v>
      </c>
      <c r="AL12" s="18">
        <v>0</v>
      </c>
      <c r="AM12" s="18">
        <v>3.71</v>
      </c>
      <c r="AN12" s="18">
        <v>0</v>
      </c>
      <c r="AO12" s="18">
        <v>0</v>
      </c>
      <c r="AP12" s="18">
        <v>0.52</v>
      </c>
      <c r="AQ12" s="18">
        <v>0</v>
      </c>
      <c r="AR12" s="18">
        <v>0</v>
      </c>
      <c r="AS12" s="18">
        <v>24.89</v>
      </c>
      <c r="AT12" s="18">
        <v>53.26</v>
      </c>
      <c r="AU12" s="18">
        <v>0.69</v>
      </c>
      <c r="AV12" s="18">
        <v>4.03</v>
      </c>
      <c r="AW12" s="18">
        <v>0</v>
      </c>
      <c r="AX12" s="18">
        <v>8.3000000000000007</v>
      </c>
      <c r="AY12" s="18">
        <v>0</v>
      </c>
      <c r="AZ12" s="18">
        <v>2.6</v>
      </c>
      <c r="BA12" s="18">
        <v>0</v>
      </c>
      <c r="BB12" s="18">
        <v>2.2799999999999998</v>
      </c>
      <c r="BC12" s="18">
        <v>2.63</v>
      </c>
      <c r="BD12" s="18">
        <v>2.2000000000000002</v>
      </c>
      <c r="BE12" s="18">
        <v>0</v>
      </c>
      <c r="BF12" s="18">
        <v>0</v>
      </c>
      <c r="BG12" s="18">
        <v>1.59</v>
      </c>
      <c r="BH12" s="18">
        <v>15.25</v>
      </c>
      <c r="BI12" s="18">
        <v>15.1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48.2</v>
      </c>
      <c r="BV12" s="18">
        <v>16.2</v>
      </c>
      <c r="BW12" s="18">
        <v>23.65</v>
      </c>
      <c r="BX12" s="18">
        <v>1.26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434">
        <v>30.47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434">
        <v>23.01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4">
        <v>30.43</v>
      </c>
      <c r="DF12" s="434">
        <v>62.1</v>
      </c>
      <c r="DG12" s="434">
        <v>10.45</v>
      </c>
      <c r="DH12" s="434">
        <v>57.81</v>
      </c>
      <c r="DI12" s="337">
        <v>0</v>
      </c>
      <c r="DJ12" s="436">
        <v>19.829999999999998</v>
      </c>
      <c r="DK12" s="437">
        <v>77.3</v>
      </c>
      <c r="DL12" s="337">
        <v>0</v>
      </c>
      <c r="DM12" s="337">
        <v>0</v>
      </c>
      <c r="DN12" s="337">
        <v>0</v>
      </c>
      <c r="DO12" s="337">
        <v>0</v>
      </c>
      <c r="DP12" s="337">
        <v>0</v>
      </c>
      <c r="DQ12" s="337">
        <v>0</v>
      </c>
      <c r="DR12" s="337">
        <v>0</v>
      </c>
      <c r="DS12" s="337">
        <v>0</v>
      </c>
      <c r="DT12" s="337">
        <v>0</v>
      </c>
      <c r="DU12" s="337">
        <v>0</v>
      </c>
      <c r="DV12" s="337">
        <v>0</v>
      </c>
      <c r="DW12" s="436">
        <v>4.12</v>
      </c>
      <c r="DX12" s="436">
        <v>4.2300000000000004</v>
      </c>
      <c r="DY12" s="436">
        <v>4.07</v>
      </c>
      <c r="DZ12" s="337">
        <v>0</v>
      </c>
      <c r="EA12" s="337">
        <v>0</v>
      </c>
      <c r="EB12" s="337">
        <v>0</v>
      </c>
      <c r="EC12" s="337">
        <v>0</v>
      </c>
      <c r="ED12" s="337">
        <v>0</v>
      </c>
      <c r="EE12" s="337">
        <v>0</v>
      </c>
      <c r="EF12" s="337">
        <v>0</v>
      </c>
      <c r="EG12" s="337">
        <v>0</v>
      </c>
      <c r="EH12" s="337">
        <v>0</v>
      </c>
      <c r="EI12" s="337">
        <v>0</v>
      </c>
      <c r="EJ12" s="337">
        <v>0</v>
      </c>
      <c r="EK12" s="337">
        <v>0</v>
      </c>
      <c r="EL12" s="337">
        <v>0</v>
      </c>
      <c r="EM12" s="337">
        <v>0</v>
      </c>
      <c r="EN12" s="337">
        <v>0</v>
      </c>
      <c r="EO12" s="337">
        <v>0.3</v>
      </c>
      <c r="EP12" s="337">
        <v>0</v>
      </c>
      <c r="EQ12" s="337">
        <v>0</v>
      </c>
      <c r="ER12" s="337">
        <v>0</v>
      </c>
      <c r="ES12" s="337">
        <v>8.4499999999999993</v>
      </c>
      <c r="ET12" s="337">
        <v>6.36</v>
      </c>
      <c r="EU12" s="337">
        <v>0</v>
      </c>
      <c r="EV12" s="337">
        <v>0</v>
      </c>
      <c r="EW12" s="337">
        <v>0</v>
      </c>
      <c r="EX12" s="337">
        <v>0</v>
      </c>
      <c r="EY12" s="337">
        <v>0</v>
      </c>
      <c r="EZ12" s="337">
        <v>0</v>
      </c>
      <c r="FA12" s="337">
        <v>148.66999999999999</v>
      </c>
      <c r="FB12" s="337">
        <v>-243.1</v>
      </c>
      <c r="FC12" s="337">
        <v>1471.79</v>
      </c>
      <c r="FD12" s="337">
        <v>1566.22</v>
      </c>
      <c r="FE12" s="19">
        <v>5</v>
      </c>
    </row>
    <row r="13" spans="1:161" s="20" customFormat="1" ht="19.5" customHeight="1">
      <c r="A13" s="21">
        <v>6</v>
      </c>
      <c r="B13" s="18">
        <v>270.52</v>
      </c>
      <c r="C13" s="18">
        <v>50.05</v>
      </c>
      <c r="D13" s="18">
        <v>37.89</v>
      </c>
      <c r="E13" s="18">
        <v>0</v>
      </c>
      <c r="F13" s="18">
        <v>4.01</v>
      </c>
      <c r="G13" s="18">
        <v>0</v>
      </c>
      <c r="H13" s="18">
        <v>0</v>
      </c>
      <c r="I13" s="18">
        <v>9.76</v>
      </c>
      <c r="J13" s="18">
        <v>15.85</v>
      </c>
      <c r="K13" s="18">
        <v>0</v>
      </c>
      <c r="L13" s="18">
        <v>9.8699999999999992</v>
      </c>
      <c r="M13" s="18">
        <v>3.18</v>
      </c>
      <c r="N13" s="18">
        <v>1.05</v>
      </c>
      <c r="O13" s="18">
        <v>7.96</v>
      </c>
      <c r="P13" s="18">
        <v>20.260000000000002</v>
      </c>
      <c r="Q13" s="18">
        <v>3.88</v>
      </c>
      <c r="R13" s="18">
        <v>62.27</v>
      </c>
      <c r="S13" s="18">
        <v>102.77</v>
      </c>
      <c r="T13" s="18">
        <v>66.52</v>
      </c>
      <c r="U13" s="18">
        <v>49.08</v>
      </c>
      <c r="V13" s="18">
        <v>3.99</v>
      </c>
      <c r="W13" s="18">
        <v>4.3600000000000003</v>
      </c>
      <c r="X13" s="18">
        <v>11.71</v>
      </c>
      <c r="Y13" s="18">
        <v>10.67</v>
      </c>
      <c r="Z13" s="18">
        <v>94.27</v>
      </c>
      <c r="AA13" s="18">
        <v>56.96</v>
      </c>
      <c r="AB13" s="18">
        <v>1.99</v>
      </c>
      <c r="AC13" s="18">
        <v>12.78</v>
      </c>
      <c r="AD13" s="18">
        <v>8.73</v>
      </c>
      <c r="AE13" s="18">
        <v>76.13</v>
      </c>
      <c r="AF13" s="18">
        <v>0</v>
      </c>
      <c r="AG13" s="18">
        <v>1.93</v>
      </c>
      <c r="AH13" s="18">
        <v>2.0299999999999998</v>
      </c>
      <c r="AI13" s="18">
        <v>0</v>
      </c>
      <c r="AJ13" s="18">
        <v>2.04</v>
      </c>
      <c r="AK13" s="18">
        <v>0.82</v>
      </c>
      <c r="AL13" s="18">
        <v>0</v>
      </c>
      <c r="AM13" s="18">
        <v>7.83</v>
      </c>
      <c r="AN13" s="18">
        <v>0</v>
      </c>
      <c r="AO13" s="18">
        <v>0</v>
      </c>
      <c r="AP13" s="18">
        <v>0.54</v>
      </c>
      <c r="AQ13" s="18">
        <v>0</v>
      </c>
      <c r="AR13" s="18">
        <v>0</v>
      </c>
      <c r="AS13" s="18">
        <v>24.81</v>
      </c>
      <c r="AT13" s="18">
        <v>55.69</v>
      </c>
      <c r="AU13" s="18">
        <v>0.66</v>
      </c>
      <c r="AV13" s="18">
        <v>4.04</v>
      </c>
      <c r="AW13" s="18">
        <v>0</v>
      </c>
      <c r="AX13" s="18">
        <v>8.3000000000000007</v>
      </c>
      <c r="AY13" s="18">
        <v>0</v>
      </c>
      <c r="AZ13" s="18">
        <v>2.5299999999999998</v>
      </c>
      <c r="BA13" s="18">
        <v>0</v>
      </c>
      <c r="BB13" s="18">
        <v>2.37</v>
      </c>
      <c r="BC13" s="18">
        <v>2.62</v>
      </c>
      <c r="BD13" s="18">
        <v>2.2000000000000002</v>
      </c>
      <c r="BE13" s="18">
        <v>0</v>
      </c>
      <c r="BF13" s="18">
        <v>0</v>
      </c>
      <c r="BG13" s="18">
        <v>1.6</v>
      </c>
      <c r="BH13" s="18">
        <v>15.42</v>
      </c>
      <c r="BI13" s="18">
        <v>15.1</v>
      </c>
      <c r="BJ13" s="18">
        <v>0</v>
      </c>
      <c r="BK13" s="18">
        <v>0</v>
      </c>
      <c r="BL13" s="18">
        <v>0</v>
      </c>
      <c r="BM13" s="18">
        <v>0</v>
      </c>
      <c r="BN13" s="18">
        <v>0.21</v>
      </c>
      <c r="BO13" s="18">
        <v>0.33</v>
      </c>
      <c r="BP13" s="18">
        <v>0.32</v>
      </c>
      <c r="BQ13" s="18">
        <v>0</v>
      </c>
      <c r="BR13" s="18">
        <v>0.28000000000000003</v>
      </c>
      <c r="BS13" s="18">
        <v>0.17</v>
      </c>
      <c r="BT13" s="18">
        <v>0</v>
      </c>
      <c r="BU13" s="18">
        <v>31.5</v>
      </c>
      <c r="BV13" s="18">
        <v>15.3</v>
      </c>
      <c r="BW13" s="18">
        <v>19.5</v>
      </c>
      <c r="BX13" s="18">
        <v>3.76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434">
        <v>30.31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34">
        <v>23.01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4">
        <v>30.3</v>
      </c>
      <c r="DF13" s="434">
        <v>61.3</v>
      </c>
      <c r="DG13" s="434">
        <v>10.38</v>
      </c>
      <c r="DH13" s="434">
        <v>57.26</v>
      </c>
      <c r="DI13" s="337">
        <v>0</v>
      </c>
      <c r="DJ13" s="436">
        <v>19.75</v>
      </c>
      <c r="DK13" s="437">
        <v>95.99</v>
      </c>
      <c r="DL13" s="337">
        <v>0</v>
      </c>
      <c r="DM13" s="337">
        <v>0</v>
      </c>
      <c r="DN13" s="337">
        <v>0</v>
      </c>
      <c r="DO13" s="337">
        <v>0</v>
      </c>
      <c r="DP13" s="337">
        <v>0</v>
      </c>
      <c r="DQ13" s="337">
        <v>0</v>
      </c>
      <c r="DR13" s="337">
        <v>0</v>
      </c>
      <c r="DS13" s="337">
        <v>0</v>
      </c>
      <c r="DT13" s="337">
        <v>0</v>
      </c>
      <c r="DU13" s="337">
        <v>0</v>
      </c>
      <c r="DV13" s="337">
        <v>0</v>
      </c>
      <c r="DW13" s="436">
        <v>6.82</v>
      </c>
      <c r="DX13" s="436">
        <v>7.29</v>
      </c>
      <c r="DY13" s="436">
        <v>7.11</v>
      </c>
      <c r="DZ13" s="337">
        <v>0</v>
      </c>
      <c r="EA13" s="337">
        <v>0</v>
      </c>
      <c r="EB13" s="337">
        <v>0</v>
      </c>
      <c r="EC13" s="337">
        <v>0</v>
      </c>
      <c r="ED13" s="337">
        <v>0</v>
      </c>
      <c r="EE13" s="337">
        <v>0</v>
      </c>
      <c r="EF13" s="337">
        <v>0</v>
      </c>
      <c r="EG13" s="337">
        <v>0</v>
      </c>
      <c r="EH13" s="337">
        <v>0</v>
      </c>
      <c r="EI13" s="337">
        <v>0</v>
      </c>
      <c r="EJ13" s="337">
        <v>0</v>
      </c>
      <c r="EK13" s="337">
        <v>0</v>
      </c>
      <c r="EL13" s="337">
        <v>0</v>
      </c>
      <c r="EM13" s="337">
        <v>0</v>
      </c>
      <c r="EN13" s="337">
        <v>0</v>
      </c>
      <c r="EO13" s="337">
        <v>0.39</v>
      </c>
      <c r="EP13" s="337">
        <v>0</v>
      </c>
      <c r="EQ13" s="337">
        <v>0</v>
      </c>
      <c r="ER13" s="337">
        <v>0</v>
      </c>
      <c r="ES13" s="337">
        <v>8.4499999999999993</v>
      </c>
      <c r="ET13" s="337">
        <v>6.38</v>
      </c>
      <c r="EU13" s="337">
        <v>0</v>
      </c>
      <c r="EV13" s="337">
        <v>0</v>
      </c>
      <c r="EW13" s="337">
        <v>0</v>
      </c>
      <c r="EX13" s="337">
        <v>0</v>
      </c>
      <c r="EY13" s="337">
        <v>0</v>
      </c>
      <c r="EZ13" s="337">
        <v>0</v>
      </c>
      <c r="FA13" s="337">
        <v>165.69</v>
      </c>
      <c r="FB13" s="337">
        <v>-221.2</v>
      </c>
      <c r="FC13" s="337">
        <v>1583.15</v>
      </c>
      <c r="FD13" s="337">
        <v>1638.66</v>
      </c>
      <c r="FE13" s="21">
        <v>6</v>
      </c>
    </row>
    <row r="14" spans="1:161" s="20" customFormat="1" ht="19.5" customHeight="1">
      <c r="A14" s="19">
        <v>7</v>
      </c>
      <c r="B14" s="18">
        <v>250.88</v>
      </c>
      <c r="C14" s="18">
        <v>49.72</v>
      </c>
      <c r="D14" s="18">
        <v>27.49</v>
      </c>
      <c r="E14" s="18">
        <v>0</v>
      </c>
      <c r="F14" s="18">
        <v>4.0199999999999996</v>
      </c>
      <c r="G14" s="18">
        <v>0</v>
      </c>
      <c r="H14" s="18">
        <v>0</v>
      </c>
      <c r="I14" s="18">
        <v>9.76</v>
      </c>
      <c r="J14" s="18">
        <v>15.85</v>
      </c>
      <c r="K14" s="18">
        <v>0</v>
      </c>
      <c r="L14" s="18">
        <v>9.86</v>
      </c>
      <c r="M14" s="18">
        <v>3.18</v>
      </c>
      <c r="N14" s="18">
        <v>1.03</v>
      </c>
      <c r="O14" s="18">
        <v>2.65</v>
      </c>
      <c r="P14" s="18">
        <v>18.45</v>
      </c>
      <c r="Q14" s="18">
        <v>6.61</v>
      </c>
      <c r="R14" s="18">
        <v>60.37</v>
      </c>
      <c r="S14" s="18">
        <v>103.35</v>
      </c>
      <c r="T14" s="18">
        <v>65.73</v>
      </c>
      <c r="U14" s="18">
        <v>32.369999999999997</v>
      </c>
      <c r="V14" s="18">
        <v>3.99</v>
      </c>
      <c r="W14" s="18">
        <v>4.38</v>
      </c>
      <c r="X14" s="18">
        <v>13.67</v>
      </c>
      <c r="Y14" s="18">
        <v>11.82</v>
      </c>
      <c r="Z14" s="18">
        <v>54.01</v>
      </c>
      <c r="AA14" s="18">
        <v>43.28</v>
      </c>
      <c r="AB14" s="18">
        <v>1.99</v>
      </c>
      <c r="AC14" s="18">
        <v>11.18</v>
      </c>
      <c r="AD14" s="18">
        <v>9.4</v>
      </c>
      <c r="AE14" s="18">
        <v>75.31</v>
      </c>
      <c r="AF14" s="18">
        <v>0</v>
      </c>
      <c r="AG14" s="18">
        <v>1.94</v>
      </c>
      <c r="AH14" s="18">
        <v>2.0099999999999998</v>
      </c>
      <c r="AI14" s="18">
        <v>0</v>
      </c>
      <c r="AJ14" s="18">
        <v>2.02</v>
      </c>
      <c r="AK14" s="18">
        <v>0.45</v>
      </c>
      <c r="AL14" s="18">
        <v>0</v>
      </c>
      <c r="AM14" s="18">
        <v>2.68</v>
      </c>
      <c r="AN14" s="18">
        <v>0</v>
      </c>
      <c r="AO14" s="18">
        <v>0</v>
      </c>
      <c r="AP14" s="18">
        <v>0.56999999999999995</v>
      </c>
      <c r="AQ14" s="18">
        <v>0</v>
      </c>
      <c r="AR14" s="18">
        <v>0</v>
      </c>
      <c r="AS14" s="18">
        <v>24.84</v>
      </c>
      <c r="AT14" s="18">
        <v>36.65</v>
      </c>
      <c r="AU14" s="18">
        <v>0.65</v>
      </c>
      <c r="AV14" s="18">
        <v>7.07</v>
      </c>
      <c r="AW14" s="18">
        <v>0</v>
      </c>
      <c r="AX14" s="18">
        <v>8.1999999999999993</v>
      </c>
      <c r="AY14" s="18">
        <v>0</v>
      </c>
      <c r="AZ14" s="18">
        <v>2.58</v>
      </c>
      <c r="BA14" s="18">
        <v>0</v>
      </c>
      <c r="BB14" s="18">
        <v>2.4</v>
      </c>
      <c r="BC14" s="18">
        <v>2.65</v>
      </c>
      <c r="BD14" s="18">
        <v>2.2000000000000002</v>
      </c>
      <c r="BE14" s="18">
        <v>0</v>
      </c>
      <c r="BF14" s="18">
        <v>0</v>
      </c>
      <c r="BG14" s="18">
        <v>1.59</v>
      </c>
      <c r="BH14" s="18">
        <v>15.08</v>
      </c>
      <c r="BI14" s="18">
        <v>14.8</v>
      </c>
      <c r="BJ14" s="18">
        <v>0</v>
      </c>
      <c r="BK14" s="18">
        <v>0</v>
      </c>
      <c r="BL14" s="18">
        <v>18.46</v>
      </c>
      <c r="BM14" s="18">
        <v>16.86</v>
      </c>
      <c r="BN14" s="18">
        <v>27.52</v>
      </c>
      <c r="BO14" s="18">
        <v>24.5</v>
      </c>
      <c r="BP14" s="18">
        <v>17.79</v>
      </c>
      <c r="BQ14" s="18">
        <v>7.06</v>
      </c>
      <c r="BR14" s="18">
        <v>23.66</v>
      </c>
      <c r="BS14" s="18">
        <v>19.39</v>
      </c>
      <c r="BT14" s="18">
        <v>34.549999999999997</v>
      </c>
      <c r="BU14" s="18">
        <v>52.12</v>
      </c>
      <c r="BV14" s="18">
        <v>19</v>
      </c>
      <c r="BW14" s="18">
        <v>23.54</v>
      </c>
      <c r="BX14" s="18">
        <v>6.99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434">
        <v>31.25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4">
        <v>22.01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4">
        <v>30.57</v>
      </c>
      <c r="DF14" s="434">
        <v>64.400000000000006</v>
      </c>
      <c r="DG14" s="434">
        <v>10.23</v>
      </c>
      <c r="DH14" s="434">
        <v>57.61</v>
      </c>
      <c r="DI14" s="337">
        <v>0</v>
      </c>
      <c r="DJ14" s="436">
        <v>18.2</v>
      </c>
      <c r="DK14" s="437">
        <v>102.37</v>
      </c>
      <c r="DL14" s="337">
        <v>0</v>
      </c>
      <c r="DM14" s="337">
        <v>0</v>
      </c>
      <c r="DN14" s="337">
        <v>0</v>
      </c>
      <c r="DO14" s="337">
        <v>0</v>
      </c>
      <c r="DP14" s="337">
        <v>0</v>
      </c>
      <c r="DQ14" s="337">
        <v>0</v>
      </c>
      <c r="DR14" s="337">
        <v>0</v>
      </c>
      <c r="DS14" s="337">
        <v>0</v>
      </c>
      <c r="DT14" s="337">
        <v>0</v>
      </c>
      <c r="DU14" s="337">
        <v>0</v>
      </c>
      <c r="DV14" s="337">
        <v>0</v>
      </c>
      <c r="DW14" s="436">
        <v>4.17</v>
      </c>
      <c r="DX14" s="436">
        <v>4.26</v>
      </c>
      <c r="DY14" s="436">
        <v>4.47</v>
      </c>
      <c r="DZ14" s="337">
        <v>0</v>
      </c>
      <c r="EA14" s="337">
        <v>0</v>
      </c>
      <c r="EB14" s="337">
        <v>0</v>
      </c>
      <c r="EC14" s="337">
        <v>0</v>
      </c>
      <c r="ED14" s="337">
        <v>0</v>
      </c>
      <c r="EE14" s="337">
        <v>0</v>
      </c>
      <c r="EF14" s="337">
        <v>0</v>
      </c>
      <c r="EG14" s="337">
        <v>0</v>
      </c>
      <c r="EH14" s="436">
        <v>14.26</v>
      </c>
      <c r="EI14" s="337">
        <v>0</v>
      </c>
      <c r="EJ14" s="337">
        <v>0</v>
      </c>
      <c r="EK14" s="337">
        <v>0</v>
      </c>
      <c r="EL14" s="337">
        <v>0</v>
      </c>
      <c r="EM14" s="337">
        <v>0</v>
      </c>
      <c r="EN14" s="337">
        <v>0</v>
      </c>
      <c r="EO14" s="337">
        <v>0.21</v>
      </c>
      <c r="EP14" s="337">
        <v>0</v>
      </c>
      <c r="EQ14" s="337">
        <v>0</v>
      </c>
      <c r="ER14" s="337">
        <v>0</v>
      </c>
      <c r="ES14" s="337">
        <v>8.4600000000000009</v>
      </c>
      <c r="ET14" s="337">
        <v>6.27</v>
      </c>
      <c r="EU14" s="337">
        <v>0</v>
      </c>
      <c r="EV14" s="337">
        <v>0</v>
      </c>
      <c r="EW14" s="337">
        <v>0</v>
      </c>
      <c r="EX14" s="337">
        <v>0</v>
      </c>
      <c r="EY14" s="337">
        <v>0</v>
      </c>
      <c r="EZ14" s="337">
        <v>0</v>
      </c>
      <c r="FA14" s="337">
        <v>113.2</v>
      </c>
      <c r="FB14" s="337">
        <v>-205.8</v>
      </c>
      <c r="FC14" s="337">
        <v>1688.91</v>
      </c>
      <c r="FD14" s="337">
        <v>1781.51</v>
      </c>
      <c r="FE14" s="19">
        <v>7</v>
      </c>
    </row>
    <row r="15" spans="1:161" s="20" customFormat="1" ht="19.5" customHeight="1">
      <c r="A15" s="19">
        <v>8</v>
      </c>
      <c r="B15" s="18">
        <v>237.24</v>
      </c>
      <c r="C15" s="18">
        <v>0</v>
      </c>
      <c r="D15" s="18">
        <v>29.78</v>
      </c>
      <c r="E15" s="18">
        <v>0</v>
      </c>
      <c r="F15" s="18">
        <v>4.01</v>
      </c>
      <c r="G15" s="18">
        <v>0</v>
      </c>
      <c r="H15" s="18">
        <v>0</v>
      </c>
      <c r="I15" s="18">
        <v>9.85</v>
      </c>
      <c r="J15" s="18">
        <v>15.92</v>
      </c>
      <c r="K15" s="18">
        <v>0</v>
      </c>
      <c r="L15" s="18">
        <v>9.86</v>
      </c>
      <c r="M15" s="18">
        <v>3.21</v>
      </c>
      <c r="N15" s="18">
        <v>1.28</v>
      </c>
      <c r="O15" s="18">
        <v>2.65</v>
      </c>
      <c r="P15" s="18">
        <v>10.84</v>
      </c>
      <c r="Q15" s="18">
        <v>1.84</v>
      </c>
      <c r="R15" s="18">
        <v>60.38</v>
      </c>
      <c r="S15" s="18">
        <v>103.02</v>
      </c>
      <c r="T15" s="18">
        <v>65.12</v>
      </c>
      <c r="U15" s="18">
        <v>35.78</v>
      </c>
      <c r="V15" s="18">
        <v>3.99</v>
      </c>
      <c r="W15" s="18">
        <v>4.45</v>
      </c>
      <c r="X15" s="18">
        <v>13.74</v>
      </c>
      <c r="Y15" s="18">
        <v>11.8</v>
      </c>
      <c r="Z15" s="18">
        <v>79.75</v>
      </c>
      <c r="AA15" s="18">
        <v>34.03</v>
      </c>
      <c r="AB15" s="18">
        <v>3.36</v>
      </c>
      <c r="AC15" s="18">
        <v>11.07</v>
      </c>
      <c r="AD15" s="18">
        <v>9.24</v>
      </c>
      <c r="AE15" s="18">
        <v>41.3</v>
      </c>
      <c r="AF15" s="18">
        <v>0</v>
      </c>
      <c r="AG15" s="18">
        <v>1.93</v>
      </c>
      <c r="AH15" s="18">
        <v>2.04</v>
      </c>
      <c r="AI15" s="18">
        <v>0</v>
      </c>
      <c r="AJ15" s="18">
        <v>2.02</v>
      </c>
      <c r="AK15" s="18">
        <v>0.94</v>
      </c>
      <c r="AL15" s="18">
        <v>0</v>
      </c>
      <c r="AM15" s="18">
        <v>2.75</v>
      </c>
      <c r="AN15" s="18">
        <v>0</v>
      </c>
      <c r="AO15" s="18">
        <v>0</v>
      </c>
      <c r="AP15" s="18">
        <v>0.47</v>
      </c>
      <c r="AQ15" s="18">
        <v>0</v>
      </c>
      <c r="AR15" s="18">
        <v>0</v>
      </c>
      <c r="AS15" s="18">
        <v>24.8</v>
      </c>
      <c r="AT15" s="18">
        <v>40.57</v>
      </c>
      <c r="AU15" s="18">
        <v>0.65</v>
      </c>
      <c r="AV15" s="18">
        <v>7.06</v>
      </c>
      <c r="AW15" s="18">
        <v>0</v>
      </c>
      <c r="AX15" s="18">
        <v>8.3000000000000007</v>
      </c>
      <c r="AY15" s="18">
        <v>0</v>
      </c>
      <c r="AZ15" s="18">
        <v>2.5499999999999998</v>
      </c>
      <c r="BA15" s="18">
        <v>0</v>
      </c>
      <c r="BB15" s="18">
        <v>2.4900000000000002</v>
      </c>
      <c r="BC15" s="18">
        <v>2.65</v>
      </c>
      <c r="BD15" s="18">
        <v>2.2000000000000002</v>
      </c>
      <c r="BE15" s="18">
        <v>0</v>
      </c>
      <c r="BF15" s="18">
        <v>0</v>
      </c>
      <c r="BG15" s="18">
        <v>1.69</v>
      </c>
      <c r="BH15" s="18">
        <v>14.2</v>
      </c>
      <c r="BI15" s="18">
        <v>14.8</v>
      </c>
      <c r="BJ15" s="18">
        <v>0</v>
      </c>
      <c r="BK15" s="18">
        <v>0</v>
      </c>
      <c r="BL15" s="18">
        <v>42.52</v>
      </c>
      <c r="BM15" s="18">
        <v>25.85</v>
      </c>
      <c r="BN15" s="18">
        <v>50.67</v>
      </c>
      <c r="BO15" s="18">
        <v>48.63</v>
      </c>
      <c r="BP15" s="18">
        <v>38.31</v>
      </c>
      <c r="BQ15" s="18">
        <v>7.41</v>
      </c>
      <c r="BR15" s="18">
        <v>23.49</v>
      </c>
      <c r="BS15" s="18">
        <v>41.32</v>
      </c>
      <c r="BT15" s="18">
        <v>70.58</v>
      </c>
      <c r="BU15" s="18">
        <v>50.64</v>
      </c>
      <c r="BV15" s="18">
        <v>19.899999999999999</v>
      </c>
      <c r="BW15" s="18">
        <v>19.36</v>
      </c>
      <c r="BX15" s="18">
        <v>9.01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434">
        <v>30.63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4">
        <v>22.01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4">
        <v>30.34</v>
      </c>
      <c r="DF15" s="434">
        <v>63</v>
      </c>
      <c r="DG15" s="434">
        <v>10.48</v>
      </c>
      <c r="DH15" s="434">
        <v>57.15</v>
      </c>
      <c r="DI15" s="337">
        <v>0</v>
      </c>
      <c r="DJ15" s="436">
        <v>17.89</v>
      </c>
      <c r="DK15" s="437">
        <v>78.56</v>
      </c>
      <c r="DL15" s="337">
        <v>0</v>
      </c>
      <c r="DM15" s="337">
        <v>0</v>
      </c>
      <c r="DN15" s="337">
        <v>0</v>
      </c>
      <c r="DO15" s="337">
        <v>0</v>
      </c>
      <c r="DP15" s="337">
        <v>0</v>
      </c>
      <c r="DQ15" s="337">
        <v>0</v>
      </c>
      <c r="DR15" s="337">
        <v>0</v>
      </c>
      <c r="DS15" s="337">
        <v>0</v>
      </c>
      <c r="DT15" s="337">
        <v>0</v>
      </c>
      <c r="DU15" s="337">
        <v>0</v>
      </c>
      <c r="DV15" s="337">
        <v>0</v>
      </c>
      <c r="DW15" s="436">
        <v>4.16</v>
      </c>
      <c r="DX15" s="436">
        <v>4.29</v>
      </c>
      <c r="DY15" s="436">
        <v>4.3499999999999996</v>
      </c>
      <c r="DZ15" s="337">
        <v>0</v>
      </c>
      <c r="EA15" s="337">
        <v>0</v>
      </c>
      <c r="EB15" s="337">
        <v>0</v>
      </c>
      <c r="EC15" s="337">
        <v>0</v>
      </c>
      <c r="ED15" s="337">
        <v>0</v>
      </c>
      <c r="EE15" s="337">
        <v>0</v>
      </c>
      <c r="EF15" s="337">
        <v>0</v>
      </c>
      <c r="EG15" s="337">
        <v>0</v>
      </c>
      <c r="EH15" s="436">
        <v>14.58</v>
      </c>
      <c r="EI15" s="337">
        <v>0</v>
      </c>
      <c r="EJ15" s="337">
        <v>0</v>
      </c>
      <c r="EK15" s="337">
        <v>0</v>
      </c>
      <c r="EL15" s="337">
        <v>0</v>
      </c>
      <c r="EM15" s="337">
        <v>0</v>
      </c>
      <c r="EN15" s="337">
        <v>0</v>
      </c>
      <c r="EO15" s="337">
        <v>0.28999999999999998</v>
      </c>
      <c r="EP15" s="337">
        <v>0</v>
      </c>
      <c r="EQ15" s="337">
        <v>0</v>
      </c>
      <c r="ER15" s="337">
        <v>0</v>
      </c>
      <c r="ES15" s="337">
        <v>8.4700000000000006</v>
      </c>
      <c r="ET15" s="337">
        <v>6.37</v>
      </c>
      <c r="EU15" s="337">
        <v>0</v>
      </c>
      <c r="EV15" s="337">
        <v>0</v>
      </c>
      <c r="EW15" s="337">
        <v>0</v>
      </c>
      <c r="EX15" s="337">
        <v>0</v>
      </c>
      <c r="EY15" s="337">
        <v>0</v>
      </c>
      <c r="EZ15" s="337">
        <v>0</v>
      </c>
      <c r="FA15" s="337">
        <v>203.4</v>
      </c>
      <c r="FB15" s="337">
        <v>-313.8</v>
      </c>
      <c r="FC15" s="337">
        <v>1735.88</v>
      </c>
      <c r="FD15" s="337">
        <v>1846.28</v>
      </c>
      <c r="FE15" s="19">
        <v>8</v>
      </c>
    </row>
    <row r="16" spans="1:161" s="20" customFormat="1" ht="19.5" customHeight="1">
      <c r="A16" s="19">
        <v>9</v>
      </c>
      <c r="B16" s="18">
        <v>261.52999999999997</v>
      </c>
      <c r="C16" s="18">
        <v>0</v>
      </c>
      <c r="D16" s="18">
        <v>30.58</v>
      </c>
      <c r="E16" s="18">
        <v>0</v>
      </c>
      <c r="F16" s="18">
        <v>4.0199999999999996</v>
      </c>
      <c r="G16" s="18">
        <v>0</v>
      </c>
      <c r="H16" s="18">
        <v>0</v>
      </c>
      <c r="I16" s="18">
        <v>9.83</v>
      </c>
      <c r="J16" s="18">
        <v>15.87</v>
      </c>
      <c r="K16" s="18">
        <v>0</v>
      </c>
      <c r="L16" s="18">
        <v>9.86</v>
      </c>
      <c r="M16" s="18">
        <v>3.18</v>
      </c>
      <c r="N16" s="18">
        <v>1.27</v>
      </c>
      <c r="O16" s="18">
        <v>2.65</v>
      </c>
      <c r="P16" s="18">
        <v>9.85</v>
      </c>
      <c r="Q16" s="18">
        <v>1.84</v>
      </c>
      <c r="R16" s="18">
        <v>60.63</v>
      </c>
      <c r="S16" s="18">
        <v>103.51</v>
      </c>
      <c r="T16" s="18">
        <v>65.63</v>
      </c>
      <c r="U16" s="18">
        <v>31.67</v>
      </c>
      <c r="V16" s="18">
        <v>4</v>
      </c>
      <c r="W16" s="18">
        <v>4.3899999999999997</v>
      </c>
      <c r="X16" s="18">
        <v>7.96</v>
      </c>
      <c r="Y16" s="18">
        <v>6.66</v>
      </c>
      <c r="Z16" s="18">
        <v>78.44</v>
      </c>
      <c r="AA16" s="18">
        <v>35.18</v>
      </c>
      <c r="AB16" s="18">
        <v>3.36</v>
      </c>
      <c r="AC16" s="18">
        <v>7.75</v>
      </c>
      <c r="AD16" s="18">
        <v>4.0599999999999996</v>
      </c>
      <c r="AE16" s="18">
        <v>55.69</v>
      </c>
      <c r="AF16" s="18">
        <v>0</v>
      </c>
      <c r="AG16" s="18">
        <v>1.88</v>
      </c>
      <c r="AH16" s="18">
        <v>2.04</v>
      </c>
      <c r="AI16" s="18">
        <v>0</v>
      </c>
      <c r="AJ16" s="18">
        <v>2</v>
      </c>
      <c r="AK16" s="18">
        <v>0.87</v>
      </c>
      <c r="AL16" s="18">
        <v>0</v>
      </c>
      <c r="AM16" s="18">
        <v>2.73</v>
      </c>
      <c r="AN16" s="18">
        <v>0</v>
      </c>
      <c r="AO16" s="18">
        <v>0</v>
      </c>
      <c r="AP16" s="18">
        <v>0.56999999999999995</v>
      </c>
      <c r="AQ16" s="18">
        <v>0</v>
      </c>
      <c r="AR16" s="18">
        <v>0</v>
      </c>
      <c r="AS16" s="18">
        <v>24.78</v>
      </c>
      <c r="AT16" s="18">
        <v>40.229999999999997</v>
      </c>
      <c r="AU16" s="18">
        <v>0.69</v>
      </c>
      <c r="AV16" s="18">
        <v>7.03</v>
      </c>
      <c r="AW16" s="18">
        <v>8.5</v>
      </c>
      <c r="AX16" s="18">
        <v>8.3000000000000007</v>
      </c>
      <c r="AY16" s="18">
        <v>0</v>
      </c>
      <c r="AZ16" s="18">
        <v>2.5099999999999998</v>
      </c>
      <c r="BA16" s="18">
        <v>1.02</v>
      </c>
      <c r="BB16" s="18">
        <v>2.46</v>
      </c>
      <c r="BC16" s="18">
        <v>2.64</v>
      </c>
      <c r="BD16" s="18">
        <v>2.2000000000000002</v>
      </c>
      <c r="BE16" s="18">
        <v>0</v>
      </c>
      <c r="BF16" s="18">
        <v>0</v>
      </c>
      <c r="BG16" s="18">
        <v>1.71</v>
      </c>
      <c r="BH16" s="18">
        <v>14.64</v>
      </c>
      <c r="BI16" s="18">
        <v>14.5</v>
      </c>
      <c r="BJ16" s="18">
        <v>0</v>
      </c>
      <c r="BK16" s="18">
        <v>0</v>
      </c>
      <c r="BL16" s="18">
        <v>44.18</v>
      </c>
      <c r="BM16" s="18">
        <v>23.79</v>
      </c>
      <c r="BN16" s="18">
        <v>40.49</v>
      </c>
      <c r="BO16" s="18">
        <v>48.08</v>
      </c>
      <c r="BP16" s="18">
        <v>53.71</v>
      </c>
      <c r="BQ16" s="18">
        <v>10.27</v>
      </c>
      <c r="BR16" s="18">
        <v>33.29</v>
      </c>
      <c r="BS16" s="18">
        <v>47.91</v>
      </c>
      <c r="BT16" s="18">
        <v>86.1</v>
      </c>
      <c r="BU16" s="18">
        <v>48.39</v>
      </c>
      <c r="BV16" s="18">
        <v>11.9</v>
      </c>
      <c r="BW16" s="18">
        <v>24.68</v>
      </c>
      <c r="BX16" s="18">
        <v>13.42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4">
        <v>30.42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4">
        <v>22.01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4">
        <v>29.83</v>
      </c>
      <c r="DF16" s="434">
        <v>63.3</v>
      </c>
      <c r="DG16" s="434">
        <v>10.83</v>
      </c>
      <c r="DH16" s="434">
        <v>57.03</v>
      </c>
      <c r="DI16" s="337">
        <v>0</v>
      </c>
      <c r="DJ16" s="436">
        <v>19.510000000000002</v>
      </c>
      <c r="DK16" s="437">
        <v>67.14</v>
      </c>
      <c r="DL16" s="337">
        <v>0</v>
      </c>
      <c r="DM16" s="337">
        <v>0</v>
      </c>
      <c r="DN16" s="337">
        <v>0</v>
      </c>
      <c r="DO16" s="337">
        <v>0</v>
      </c>
      <c r="DP16" s="337">
        <v>0</v>
      </c>
      <c r="DQ16" s="337">
        <v>0</v>
      </c>
      <c r="DR16" s="337">
        <v>0</v>
      </c>
      <c r="DS16" s="337">
        <v>0</v>
      </c>
      <c r="DT16" s="337">
        <v>0</v>
      </c>
      <c r="DU16" s="337">
        <v>0</v>
      </c>
      <c r="DV16" s="337">
        <v>0</v>
      </c>
      <c r="DW16" s="337">
        <v>0</v>
      </c>
      <c r="DX16" s="337">
        <v>0</v>
      </c>
      <c r="DY16" s="436">
        <v>4.08</v>
      </c>
      <c r="DZ16" s="337">
        <v>0</v>
      </c>
      <c r="EA16" s="337">
        <v>0</v>
      </c>
      <c r="EB16" s="337">
        <v>0</v>
      </c>
      <c r="EC16" s="337">
        <v>0</v>
      </c>
      <c r="ED16" s="337">
        <v>0</v>
      </c>
      <c r="EE16" s="337">
        <v>0</v>
      </c>
      <c r="EF16" s="337">
        <v>0</v>
      </c>
      <c r="EG16" s="337">
        <v>0</v>
      </c>
      <c r="EH16" s="436">
        <v>0</v>
      </c>
      <c r="EI16" s="337">
        <v>0</v>
      </c>
      <c r="EJ16" s="337">
        <v>0</v>
      </c>
      <c r="EK16" s="337">
        <v>0</v>
      </c>
      <c r="EL16" s="337">
        <v>0</v>
      </c>
      <c r="EM16" s="337">
        <v>0</v>
      </c>
      <c r="EN16" s="337">
        <v>0</v>
      </c>
      <c r="EO16" s="337">
        <v>0</v>
      </c>
      <c r="EP16" s="337">
        <v>0</v>
      </c>
      <c r="EQ16" s="337">
        <v>0</v>
      </c>
      <c r="ER16" s="337">
        <v>0</v>
      </c>
      <c r="ES16" s="337">
        <v>8.4499999999999993</v>
      </c>
      <c r="ET16" s="337">
        <v>1.36</v>
      </c>
      <c r="EU16" s="337">
        <v>0</v>
      </c>
      <c r="EV16" s="337">
        <v>0</v>
      </c>
      <c r="EW16" s="337">
        <v>0</v>
      </c>
      <c r="EX16" s="337">
        <v>0</v>
      </c>
      <c r="EY16" s="337">
        <v>0</v>
      </c>
      <c r="EZ16" s="337">
        <v>0</v>
      </c>
      <c r="FA16" s="337">
        <v>153.24</v>
      </c>
      <c r="FB16" s="337">
        <v>-265</v>
      </c>
      <c r="FC16" s="337">
        <v>1760.88</v>
      </c>
      <c r="FD16" s="337">
        <v>1872.64</v>
      </c>
      <c r="FE16" s="19">
        <v>9</v>
      </c>
    </row>
    <row r="17" spans="1:161" s="20" customFormat="1" ht="19.5" customHeight="1">
      <c r="A17" s="21">
        <v>10</v>
      </c>
      <c r="B17" s="18">
        <v>261.52</v>
      </c>
      <c r="C17" s="18">
        <v>0</v>
      </c>
      <c r="D17" s="18">
        <v>32.869999999999997</v>
      </c>
      <c r="E17" s="18">
        <v>0</v>
      </c>
      <c r="F17" s="18">
        <v>4.01</v>
      </c>
      <c r="G17" s="18">
        <v>0</v>
      </c>
      <c r="H17" s="18">
        <v>0</v>
      </c>
      <c r="I17" s="18">
        <v>9.84</v>
      </c>
      <c r="J17" s="18">
        <v>15.91</v>
      </c>
      <c r="K17" s="18">
        <v>0</v>
      </c>
      <c r="L17" s="18">
        <v>9.86</v>
      </c>
      <c r="M17" s="18">
        <v>3.23</v>
      </c>
      <c r="N17" s="18">
        <v>1.62</v>
      </c>
      <c r="O17" s="18">
        <v>2.67</v>
      </c>
      <c r="P17" s="18">
        <v>10.18</v>
      </c>
      <c r="Q17" s="18">
        <v>1.85</v>
      </c>
      <c r="R17" s="18">
        <v>60.62</v>
      </c>
      <c r="S17" s="18">
        <v>103.04</v>
      </c>
      <c r="T17" s="18">
        <v>65.569999999999993</v>
      </c>
      <c r="U17" s="18">
        <v>41.03</v>
      </c>
      <c r="V17" s="18">
        <v>3.98</v>
      </c>
      <c r="W17" s="18">
        <v>4.43</v>
      </c>
      <c r="X17" s="18">
        <v>5.85</v>
      </c>
      <c r="Y17" s="18">
        <v>6.73</v>
      </c>
      <c r="Z17" s="18">
        <v>84.55</v>
      </c>
      <c r="AA17" s="18">
        <v>42.21</v>
      </c>
      <c r="AB17" s="18">
        <v>3.36</v>
      </c>
      <c r="AC17" s="18">
        <v>11.55</v>
      </c>
      <c r="AD17" s="18">
        <v>4.07</v>
      </c>
      <c r="AE17" s="18">
        <v>43.21</v>
      </c>
      <c r="AF17" s="18">
        <v>0</v>
      </c>
      <c r="AG17" s="18">
        <v>1.9</v>
      </c>
      <c r="AH17" s="18">
        <v>2.04</v>
      </c>
      <c r="AI17" s="18">
        <v>0</v>
      </c>
      <c r="AJ17" s="18">
        <v>2</v>
      </c>
      <c r="AK17" s="18">
        <v>0.78</v>
      </c>
      <c r="AL17" s="18">
        <v>0</v>
      </c>
      <c r="AM17" s="18">
        <v>3.3</v>
      </c>
      <c r="AN17" s="18">
        <v>0</v>
      </c>
      <c r="AO17" s="18">
        <v>0</v>
      </c>
      <c r="AP17" s="18">
        <v>0.6</v>
      </c>
      <c r="AQ17" s="18">
        <v>0</v>
      </c>
      <c r="AR17" s="18">
        <v>0</v>
      </c>
      <c r="AS17" s="18">
        <v>24.76</v>
      </c>
      <c r="AT17" s="18">
        <v>45.67</v>
      </c>
      <c r="AU17" s="18">
        <v>0.76</v>
      </c>
      <c r="AV17" s="18">
        <v>7.06</v>
      </c>
      <c r="AW17" s="18">
        <v>7.87</v>
      </c>
      <c r="AX17" s="18">
        <v>8.4</v>
      </c>
      <c r="AY17" s="18">
        <v>0</v>
      </c>
      <c r="AZ17" s="18">
        <v>2.5499999999999998</v>
      </c>
      <c r="BA17" s="18">
        <v>0.99</v>
      </c>
      <c r="BB17" s="18">
        <v>2.44</v>
      </c>
      <c r="BC17" s="18">
        <v>0</v>
      </c>
      <c r="BD17" s="18">
        <v>2.2000000000000002</v>
      </c>
      <c r="BE17" s="18">
        <v>0</v>
      </c>
      <c r="BF17" s="18">
        <v>0</v>
      </c>
      <c r="BG17" s="18">
        <v>1.7</v>
      </c>
      <c r="BH17" s="18">
        <v>14.7</v>
      </c>
      <c r="BI17" s="18">
        <v>14.2</v>
      </c>
      <c r="BJ17" s="18">
        <v>0</v>
      </c>
      <c r="BK17" s="18">
        <v>0</v>
      </c>
      <c r="BL17" s="18">
        <v>34.86</v>
      </c>
      <c r="BM17" s="18">
        <v>24.53</v>
      </c>
      <c r="BN17" s="18">
        <v>32.21</v>
      </c>
      <c r="BO17" s="18">
        <v>41.97</v>
      </c>
      <c r="BP17" s="18">
        <v>75.39</v>
      </c>
      <c r="BQ17" s="18">
        <v>6.43</v>
      </c>
      <c r="BR17" s="18">
        <v>44.11</v>
      </c>
      <c r="BS17" s="18">
        <v>38.49</v>
      </c>
      <c r="BT17" s="18">
        <v>81.260000000000005</v>
      </c>
      <c r="BU17" s="18">
        <v>44.79</v>
      </c>
      <c r="BV17" s="18">
        <v>15.6</v>
      </c>
      <c r="BW17" s="18">
        <v>21.19</v>
      </c>
      <c r="BX17" s="18">
        <v>6.91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4">
        <v>30.75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4">
        <v>22.01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4">
        <v>30.22</v>
      </c>
      <c r="DF17" s="434">
        <v>62.8</v>
      </c>
      <c r="DG17" s="434">
        <v>10.6</v>
      </c>
      <c r="DH17" s="434">
        <v>56.93</v>
      </c>
      <c r="DI17" s="337">
        <v>0</v>
      </c>
      <c r="DJ17" s="436">
        <v>18.11</v>
      </c>
      <c r="DK17" s="437">
        <v>67</v>
      </c>
      <c r="DL17" s="337">
        <v>0</v>
      </c>
      <c r="DM17" s="337">
        <v>0</v>
      </c>
      <c r="DN17" s="337">
        <v>0</v>
      </c>
      <c r="DO17" s="337">
        <v>0</v>
      </c>
      <c r="DP17" s="337">
        <v>0</v>
      </c>
      <c r="DQ17" s="337">
        <v>0</v>
      </c>
      <c r="DR17" s="337">
        <v>0</v>
      </c>
      <c r="DS17" s="337">
        <v>0</v>
      </c>
      <c r="DT17" s="337">
        <v>0</v>
      </c>
      <c r="DU17" s="337">
        <v>0</v>
      </c>
      <c r="DV17" s="337">
        <v>0</v>
      </c>
      <c r="DW17" s="337">
        <v>0</v>
      </c>
      <c r="DX17" s="337">
        <v>0</v>
      </c>
      <c r="DY17" s="436">
        <v>4.43</v>
      </c>
      <c r="DZ17" s="337">
        <v>0</v>
      </c>
      <c r="EA17" s="337">
        <v>0</v>
      </c>
      <c r="EB17" s="337">
        <v>0</v>
      </c>
      <c r="EC17" s="337">
        <v>0</v>
      </c>
      <c r="ED17" s="337">
        <v>0</v>
      </c>
      <c r="EE17" s="337">
        <v>0</v>
      </c>
      <c r="EF17" s="337">
        <v>0</v>
      </c>
      <c r="EG17" s="337">
        <v>0</v>
      </c>
      <c r="EH17" s="337">
        <v>0</v>
      </c>
      <c r="EI17" s="436">
        <v>4.28</v>
      </c>
      <c r="EJ17" s="436">
        <v>5.73</v>
      </c>
      <c r="EK17" s="337">
        <v>0</v>
      </c>
      <c r="EL17" s="337">
        <v>0</v>
      </c>
      <c r="EM17" s="337">
        <v>0</v>
      </c>
      <c r="EN17" s="337">
        <v>0</v>
      </c>
      <c r="EO17" s="337">
        <v>0</v>
      </c>
      <c r="EP17" s="337">
        <v>0</v>
      </c>
      <c r="EQ17" s="337">
        <v>0</v>
      </c>
      <c r="ER17" s="337">
        <v>0</v>
      </c>
      <c r="ES17" s="337">
        <v>8.4700000000000006</v>
      </c>
      <c r="ET17" s="337">
        <v>6.4</v>
      </c>
      <c r="EU17" s="337">
        <v>0</v>
      </c>
      <c r="EV17" s="337">
        <v>0</v>
      </c>
      <c r="EW17" s="337">
        <v>0</v>
      </c>
      <c r="EX17" s="337">
        <v>0</v>
      </c>
      <c r="EY17" s="337">
        <v>0</v>
      </c>
      <c r="EZ17" s="337">
        <v>0</v>
      </c>
      <c r="FA17" s="337">
        <v>156.63</v>
      </c>
      <c r="FB17" s="337">
        <v>-285.2</v>
      </c>
      <c r="FC17" s="337">
        <v>1773.15</v>
      </c>
      <c r="FD17" s="337">
        <v>1901.72</v>
      </c>
      <c r="FE17" s="21">
        <v>10</v>
      </c>
    </row>
    <row r="18" spans="1:161" s="20" customFormat="1" ht="19.5" customHeight="1">
      <c r="A18" s="19">
        <v>10.15</v>
      </c>
      <c r="B18" s="18">
        <v>238.91</v>
      </c>
      <c r="C18" s="18">
        <v>0</v>
      </c>
      <c r="D18" s="18">
        <v>27.35</v>
      </c>
      <c r="E18" s="18">
        <v>0</v>
      </c>
      <c r="F18" s="18">
        <v>4.01</v>
      </c>
      <c r="G18" s="18">
        <v>0</v>
      </c>
      <c r="H18" s="18">
        <v>0</v>
      </c>
      <c r="I18" s="18">
        <v>9.84</v>
      </c>
      <c r="J18" s="18">
        <v>15.92</v>
      </c>
      <c r="K18" s="18">
        <v>0</v>
      </c>
      <c r="L18" s="18">
        <v>9.86</v>
      </c>
      <c r="M18" s="18">
        <v>3.23</v>
      </c>
      <c r="N18" s="18">
        <v>2.44</v>
      </c>
      <c r="O18" s="18">
        <v>2.68</v>
      </c>
      <c r="P18" s="18">
        <v>10.14</v>
      </c>
      <c r="Q18" s="18">
        <v>1.84</v>
      </c>
      <c r="R18" s="18">
        <v>60.48</v>
      </c>
      <c r="S18" s="18">
        <v>103.26</v>
      </c>
      <c r="T18" s="18">
        <v>65.819999999999993</v>
      </c>
      <c r="U18" s="18">
        <v>30.68</v>
      </c>
      <c r="V18" s="18">
        <v>3.98</v>
      </c>
      <c r="W18" s="18">
        <v>4.33</v>
      </c>
      <c r="X18" s="18">
        <v>9.7799999999999994</v>
      </c>
      <c r="Y18" s="18">
        <v>9.7200000000000006</v>
      </c>
      <c r="Z18" s="18">
        <v>72.959999999999994</v>
      </c>
      <c r="AA18" s="18">
        <v>55.19</v>
      </c>
      <c r="AB18" s="18">
        <v>3.37</v>
      </c>
      <c r="AC18" s="18">
        <v>11.65</v>
      </c>
      <c r="AD18" s="18">
        <v>0.93</v>
      </c>
      <c r="AE18" s="18">
        <v>40.04</v>
      </c>
      <c r="AF18" s="18">
        <v>3.68</v>
      </c>
      <c r="AG18" s="18">
        <v>1.98</v>
      </c>
      <c r="AH18" s="18">
        <v>2.0299999999999998</v>
      </c>
      <c r="AI18" s="18">
        <v>0</v>
      </c>
      <c r="AJ18" s="18">
        <v>2</v>
      </c>
      <c r="AK18" s="18">
        <v>0.79</v>
      </c>
      <c r="AL18" s="18">
        <v>0</v>
      </c>
      <c r="AM18" s="18">
        <v>3.14</v>
      </c>
      <c r="AN18" s="18">
        <v>0</v>
      </c>
      <c r="AO18" s="18">
        <v>0</v>
      </c>
      <c r="AP18" s="18">
        <v>0.54</v>
      </c>
      <c r="AQ18" s="18">
        <v>0</v>
      </c>
      <c r="AR18" s="18">
        <v>0</v>
      </c>
      <c r="AS18" s="18">
        <v>24.74</v>
      </c>
      <c r="AT18" s="18">
        <v>35.380000000000003</v>
      </c>
      <c r="AU18" s="18">
        <v>0.76</v>
      </c>
      <c r="AV18" s="18">
        <v>7.04</v>
      </c>
      <c r="AW18" s="18">
        <v>8.75</v>
      </c>
      <c r="AX18" s="18">
        <v>8.3000000000000007</v>
      </c>
      <c r="AY18" s="18">
        <v>0</v>
      </c>
      <c r="AZ18" s="18">
        <v>2.5</v>
      </c>
      <c r="BA18" s="18">
        <v>0.98</v>
      </c>
      <c r="BB18" s="18">
        <v>2.44</v>
      </c>
      <c r="BC18" s="18">
        <v>2.7</v>
      </c>
      <c r="BD18" s="18">
        <v>2.2000000000000002</v>
      </c>
      <c r="BE18" s="18">
        <v>0</v>
      </c>
      <c r="BF18" s="18">
        <v>0</v>
      </c>
      <c r="BG18" s="18">
        <v>1.7</v>
      </c>
      <c r="BH18" s="18">
        <v>14.22</v>
      </c>
      <c r="BI18" s="18">
        <v>14.4</v>
      </c>
      <c r="BJ18" s="18">
        <v>0</v>
      </c>
      <c r="BK18" s="18">
        <v>0</v>
      </c>
      <c r="BL18" s="18">
        <v>47.71</v>
      </c>
      <c r="BM18" s="18">
        <v>29.72</v>
      </c>
      <c r="BN18" s="18">
        <v>61.04</v>
      </c>
      <c r="BO18" s="18">
        <v>45.96</v>
      </c>
      <c r="BP18" s="18">
        <v>71.2</v>
      </c>
      <c r="BQ18" s="18">
        <v>8.6999999999999993</v>
      </c>
      <c r="BR18" s="18">
        <v>39.81</v>
      </c>
      <c r="BS18" s="18">
        <v>39.6</v>
      </c>
      <c r="BT18" s="18">
        <v>70.260000000000005</v>
      </c>
      <c r="BU18" s="18">
        <v>39.83</v>
      </c>
      <c r="BV18" s="18">
        <v>16.7</v>
      </c>
      <c r="BW18" s="18">
        <v>21.82</v>
      </c>
      <c r="BX18" s="18">
        <v>7.42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4">
        <v>30.35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4">
        <v>25.01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4">
        <v>30.75</v>
      </c>
      <c r="DF18" s="434">
        <v>62.9</v>
      </c>
      <c r="DG18" s="434">
        <v>10.37</v>
      </c>
      <c r="DH18" s="434">
        <v>56.85</v>
      </c>
      <c r="DI18" s="337">
        <v>0</v>
      </c>
      <c r="DJ18" s="436">
        <v>18.11</v>
      </c>
      <c r="DK18" s="437">
        <v>67.63</v>
      </c>
      <c r="DL18" s="337">
        <v>0</v>
      </c>
      <c r="DM18" s="337">
        <v>0</v>
      </c>
      <c r="DN18" s="337">
        <v>0</v>
      </c>
      <c r="DO18" s="337">
        <v>0</v>
      </c>
      <c r="DP18" s="337">
        <v>0</v>
      </c>
      <c r="DQ18" s="337">
        <v>0</v>
      </c>
      <c r="DR18" s="337">
        <v>0</v>
      </c>
      <c r="DS18" s="337">
        <v>0</v>
      </c>
      <c r="DT18" s="337">
        <v>0</v>
      </c>
      <c r="DU18" s="337">
        <v>0</v>
      </c>
      <c r="DV18" s="337">
        <v>0</v>
      </c>
      <c r="DW18" s="337">
        <v>0</v>
      </c>
      <c r="DX18" s="337">
        <v>0</v>
      </c>
      <c r="DY18" s="337">
        <v>0</v>
      </c>
      <c r="DZ18" s="337">
        <v>0</v>
      </c>
      <c r="EA18" s="337">
        <v>0</v>
      </c>
      <c r="EB18" s="337">
        <v>0</v>
      </c>
      <c r="EC18" s="337">
        <v>0</v>
      </c>
      <c r="ED18" s="337">
        <v>0</v>
      </c>
      <c r="EE18" s="337">
        <v>0</v>
      </c>
      <c r="EF18" s="337">
        <v>0</v>
      </c>
      <c r="EG18" s="337">
        <v>0</v>
      </c>
      <c r="EH18" s="337">
        <v>0</v>
      </c>
      <c r="EI18" s="436">
        <v>3.96</v>
      </c>
      <c r="EJ18" s="436">
        <v>5.8</v>
      </c>
      <c r="EK18" s="337">
        <v>0</v>
      </c>
      <c r="EL18" s="337">
        <v>0</v>
      </c>
      <c r="EM18" s="337">
        <v>0</v>
      </c>
      <c r="EN18" s="337">
        <v>0</v>
      </c>
      <c r="EO18" s="337">
        <v>0</v>
      </c>
      <c r="EP18" s="337">
        <v>0</v>
      </c>
      <c r="EQ18" s="337">
        <v>0</v>
      </c>
      <c r="ER18" s="337">
        <v>0</v>
      </c>
      <c r="ES18" s="337">
        <v>8.4600000000000009</v>
      </c>
      <c r="ET18" s="337">
        <v>6.38</v>
      </c>
      <c r="EU18" s="337">
        <v>0</v>
      </c>
      <c r="EV18" s="337">
        <v>0</v>
      </c>
      <c r="EW18" s="337">
        <v>0</v>
      </c>
      <c r="EX18" s="337">
        <v>0</v>
      </c>
      <c r="EY18" s="337">
        <v>0</v>
      </c>
      <c r="EZ18" s="337">
        <v>0</v>
      </c>
      <c r="FA18" s="337">
        <v>88.16</v>
      </c>
      <c r="FB18" s="337">
        <v>-240.9</v>
      </c>
      <c r="FC18" s="337">
        <v>1765.02</v>
      </c>
      <c r="FD18" s="337">
        <v>1917.76</v>
      </c>
      <c r="FE18" s="19">
        <v>10.15</v>
      </c>
    </row>
    <row r="19" spans="1:161" s="20" customFormat="1" ht="19.5" customHeight="1">
      <c r="A19" s="19">
        <v>10.3</v>
      </c>
      <c r="B19" s="18">
        <v>244.56</v>
      </c>
      <c r="C19" s="18">
        <v>0</v>
      </c>
      <c r="D19" s="18">
        <v>27.15</v>
      </c>
      <c r="E19" s="18">
        <v>0</v>
      </c>
      <c r="F19" s="18">
        <v>4.0199999999999996</v>
      </c>
      <c r="G19" s="18">
        <v>0</v>
      </c>
      <c r="H19" s="18">
        <v>0</v>
      </c>
      <c r="I19" s="18">
        <v>9.74</v>
      </c>
      <c r="J19" s="18">
        <v>15.86</v>
      </c>
      <c r="K19" s="18">
        <v>0</v>
      </c>
      <c r="L19" s="18">
        <v>9.86</v>
      </c>
      <c r="M19" s="18">
        <v>3.23</v>
      </c>
      <c r="N19" s="18">
        <v>2.35</v>
      </c>
      <c r="O19" s="18">
        <v>2.67</v>
      </c>
      <c r="P19" s="18">
        <v>10.18</v>
      </c>
      <c r="Q19" s="18">
        <v>1.87</v>
      </c>
      <c r="R19" s="18">
        <v>60.49</v>
      </c>
      <c r="S19" s="18">
        <v>103.39</v>
      </c>
      <c r="T19" s="18">
        <v>66.319999999999993</v>
      </c>
      <c r="U19" s="18">
        <v>31.08</v>
      </c>
      <c r="V19" s="18">
        <v>3.97</v>
      </c>
      <c r="W19" s="18">
        <v>4.3099999999999996</v>
      </c>
      <c r="X19" s="18">
        <v>9.77</v>
      </c>
      <c r="Y19" s="18">
        <v>6.96</v>
      </c>
      <c r="Z19" s="18">
        <v>72.64</v>
      </c>
      <c r="AA19" s="18">
        <v>55.21</v>
      </c>
      <c r="AB19" s="18">
        <v>3.37</v>
      </c>
      <c r="AC19" s="18">
        <v>11.71</v>
      </c>
      <c r="AD19" s="18">
        <v>0.89</v>
      </c>
      <c r="AE19" s="18">
        <v>40.200000000000003</v>
      </c>
      <c r="AF19" s="18">
        <v>3.68</v>
      </c>
      <c r="AG19" s="18">
        <v>2.0299999999999998</v>
      </c>
      <c r="AH19" s="18">
        <v>2</v>
      </c>
      <c r="AI19" s="18">
        <v>0</v>
      </c>
      <c r="AJ19" s="18">
        <v>2</v>
      </c>
      <c r="AK19" s="18">
        <v>0.79</v>
      </c>
      <c r="AL19" s="18">
        <v>0</v>
      </c>
      <c r="AM19" s="18">
        <v>3.22</v>
      </c>
      <c r="AN19" s="18">
        <v>0</v>
      </c>
      <c r="AO19" s="18">
        <v>0</v>
      </c>
      <c r="AP19" s="18">
        <v>0.55000000000000004</v>
      </c>
      <c r="AQ19" s="18">
        <v>0</v>
      </c>
      <c r="AR19" s="18">
        <v>0</v>
      </c>
      <c r="AS19" s="18">
        <v>24.73</v>
      </c>
      <c r="AT19" s="18">
        <v>35.93</v>
      </c>
      <c r="AU19" s="18">
        <v>0.79</v>
      </c>
      <c r="AV19" s="18">
        <v>7.04</v>
      </c>
      <c r="AW19" s="18">
        <v>0</v>
      </c>
      <c r="AX19" s="18">
        <v>8.4</v>
      </c>
      <c r="AY19" s="18">
        <v>0</v>
      </c>
      <c r="AZ19" s="18">
        <v>2.46</v>
      </c>
      <c r="BA19" s="18">
        <v>1</v>
      </c>
      <c r="BB19" s="18">
        <v>2.44</v>
      </c>
      <c r="BC19" s="18">
        <v>2.69</v>
      </c>
      <c r="BD19" s="18">
        <v>1</v>
      </c>
      <c r="BE19" s="18">
        <v>0</v>
      </c>
      <c r="BF19" s="18">
        <v>0</v>
      </c>
      <c r="BG19" s="18">
        <v>1.71</v>
      </c>
      <c r="BH19" s="18">
        <v>14.03</v>
      </c>
      <c r="BI19" s="18">
        <v>14.3</v>
      </c>
      <c r="BJ19" s="18">
        <v>0</v>
      </c>
      <c r="BK19" s="18">
        <v>0</v>
      </c>
      <c r="BL19" s="18">
        <v>46.78</v>
      </c>
      <c r="BM19" s="18">
        <v>28.58</v>
      </c>
      <c r="BN19" s="18">
        <v>57.35</v>
      </c>
      <c r="BO19" s="18">
        <v>54.49</v>
      </c>
      <c r="BP19" s="18">
        <v>76.38</v>
      </c>
      <c r="BQ19" s="18">
        <v>11.49</v>
      </c>
      <c r="BR19" s="18">
        <v>45.43</v>
      </c>
      <c r="BS19" s="18">
        <v>49.99</v>
      </c>
      <c r="BT19" s="18">
        <v>59.78</v>
      </c>
      <c r="BU19" s="18">
        <v>43.56</v>
      </c>
      <c r="BV19" s="18">
        <v>15.6</v>
      </c>
      <c r="BW19" s="18">
        <v>19.25</v>
      </c>
      <c r="BX19" s="18">
        <v>7.42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4">
        <v>30.4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4">
        <v>22.01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4">
        <v>30.22</v>
      </c>
      <c r="DF19" s="434">
        <v>62.2</v>
      </c>
      <c r="DG19" s="434">
        <v>10.4</v>
      </c>
      <c r="DH19" s="434">
        <v>57.58</v>
      </c>
      <c r="DI19" s="337">
        <v>0</v>
      </c>
      <c r="DJ19" s="436">
        <v>19.72</v>
      </c>
      <c r="DK19" s="437">
        <v>67.349999999999994</v>
      </c>
      <c r="DL19" s="337">
        <v>0</v>
      </c>
      <c r="DM19" s="337">
        <v>0</v>
      </c>
      <c r="DN19" s="337">
        <v>0</v>
      </c>
      <c r="DO19" s="337">
        <v>0</v>
      </c>
      <c r="DP19" s="337">
        <v>0</v>
      </c>
      <c r="DQ19" s="337">
        <v>0</v>
      </c>
      <c r="DR19" s="337">
        <v>0</v>
      </c>
      <c r="DS19" s="337">
        <v>0</v>
      </c>
      <c r="DT19" s="337">
        <v>0</v>
      </c>
      <c r="DU19" s="337">
        <v>0</v>
      </c>
      <c r="DV19" s="337">
        <v>0</v>
      </c>
      <c r="DW19" s="337">
        <v>0</v>
      </c>
      <c r="DX19" s="337">
        <v>0</v>
      </c>
      <c r="DY19" s="337">
        <v>0</v>
      </c>
      <c r="DZ19" s="337">
        <v>0</v>
      </c>
      <c r="EA19" s="337">
        <v>0</v>
      </c>
      <c r="EB19" s="337">
        <v>0</v>
      </c>
      <c r="EC19" s="337">
        <v>0</v>
      </c>
      <c r="ED19" s="337">
        <v>0</v>
      </c>
      <c r="EE19" s="337">
        <v>0</v>
      </c>
      <c r="EF19" s="337">
        <v>0</v>
      </c>
      <c r="EG19" s="337">
        <v>0</v>
      </c>
      <c r="EH19" s="337">
        <v>0</v>
      </c>
      <c r="EI19" s="436">
        <v>4.57</v>
      </c>
      <c r="EJ19" s="436">
        <v>5.57</v>
      </c>
      <c r="EK19" s="337">
        <v>0</v>
      </c>
      <c r="EL19" s="337">
        <v>0</v>
      </c>
      <c r="EM19" s="337">
        <v>0</v>
      </c>
      <c r="EN19" s="337">
        <v>0</v>
      </c>
      <c r="EO19" s="337">
        <v>0</v>
      </c>
      <c r="EP19" s="337">
        <v>0</v>
      </c>
      <c r="EQ19" s="337">
        <v>0</v>
      </c>
      <c r="ER19" s="337">
        <v>0</v>
      </c>
      <c r="ES19" s="337">
        <v>8.4499999999999993</v>
      </c>
      <c r="ET19" s="337">
        <v>6.3</v>
      </c>
      <c r="EU19" s="337">
        <v>0</v>
      </c>
      <c r="EV19" s="337">
        <v>0</v>
      </c>
      <c r="EW19" s="337">
        <v>0</v>
      </c>
      <c r="EX19" s="337">
        <v>0</v>
      </c>
      <c r="EY19" s="337">
        <v>0</v>
      </c>
      <c r="EZ19" s="337">
        <v>0</v>
      </c>
      <c r="FA19" s="337">
        <v>77.37</v>
      </c>
      <c r="FB19" s="337">
        <v>-182.8</v>
      </c>
      <c r="FC19" s="337">
        <v>1773.46</v>
      </c>
      <c r="FD19" s="337">
        <v>1878.89</v>
      </c>
      <c r="FE19" s="19">
        <v>10.3</v>
      </c>
    </row>
    <row r="20" spans="1:161" s="20" customFormat="1" ht="19.5" customHeight="1">
      <c r="A20" s="19">
        <v>10.45</v>
      </c>
      <c r="B20" s="18">
        <v>246.56</v>
      </c>
      <c r="C20" s="18">
        <v>0</v>
      </c>
      <c r="D20" s="18">
        <v>29.86</v>
      </c>
      <c r="E20" s="18">
        <v>0</v>
      </c>
      <c r="F20" s="18">
        <v>4.01</v>
      </c>
      <c r="G20" s="18">
        <v>0</v>
      </c>
      <c r="H20" s="18">
        <v>0</v>
      </c>
      <c r="I20" s="18">
        <v>9.84</v>
      </c>
      <c r="J20" s="18">
        <v>15.74</v>
      </c>
      <c r="K20" s="18">
        <v>0</v>
      </c>
      <c r="L20" s="18">
        <v>9.8699999999999992</v>
      </c>
      <c r="M20" s="18">
        <v>3.18</v>
      </c>
      <c r="N20" s="18">
        <v>2.37</v>
      </c>
      <c r="O20" s="18">
        <v>2.66</v>
      </c>
      <c r="P20" s="18">
        <v>10.11</v>
      </c>
      <c r="Q20" s="18">
        <v>1.85</v>
      </c>
      <c r="R20" s="18">
        <v>58.46</v>
      </c>
      <c r="S20" s="18">
        <v>103.33</v>
      </c>
      <c r="T20" s="18">
        <v>66.349999999999994</v>
      </c>
      <c r="U20" s="18">
        <v>34.25</v>
      </c>
      <c r="V20" s="18">
        <v>1.54</v>
      </c>
      <c r="W20" s="18">
        <v>4.3099999999999996</v>
      </c>
      <c r="X20" s="18">
        <v>7.75</v>
      </c>
      <c r="Y20" s="18">
        <v>6.68</v>
      </c>
      <c r="Z20" s="18">
        <v>79.599999999999994</v>
      </c>
      <c r="AA20" s="18">
        <v>55.21</v>
      </c>
      <c r="AB20" s="18">
        <v>3.37</v>
      </c>
      <c r="AC20" s="18">
        <v>11.63</v>
      </c>
      <c r="AD20" s="18">
        <v>0.98</v>
      </c>
      <c r="AE20" s="18">
        <v>40.26</v>
      </c>
      <c r="AF20" s="18">
        <v>3.7</v>
      </c>
      <c r="AG20" s="18">
        <v>2</v>
      </c>
      <c r="AH20" s="18">
        <v>2.04</v>
      </c>
      <c r="AI20" s="18">
        <v>0</v>
      </c>
      <c r="AJ20" s="18">
        <v>2</v>
      </c>
      <c r="AK20" s="18">
        <v>0.79</v>
      </c>
      <c r="AL20" s="18">
        <v>0</v>
      </c>
      <c r="AM20" s="18">
        <v>3.08</v>
      </c>
      <c r="AN20" s="18">
        <v>0</v>
      </c>
      <c r="AO20" s="18">
        <v>0</v>
      </c>
      <c r="AP20" s="18">
        <v>0.56999999999999995</v>
      </c>
      <c r="AQ20" s="18">
        <v>0</v>
      </c>
      <c r="AR20" s="18">
        <v>0</v>
      </c>
      <c r="AS20" s="18">
        <v>24.75</v>
      </c>
      <c r="AT20" s="18">
        <v>41.74</v>
      </c>
      <c r="AU20" s="18">
        <v>0.81</v>
      </c>
      <c r="AV20" s="18">
        <v>6.98</v>
      </c>
      <c r="AW20" s="18">
        <v>0</v>
      </c>
      <c r="AX20" s="18">
        <v>8.4</v>
      </c>
      <c r="AY20" s="18">
        <v>0</v>
      </c>
      <c r="AZ20" s="18">
        <v>2.4900000000000002</v>
      </c>
      <c r="BA20" s="18">
        <v>0.99</v>
      </c>
      <c r="BB20" s="18">
        <v>0</v>
      </c>
      <c r="BC20" s="18">
        <v>2.7</v>
      </c>
      <c r="BD20" s="18">
        <v>2.2000000000000002</v>
      </c>
      <c r="BE20" s="18">
        <v>0.74</v>
      </c>
      <c r="BF20" s="18">
        <v>0</v>
      </c>
      <c r="BG20" s="18">
        <v>1.7</v>
      </c>
      <c r="BH20" s="18">
        <v>14.18</v>
      </c>
      <c r="BI20" s="18">
        <v>14.2</v>
      </c>
      <c r="BJ20" s="18">
        <v>0</v>
      </c>
      <c r="BK20" s="18">
        <v>0</v>
      </c>
      <c r="BL20" s="18">
        <v>45.96</v>
      </c>
      <c r="BM20" s="18">
        <v>28.27</v>
      </c>
      <c r="BN20" s="18">
        <v>57.38</v>
      </c>
      <c r="BO20" s="18">
        <v>60.32</v>
      </c>
      <c r="BP20" s="18">
        <v>51.92</v>
      </c>
      <c r="BQ20" s="18">
        <v>10.56</v>
      </c>
      <c r="BR20" s="18">
        <v>46.28</v>
      </c>
      <c r="BS20" s="18">
        <v>50.01</v>
      </c>
      <c r="BT20" s="18">
        <v>72</v>
      </c>
      <c r="BU20" s="18">
        <v>32.130000000000003</v>
      </c>
      <c r="BV20" s="18">
        <v>12.9</v>
      </c>
      <c r="BW20" s="18">
        <v>19.899999999999999</v>
      </c>
      <c r="BX20" s="18">
        <v>6.35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4">
        <v>30.4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4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4">
        <v>30.4</v>
      </c>
      <c r="DF20" s="434">
        <v>62.7</v>
      </c>
      <c r="DG20" s="434">
        <v>10.66</v>
      </c>
      <c r="DH20" s="434">
        <v>56.39</v>
      </c>
      <c r="DI20" s="337">
        <v>0</v>
      </c>
      <c r="DJ20" s="436">
        <v>18.260000000000002</v>
      </c>
      <c r="DK20" s="437">
        <v>67.209999999999994</v>
      </c>
      <c r="DL20" s="337">
        <v>0</v>
      </c>
      <c r="DM20" s="337">
        <v>0</v>
      </c>
      <c r="DN20" s="337">
        <v>0</v>
      </c>
      <c r="DO20" s="337">
        <v>0</v>
      </c>
      <c r="DP20" s="337">
        <v>0</v>
      </c>
      <c r="DQ20" s="337">
        <v>0</v>
      </c>
      <c r="DR20" s="337">
        <v>0</v>
      </c>
      <c r="DS20" s="337">
        <v>0</v>
      </c>
      <c r="DT20" s="337">
        <v>0</v>
      </c>
      <c r="DU20" s="337">
        <v>0</v>
      </c>
      <c r="DV20" s="337">
        <v>0</v>
      </c>
      <c r="DW20" s="337">
        <v>0</v>
      </c>
      <c r="DX20" s="337">
        <v>0</v>
      </c>
      <c r="DY20" s="337">
        <v>0</v>
      </c>
      <c r="DZ20" s="337">
        <v>0</v>
      </c>
      <c r="EA20" s="337">
        <v>0</v>
      </c>
      <c r="EB20" s="337">
        <v>0</v>
      </c>
      <c r="EC20" s="337">
        <v>0</v>
      </c>
      <c r="ED20" s="337">
        <v>0</v>
      </c>
      <c r="EE20" s="337">
        <v>0</v>
      </c>
      <c r="EF20" s="337">
        <v>0</v>
      </c>
      <c r="EG20" s="337">
        <v>0</v>
      </c>
      <c r="EH20" s="337">
        <v>0</v>
      </c>
      <c r="EI20" s="436">
        <v>4.45</v>
      </c>
      <c r="EJ20" s="436">
        <v>4.9800000000000004</v>
      </c>
      <c r="EK20" s="337">
        <v>0</v>
      </c>
      <c r="EL20" s="337">
        <v>0</v>
      </c>
      <c r="EM20" s="337">
        <v>0</v>
      </c>
      <c r="EN20" s="337">
        <v>0</v>
      </c>
      <c r="EO20" s="337">
        <v>0</v>
      </c>
      <c r="EP20" s="337">
        <v>0</v>
      </c>
      <c r="EQ20" s="337">
        <v>0</v>
      </c>
      <c r="ER20" s="337">
        <v>0</v>
      </c>
      <c r="ES20" s="337">
        <v>8.4600000000000009</v>
      </c>
      <c r="ET20" s="337">
        <v>6.32</v>
      </c>
      <c r="EU20" s="337">
        <v>0</v>
      </c>
      <c r="EV20" s="337">
        <v>0</v>
      </c>
      <c r="EW20" s="337">
        <v>0</v>
      </c>
      <c r="EX20" s="337">
        <v>0</v>
      </c>
      <c r="EY20" s="337">
        <v>0</v>
      </c>
      <c r="EZ20" s="337">
        <v>0</v>
      </c>
      <c r="FA20" s="337">
        <v>78.92</v>
      </c>
      <c r="FB20" s="337">
        <v>-250.3</v>
      </c>
      <c r="FC20" s="337">
        <v>1763.05</v>
      </c>
      <c r="FD20" s="337">
        <v>1934.43</v>
      </c>
      <c r="FE20" s="19">
        <v>10.45</v>
      </c>
    </row>
    <row r="21" spans="1:161" s="20" customFormat="1" ht="19.5" customHeight="1">
      <c r="A21" s="19">
        <v>11</v>
      </c>
      <c r="B21" s="18">
        <v>242.23</v>
      </c>
      <c r="C21" s="18">
        <v>0</v>
      </c>
      <c r="D21" s="18">
        <v>27.43</v>
      </c>
      <c r="E21" s="18">
        <v>0</v>
      </c>
      <c r="F21" s="18">
        <v>4.01</v>
      </c>
      <c r="G21" s="18">
        <v>0</v>
      </c>
      <c r="H21" s="18">
        <v>0</v>
      </c>
      <c r="I21" s="18">
        <v>9.84</v>
      </c>
      <c r="J21" s="18">
        <v>15.91</v>
      </c>
      <c r="K21" s="18">
        <v>0</v>
      </c>
      <c r="L21" s="18">
        <v>9.86</v>
      </c>
      <c r="M21" s="18">
        <v>3.22</v>
      </c>
      <c r="N21" s="18">
        <v>1.79</v>
      </c>
      <c r="O21" s="18">
        <v>2.69</v>
      </c>
      <c r="P21" s="18">
        <v>10.199999999999999</v>
      </c>
      <c r="Q21" s="18">
        <v>1.85</v>
      </c>
      <c r="R21" s="18">
        <v>57.41</v>
      </c>
      <c r="S21" s="18">
        <v>103.96</v>
      </c>
      <c r="T21" s="18">
        <v>66.400000000000006</v>
      </c>
      <c r="U21" s="18">
        <v>32.9</v>
      </c>
      <c r="V21" s="18">
        <v>1.56</v>
      </c>
      <c r="W21" s="18">
        <v>4.3</v>
      </c>
      <c r="X21" s="18">
        <v>5.87</v>
      </c>
      <c r="Y21" s="18">
        <v>6.73</v>
      </c>
      <c r="Z21" s="18">
        <v>72.87</v>
      </c>
      <c r="AA21" s="18">
        <v>55.41</v>
      </c>
      <c r="AB21" s="18">
        <v>3.35</v>
      </c>
      <c r="AC21" s="18">
        <v>11.71</v>
      </c>
      <c r="AD21" s="18">
        <v>0.92</v>
      </c>
      <c r="AE21" s="18">
        <v>40.17</v>
      </c>
      <c r="AF21" s="18">
        <v>3.66</v>
      </c>
      <c r="AG21" s="18">
        <v>2</v>
      </c>
      <c r="AH21" s="18">
        <v>2.04</v>
      </c>
      <c r="AI21" s="18">
        <v>0</v>
      </c>
      <c r="AJ21" s="18">
        <v>2</v>
      </c>
      <c r="AK21" s="18">
        <v>0.79</v>
      </c>
      <c r="AL21" s="18">
        <v>0</v>
      </c>
      <c r="AM21" s="18">
        <v>3.11</v>
      </c>
      <c r="AN21" s="18">
        <v>0</v>
      </c>
      <c r="AO21" s="18">
        <v>0</v>
      </c>
      <c r="AP21" s="18">
        <v>0.56000000000000005</v>
      </c>
      <c r="AQ21" s="18">
        <v>0</v>
      </c>
      <c r="AR21" s="18">
        <v>0</v>
      </c>
      <c r="AS21" s="18">
        <v>24.74</v>
      </c>
      <c r="AT21" s="18">
        <v>35.299999999999997</v>
      </c>
      <c r="AU21" s="18">
        <v>0.84</v>
      </c>
      <c r="AV21" s="18">
        <v>7.04</v>
      </c>
      <c r="AW21" s="18">
        <v>0</v>
      </c>
      <c r="AX21" s="18">
        <v>8.3000000000000007</v>
      </c>
      <c r="AY21" s="18">
        <v>0</v>
      </c>
      <c r="AZ21" s="18">
        <v>2.48</v>
      </c>
      <c r="BA21" s="18">
        <v>0.99</v>
      </c>
      <c r="BB21" s="18">
        <v>2.42</v>
      </c>
      <c r="BC21" s="18">
        <v>2.69</v>
      </c>
      <c r="BD21" s="18">
        <v>2.2000000000000002</v>
      </c>
      <c r="BE21" s="18">
        <v>0.74</v>
      </c>
      <c r="BF21" s="18">
        <v>0</v>
      </c>
      <c r="BG21" s="18">
        <v>1.7</v>
      </c>
      <c r="BH21" s="18">
        <v>14.92</v>
      </c>
      <c r="BI21" s="18">
        <v>14.2</v>
      </c>
      <c r="BJ21" s="18">
        <v>0</v>
      </c>
      <c r="BK21" s="18">
        <v>0</v>
      </c>
      <c r="BL21" s="18">
        <v>48.3</v>
      </c>
      <c r="BM21" s="18">
        <v>26.06</v>
      </c>
      <c r="BN21" s="18">
        <v>57.23</v>
      </c>
      <c r="BO21" s="18">
        <v>58</v>
      </c>
      <c r="BP21" s="18">
        <v>75.13</v>
      </c>
      <c r="BQ21" s="18">
        <v>5.29</v>
      </c>
      <c r="BR21" s="18">
        <v>41.89</v>
      </c>
      <c r="BS21" s="18">
        <v>50.02</v>
      </c>
      <c r="BT21" s="18">
        <v>95.7</v>
      </c>
      <c r="BU21" s="18">
        <v>39.65</v>
      </c>
      <c r="BV21" s="18">
        <v>16.399999999999999</v>
      </c>
      <c r="BW21" s="18">
        <v>20.98</v>
      </c>
      <c r="BX21" s="18">
        <v>10.67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4">
        <v>30.4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4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4">
        <v>30.04</v>
      </c>
      <c r="DF21" s="434">
        <v>62.5</v>
      </c>
      <c r="DG21" s="434">
        <v>10.050000000000001</v>
      </c>
      <c r="DH21" s="434">
        <v>57.11</v>
      </c>
      <c r="DI21" s="337">
        <v>0</v>
      </c>
      <c r="DJ21" s="436">
        <v>18.399999999999999</v>
      </c>
      <c r="DK21" s="437">
        <v>67.42</v>
      </c>
      <c r="DL21" s="337">
        <v>0</v>
      </c>
      <c r="DM21" s="337">
        <v>0</v>
      </c>
      <c r="DN21" s="337">
        <v>0</v>
      </c>
      <c r="DO21" s="337">
        <v>0</v>
      </c>
      <c r="DP21" s="337">
        <v>0</v>
      </c>
      <c r="DQ21" s="337">
        <v>0</v>
      </c>
      <c r="DR21" s="337">
        <v>0</v>
      </c>
      <c r="DS21" s="337">
        <v>0</v>
      </c>
      <c r="DT21" s="337">
        <v>0</v>
      </c>
      <c r="DU21" s="337">
        <v>0</v>
      </c>
      <c r="DV21" s="337">
        <v>0</v>
      </c>
      <c r="DW21" s="337">
        <v>0</v>
      </c>
      <c r="DX21" s="337">
        <v>0</v>
      </c>
      <c r="DY21" s="337">
        <v>0</v>
      </c>
      <c r="DZ21" s="337">
        <v>0</v>
      </c>
      <c r="EA21" s="337">
        <v>0</v>
      </c>
      <c r="EB21" s="337">
        <v>0</v>
      </c>
      <c r="EC21" s="337">
        <v>0</v>
      </c>
      <c r="ED21" s="337">
        <v>0</v>
      </c>
      <c r="EE21" s="337">
        <v>0</v>
      </c>
      <c r="EF21" s="337">
        <v>0</v>
      </c>
      <c r="EG21" s="337">
        <v>0</v>
      </c>
      <c r="EH21" s="337">
        <v>0</v>
      </c>
      <c r="EI21" s="436">
        <v>4.09</v>
      </c>
      <c r="EJ21" s="436">
        <v>5.44</v>
      </c>
      <c r="EK21" s="337">
        <v>0</v>
      </c>
      <c r="EL21" s="337">
        <v>0</v>
      </c>
      <c r="EM21" s="337">
        <v>0</v>
      </c>
      <c r="EN21" s="337">
        <v>0</v>
      </c>
      <c r="EO21" s="337">
        <v>0</v>
      </c>
      <c r="EP21" s="337">
        <v>0</v>
      </c>
      <c r="EQ21" s="337">
        <v>0</v>
      </c>
      <c r="ER21" s="337">
        <v>0</v>
      </c>
      <c r="ES21" s="337">
        <v>8.4499999999999993</v>
      </c>
      <c r="ET21" s="337">
        <v>6.26</v>
      </c>
      <c r="EU21" s="337">
        <v>0</v>
      </c>
      <c r="EV21" s="337">
        <v>0</v>
      </c>
      <c r="EW21" s="337">
        <v>0</v>
      </c>
      <c r="EX21" s="337">
        <v>0</v>
      </c>
      <c r="EY21" s="337">
        <v>0</v>
      </c>
      <c r="EZ21" s="337">
        <v>0</v>
      </c>
      <c r="FA21" s="337">
        <v>108.94</v>
      </c>
      <c r="FB21" s="337">
        <v>-258.10000000000002</v>
      </c>
      <c r="FC21" s="337">
        <v>1793.8</v>
      </c>
      <c r="FD21" s="337">
        <v>1942.96</v>
      </c>
      <c r="FE21" s="19">
        <v>11</v>
      </c>
    </row>
    <row r="22" spans="1:161" s="20" customFormat="1" ht="19.5" customHeight="1">
      <c r="A22" s="19">
        <v>11.15</v>
      </c>
      <c r="B22" s="18">
        <v>261.54000000000002</v>
      </c>
      <c r="C22" s="18">
        <v>0</v>
      </c>
      <c r="D22" s="18">
        <v>27.8</v>
      </c>
      <c r="E22" s="18">
        <v>0</v>
      </c>
      <c r="F22" s="18">
        <v>4</v>
      </c>
      <c r="G22" s="18">
        <v>0</v>
      </c>
      <c r="H22" s="18">
        <v>0</v>
      </c>
      <c r="I22" s="18">
        <v>9.84</v>
      </c>
      <c r="J22" s="18">
        <v>15.93</v>
      </c>
      <c r="K22" s="18">
        <v>0</v>
      </c>
      <c r="L22" s="18">
        <v>9.86</v>
      </c>
      <c r="M22" s="18">
        <v>3.18</v>
      </c>
      <c r="N22" s="18">
        <v>1.7</v>
      </c>
      <c r="O22" s="18">
        <v>15.1</v>
      </c>
      <c r="P22" s="18">
        <v>10.17</v>
      </c>
      <c r="Q22" s="18">
        <v>1.84</v>
      </c>
      <c r="R22" s="18">
        <v>57.42</v>
      </c>
      <c r="S22" s="18">
        <v>103.34</v>
      </c>
      <c r="T22" s="18">
        <v>67.239999999999995</v>
      </c>
      <c r="U22" s="18">
        <v>36.76</v>
      </c>
      <c r="V22" s="18">
        <v>1.56</v>
      </c>
      <c r="W22" s="18">
        <v>4.3600000000000003</v>
      </c>
      <c r="X22" s="18">
        <v>7.82</v>
      </c>
      <c r="Y22" s="18">
        <v>6.83</v>
      </c>
      <c r="Z22" s="18">
        <v>81.42</v>
      </c>
      <c r="AA22" s="18">
        <v>38.5</v>
      </c>
      <c r="AB22" s="18">
        <v>3.34</v>
      </c>
      <c r="AC22" s="18">
        <v>11.59</v>
      </c>
      <c r="AD22" s="18">
        <v>0.96</v>
      </c>
      <c r="AE22" s="18">
        <v>40.18</v>
      </c>
      <c r="AF22" s="18">
        <v>3.68</v>
      </c>
      <c r="AG22" s="18">
        <v>1.99</v>
      </c>
      <c r="AH22" s="18">
        <v>2.04</v>
      </c>
      <c r="AI22" s="18">
        <v>0</v>
      </c>
      <c r="AJ22" s="18">
        <v>2</v>
      </c>
      <c r="AK22" s="18">
        <v>0.79</v>
      </c>
      <c r="AL22" s="18">
        <v>0</v>
      </c>
      <c r="AM22" s="18">
        <v>3.11</v>
      </c>
      <c r="AN22" s="18">
        <v>0</v>
      </c>
      <c r="AO22" s="18">
        <v>0</v>
      </c>
      <c r="AP22" s="18">
        <v>0.54</v>
      </c>
      <c r="AQ22" s="18">
        <v>0</v>
      </c>
      <c r="AR22" s="18">
        <v>0</v>
      </c>
      <c r="AS22" s="18">
        <v>24.75</v>
      </c>
      <c r="AT22" s="18">
        <v>39.06</v>
      </c>
      <c r="AU22" s="18">
        <v>0.88</v>
      </c>
      <c r="AV22" s="18">
        <v>7.06</v>
      </c>
      <c r="AW22" s="18">
        <v>0</v>
      </c>
      <c r="AX22" s="18">
        <v>8.3000000000000007</v>
      </c>
      <c r="AY22" s="18">
        <v>0</v>
      </c>
      <c r="AZ22" s="18">
        <v>2.54</v>
      </c>
      <c r="BA22" s="18">
        <v>0.99</v>
      </c>
      <c r="BB22" s="18">
        <v>2.4300000000000002</v>
      </c>
      <c r="BC22" s="18">
        <v>2.69</v>
      </c>
      <c r="BD22" s="18">
        <v>2.2000000000000002</v>
      </c>
      <c r="BE22" s="18">
        <v>0.73</v>
      </c>
      <c r="BF22" s="18">
        <v>0</v>
      </c>
      <c r="BG22" s="18">
        <v>1.7</v>
      </c>
      <c r="BH22" s="18">
        <v>14.06</v>
      </c>
      <c r="BI22" s="18">
        <v>14.3</v>
      </c>
      <c r="BJ22" s="18">
        <v>0</v>
      </c>
      <c r="BK22" s="18">
        <v>0</v>
      </c>
      <c r="BL22" s="18">
        <v>39.65</v>
      </c>
      <c r="BM22" s="18">
        <v>22.33</v>
      </c>
      <c r="BN22" s="18">
        <v>57.54</v>
      </c>
      <c r="BO22" s="18">
        <v>57.84</v>
      </c>
      <c r="BP22" s="18">
        <v>75.099999999999994</v>
      </c>
      <c r="BQ22" s="18">
        <v>6.7</v>
      </c>
      <c r="BR22" s="18">
        <v>40</v>
      </c>
      <c r="BS22" s="18">
        <v>49.99</v>
      </c>
      <c r="BT22" s="18">
        <v>88.39</v>
      </c>
      <c r="BU22" s="18">
        <v>32.840000000000003</v>
      </c>
      <c r="BV22" s="18">
        <v>17.100000000000001</v>
      </c>
      <c r="BW22" s="18">
        <v>21</v>
      </c>
      <c r="BX22" s="18">
        <v>8.5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4">
        <v>30.4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4">
        <v>23.01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4">
        <v>30.32</v>
      </c>
      <c r="DF22" s="434">
        <v>62.3</v>
      </c>
      <c r="DG22" s="434">
        <v>10.61</v>
      </c>
      <c r="DH22" s="434">
        <v>56.38</v>
      </c>
      <c r="DI22" s="337">
        <v>0</v>
      </c>
      <c r="DJ22" s="436">
        <v>19.21</v>
      </c>
      <c r="DK22" s="437">
        <v>67.489999999999995</v>
      </c>
      <c r="DL22" s="337">
        <v>0</v>
      </c>
      <c r="DM22" s="337">
        <v>0</v>
      </c>
      <c r="DN22" s="337">
        <v>0</v>
      </c>
      <c r="DO22" s="337">
        <v>0</v>
      </c>
      <c r="DP22" s="337">
        <v>0</v>
      </c>
      <c r="DQ22" s="337">
        <v>0</v>
      </c>
      <c r="DR22" s="337">
        <v>0</v>
      </c>
      <c r="DS22" s="337">
        <v>0</v>
      </c>
      <c r="DT22" s="337">
        <v>0</v>
      </c>
      <c r="DU22" s="337">
        <v>0</v>
      </c>
      <c r="DV22" s="337">
        <v>0</v>
      </c>
      <c r="DW22" s="337">
        <v>0</v>
      </c>
      <c r="DX22" s="337">
        <v>0</v>
      </c>
      <c r="DY22" s="337">
        <v>0</v>
      </c>
      <c r="DZ22" s="337">
        <v>0</v>
      </c>
      <c r="EA22" s="337">
        <v>0</v>
      </c>
      <c r="EB22" s="337">
        <v>0</v>
      </c>
      <c r="EC22" s="337">
        <v>0</v>
      </c>
      <c r="ED22" s="337">
        <v>0</v>
      </c>
      <c r="EE22" s="337">
        <v>0</v>
      </c>
      <c r="EF22" s="337">
        <v>0</v>
      </c>
      <c r="EG22" s="337">
        <v>0</v>
      </c>
      <c r="EH22" s="337">
        <v>0</v>
      </c>
      <c r="EI22" s="436">
        <v>4.18</v>
      </c>
      <c r="EJ22" s="436">
        <v>5.83</v>
      </c>
      <c r="EK22" s="337">
        <v>0</v>
      </c>
      <c r="EL22" s="337">
        <v>0</v>
      </c>
      <c r="EM22" s="337">
        <v>0</v>
      </c>
      <c r="EN22" s="337">
        <v>0</v>
      </c>
      <c r="EO22" s="337">
        <v>0</v>
      </c>
      <c r="EP22" s="337">
        <v>0</v>
      </c>
      <c r="EQ22" s="337">
        <v>0</v>
      </c>
      <c r="ER22" s="337">
        <v>0</v>
      </c>
      <c r="ES22" s="337">
        <v>8.4600000000000009</v>
      </c>
      <c r="ET22" s="337">
        <v>4.1900000000000004</v>
      </c>
      <c r="EU22" s="337">
        <v>0</v>
      </c>
      <c r="EV22" s="337">
        <v>0</v>
      </c>
      <c r="EW22" s="337">
        <v>0</v>
      </c>
      <c r="EX22" s="337">
        <v>0</v>
      </c>
      <c r="EY22" s="337">
        <v>0</v>
      </c>
      <c r="EZ22" s="337">
        <v>0</v>
      </c>
      <c r="FA22" s="337">
        <v>69.37</v>
      </c>
      <c r="FB22" s="337">
        <v>-233.5</v>
      </c>
      <c r="FC22" s="337">
        <v>1797.48</v>
      </c>
      <c r="FD22" s="337">
        <v>1961.61</v>
      </c>
      <c r="FE22" s="19">
        <v>11.15</v>
      </c>
    </row>
    <row r="23" spans="1:161" s="20" customFormat="1" ht="19.5" customHeight="1">
      <c r="A23" s="19">
        <v>11.3</v>
      </c>
      <c r="B23" s="18">
        <v>252.21</v>
      </c>
      <c r="C23" s="18">
        <v>0</v>
      </c>
      <c r="D23" s="18">
        <v>27.75</v>
      </c>
      <c r="E23" s="18">
        <v>0</v>
      </c>
      <c r="F23" s="18">
        <v>4.01</v>
      </c>
      <c r="G23" s="18">
        <v>0</v>
      </c>
      <c r="H23" s="18">
        <v>0</v>
      </c>
      <c r="I23" s="18">
        <v>9.77</v>
      </c>
      <c r="J23" s="18">
        <v>15.81</v>
      </c>
      <c r="K23" s="18">
        <v>0</v>
      </c>
      <c r="L23" s="18">
        <v>9.86</v>
      </c>
      <c r="M23" s="18">
        <v>3.22</v>
      </c>
      <c r="N23" s="18">
        <v>1.77</v>
      </c>
      <c r="O23" s="18">
        <v>15.08</v>
      </c>
      <c r="P23" s="18">
        <v>10.210000000000001</v>
      </c>
      <c r="Q23" s="18">
        <v>1.85</v>
      </c>
      <c r="R23" s="18">
        <v>57.45</v>
      </c>
      <c r="S23" s="18">
        <v>103.69</v>
      </c>
      <c r="T23" s="18">
        <v>66.27</v>
      </c>
      <c r="U23" s="18">
        <v>33.630000000000003</v>
      </c>
      <c r="V23" s="18">
        <v>1.55</v>
      </c>
      <c r="W23" s="18">
        <v>4.32</v>
      </c>
      <c r="X23" s="18">
        <v>7.79</v>
      </c>
      <c r="Y23" s="18">
        <v>6.65</v>
      </c>
      <c r="Z23" s="18">
        <v>77.52</v>
      </c>
      <c r="AA23" s="18">
        <v>31.47</v>
      </c>
      <c r="AB23" s="18">
        <v>3.26</v>
      </c>
      <c r="AC23" s="18">
        <v>11.7</v>
      </c>
      <c r="AD23" s="18">
        <v>0.94</v>
      </c>
      <c r="AE23" s="18">
        <v>40.200000000000003</v>
      </c>
      <c r="AF23" s="18">
        <v>3.65</v>
      </c>
      <c r="AG23" s="18">
        <v>2</v>
      </c>
      <c r="AH23" s="18">
        <v>2.04</v>
      </c>
      <c r="AI23" s="18">
        <v>0</v>
      </c>
      <c r="AJ23" s="18">
        <v>2.0099999999999998</v>
      </c>
      <c r="AK23" s="18">
        <v>0.81</v>
      </c>
      <c r="AL23" s="18">
        <v>0.98</v>
      </c>
      <c r="AM23" s="18">
        <v>3.1</v>
      </c>
      <c r="AN23" s="18">
        <v>0</v>
      </c>
      <c r="AO23" s="18">
        <v>0</v>
      </c>
      <c r="AP23" s="18">
        <v>0.56000000000000005</v>
      </c>
      <c r="AQ23" s="18">
        <v>0</v>
      </c>
      <c r="AR23" s="18">
        <v>0</v>
      </c>
      <c r="AS23" s="18">
        <v>24.77</v>
      </c>
      <c r="AT23" s="18">
        <v>38.53</v>
      </c>
      <c r="AU23" s="18">
        <v>0.9</v>
      </c>
      <c r="AV23" s="18">
        <v>7.04</v>
      </c>
      <c r="AW23" s="18">
        <v>0</v>
      </c>
      <c r="AX23" s="18">
        <v>8.3000000000000007</v>
      </c>
      <c r="AY23" s="18">
        <v>0</v>
      </c>
      <c r="AZ23" s="18">
        <v>2.5</v>
      </c>
      <c r="BA23" s="18">
        <v>0.99</v>
      </c>
      <c r="BB23" s="18">
        <v>2.42</v>
      </c>
      <c r="BC23" s="18">
        <v>2.69</v>
      </c>
      <c r="BD23" s="18">
        <v>2.2000000000000002</v>
      </c>
      <c r="BE23" s="18">
        <v>0.74</v>
      </c>
      <c r="BF23" s="18">
        <v>0.54</v>
      </c>
      <c r="BG23" s="18">
        <v>1.69</v>
      </c>
      <c r="BH23" s="18">
        <v>15.23</v>
      </c>
      <c r="BI23" s="18">
        <v>14.2</v>
      </c>
      <c r="BJ23" s="18">
        <v>0</v>
      </c>
      <c r="BK23" s="18">
        <v>0</v>
      </c>
      <c r="BL23" s="18">
        <v>50.3</v>
      </c>
      <c r="BM23" s="18">
        <v>29.65</v>
      </c>
      <c r="BN23" s="18">
        <v>38.369999999999997</v>
      </c>
      <c r="BO23" s="18">
        <v>52.22</v>
      </c>
      <c r="BP23" s="18">
        <v>74.86</v>
      </c>
      <c r="BQ23" s="18">
        <v>10.79</v>
      </c>
      <c r="BR23" s="18">
        <v>43.04</v>
      </c>
      <c r="BS23" s="18">
        <v>50</v>
      </c>
      <c r="BT23" s="18">
        <v>87.62</v>
      </c>
      <c r="BU23" s="18">
        <v>27.33</v>
      </c>
      <c r="BV23" s="18">
        <v>11.3</v>
      </c>
      <c r="BW23" s="18">
        <v>25.59</v>
      </c>
      <c r="BX23" s="18">
        <v>8.0299999999999994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4">
        <v>30.6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4">
        <v>23.01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4">
        <v>30.54</v>
      </c>
      <c r="DF23" s="434">
        <v>62.5</v>
      </c>
      <c r="DG23" s="434">
        <v>10.59</v>
      </c>
      <c r="DH23" s="434">
        <v>56.32</v>
      </c>
      <c r="DI23" s="337">
        <v>0</v>
      </c>
      <c r="DJ23" s="436">
        <v>18.36</v>
      </c>
      <c r="DK23" s="437">
        <v>67.28</v>
      </c>
      <c r="DL23" s="337">
        <v>0</v>
      </c>
      <c r="DM23" s="337">
        <v>0</v>
      </c>
      <c r="DN23" s="337">
        <v>0</v>
      </c>
      <c r="DO23" s="337">
        <v>0</v>
      </c>
      <c r="DP23" s="337">
        <v>0</v>
      </c>
      <c r="DQ23" s="337">
        <v>0</v>
      </c>
      <c r="DR23" s="337">
        <v>0</v>
      </c>
      <c r="DS23" s="337">
        <v>0</v>
      </c>
      <c r="DT23" s="337">
        <v>0</v>
      </c>
      <c r="DU23" s="337">
        <v>0</v>
      </c>
      <c r="DV23" s="337">
        <v>0</v>
      </c>
      <c r="DW23" s="337">
        <v>0</v>
      </c>
      <c r="DX23" s="337">
        <v>0</v>
      </c>
      <c r="DY23" s="337">
        <v>0</v>
      </c>
      <c r="DZ23" s="337">
        <v>0</v>
      </c>
      <c r="EA23" s="337">
        <v>0</v>
      </c>
      <c r="EB23" s="337">
        <v>0</v>
      </c>
      <c r="EC23" s="337">
        <v>0</v>
      </c>
      <c r="ED23" s="337">
        <v>0</v>
      </c>
      <c r="EE23" s="337">
        <v>0</v>
      </c>
      <c r="EF23" s="337">
        <v>0</v>
      </c>
      <c r="EG23" s="337">
        <v>0</v>
      </c>
      <c r="EH23" s="337">
        <v>0</v>
      </c>
      <c r="EI23" s="436">
        <v>3.99</v>
      </c>
      <c r="EJ23" s="436">
        <v>6</v>
      </c>
      <c r="EK23" s="337">
        <v>0</v>
      </c>
      <c r="EL23" s="337">
        <v>0</v>
      </c>
      <c r="EM23" s="337">
        <v>0</v>
      </c>
      <c r="EN23" s="337">
        <v>0</v>
      </c>
      <c r="EO23" s="337">
        <v>0</v>
      </c>
      <c r="EP23" s="337">
        <v>0</v>
      </c>
      <c r="EQ23" s="337">
        <v>0</v>
      </c>
      <c r="ER23" s="337">
        <v>0</v>
      </c>
      <c r="ES23" s="337">
        <v>8.4499999999999993</v>
      </c>
      <c r="ET23" s="337">
        <v>1.96</v>
      </c>
      <c r="EU23" s="337">
        <v>0</v>
      </c>
      <c r="EV23" s="337">
        <v>0</v>
      </c>
      <c r="EW23" s="337">
        <v>0</v>
      </c>
      <c r="EX23" s="337">
        <v>0</v>
      </c>
      <c r="EY23" s="337">
        <v>0</v>
      </c>
      <c r="EZ23" s="337">
        <v>0</v>
      </c>
      <c r="FA23" s="337">
        <v>63.52</v>
      </c>
      <c r="FB23" s="337">
        <v>-219.4</v>
      </c>
      <c r="FC23" s="337">
        <v>1764.57</v>
      </c>
      <c r="FD23" s="337">
        <v>1920.45</v>
      </c>
      <c r="FE23" s="19">
        <v>11.3</v>
      </c>
    </row>
    <row r="24" spans="1:161" s="20" customFormat="1" ht="19.5" customHeight="1">
      <c r="A24" s="19">
        <v>11.45</v>
      </c>
      <c r="B24" s="18">
        <v>259.54000000000002</v>
      </c>
      <c r="C24" s="18">
        <v>0</v>
      </c>
      <c r="D24" s="18">
        <v>28.08</v>
      </c>
      <c r="E24" s="18">
        <v>0</v>
      </c>
      <c r="F24" s="18">
        <v>4.0199999999999996</v>
      </c>
      <c r="G24" s="18">
        <v>0</v>
      </c>
      <c r="H24" s="18">
        <v>0</v>
      </c>
      <c r="I24" s="18">
        <v>9.84</v>
      </c>
      <c r="J24" s="18">
        <v>15.97</v>
      </c>
      <c r="K24" s="18">
        <v>0</v>
      </c>
      <c r="L24" s="18">
        <v>9.86</v>
      </c>
      <c r="M24" s="18">
        <v>3.22</v>
      </c>
      <c r="N24" s="18">
        <v>4.67</v>
      </c>
      <c r="O24" s="18">
        <v>15.07</v>
      </c>
      <c r="P24" s="18">
        <v>10.119999999999999</v>
      </c>
      <c r="Q24" s="18">
        <v>1.86</v>
      </c>
      <c r="R24" s="18">
        <v>57.43</v>
      </c>
      <c r="S24" s="18">
        <v>102.64</v>
      </c>
      <c r="T24" s="18">
        <v>66.45</v>
      </c>
      <c r="U24" s="18">
        <v>39.950000000000003</v>
      </c>
      <c r="V24" s="18">
        <v>1.55</v>
      </c>
      <c r="W24" s="18">
        <v>4.3499999999999996</v>
      </c>
      <c r="X24" s="18">
        <v>7.77</v>
      </c>
      <c r="Y24" s="18">
        <v>6.8</v>
      </c>
      <c r="Z24" s="18">
        <v>85.13</v>
      </c>
      <c r="AA24" s="18">
        <v>41.83</v>
      </c>
      <c r="AB24" s="18">
        <v>3.33</v>
      </c>
      <c r="AC24" s="18">
        <v>11.54</v>
      </c>
      <c r="AD24" s="18">
        <v>0.93</v>
      </c>
      <c r="AE24" s="18">
        <v>40.19</v>
      </c>
      <c r="AF24" s="18">
        <v>3.67</v>
      </c>
      <c r="AG24" s="18">
        <v>1.94</v>
      </c>
      <c r="AH24" s="18">
        <v>2.04</v>
      </c>
      <c r="AI24" s="18">
        <v>0</v>
      </c>
      <c r="AJ24" s="18">
        <v>2</v>
      </c>
      <c r="AK24" s="18">
        <v>0.81</v>
      </c>
      <c r="AL24" s="18">
        <v>0.97</v>
      </c>
      <c r="AM24" s="18">
        <v>3.09</v>
      </c>
      <c r="AN24" s="18">
        <v>0</v>
      </c>
      <c r="AO24" s="18">
        <v>0</v>
      </c>
      <c r="AP24" s="18">
        <v>0.56999999999999995</v>
      </c>
      <c r="AQ24" s="18">
        <v>0</v>
      </c>
      <c r="AR24" s="18">
        <v>0</v>
      </c>
      <c r="AS24" s="18">
        <v>24.73</v>
      </c>
      <c r="AT24" s="18">
        <v>46.05</v>
      </c>
      <c r="AU24" s="18">
        <v>0.9</v>
      </c>
      <c r="AV24" s="18">
        <v>7.04</v>
      </c>
      <c r="AW24" s="18">
        <v>0</v>
      </c>
      <c r="AX24" s="18">
        <v>8.4</v>
      </c>
      <c r="AY24" s="18">
        <v>0</v>
      </c>
      <c r="AZ24" s="18">
        <v>2.38</v>
      </c>
      <c r="BA24" s="18">
        <v>0.98</v>
      </c>
      <c r="BB24" s="18">
        <v>0</v>
      </c>
      <c r="BC24" s="18">
        <v>2.69</v>
      </c>
      <c r="BD24" s="18">
        <v>0.87</v>
      </c>
      <c r="BE24" s="18">
        <v>0.74</v>
      </c>
      <c r="BF24" s="18">
        <v>0.54</v>
      </c>
      <c r="BG24" s="18">
        <v>1.69</v>
      </c>
      <c r="BH24" s="18">
        <v>14.17</v>
      </c>
      <c r="BI24" s="18">
        <v>14.3</v>
      </c>
      <c r="BJ24" s="18">
        <v>0</v>
      </c>
      <c r="BK24" s="18">
        <v>0</v>
      </c>
      <c r="BL24" s="18">
        <v>47.83</v>
      </c>
      <c r="BM24" s="18">
        <v>28.48</v>
      </c>
      <c r="BN24" s="18">
        <v>55.88</v>
      </c>
      <c r="BO24" s="18">
        <v>58.34</v>
      </c>
      <c r="BP24" s="18">
        <v>74.39</v>
      </c>
      <c r="BQ24" s="18">
        <v>11.25</v>
      </c>
      <c r="BR24" s="18">
        <v>44.15</v>
      </c>
      <c r="BS24" s="18">
        <v>49.98</v>
      </c>
      <c r="BT24" s="18">
        <v>88.66</v>
      </c>
      <c r="BU24" s="18">
        <v>25.7</v>
      </c>
      <c r="BV24" s="18">
        <v>9.4</v>
      </c>
      <c r="BW24" s="18">
        <v>27.65</v>
      </c>
      <c r="BX24" s="18">
        <v>9.8800000000000008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4">
        <v>30.6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4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4">
        <v>30.5</v>
      </c>
      <c r="DF24" s="434">
        <v>62.2</v>
      </c>
      <c r="DG24" s="434">
        <v>10.43</v>
      </c>
      <c r="DH24" s="434">
        <v>56.63</v>
      </c>
      <c r="DI24" s="337">
        <v>0</v>
      </c>
      <c r="DJ24" s="436">
        <v>18.5</v>
      </c>
      <c r="DK24" s="437">
        <v>68.05</v>
      </c>
      <c r="DL24" s="337">
        <v>0</v>
      </c>
      <c r="DM24" s="337">
        <v>0</v>
      </c>
      <c r="DN24" s="337">
        <v>0</v>
      </c>
      <c r="DO24" s="337">
        <v>0</v>
      </c>
      <c r="DP24" s="337">
        <v>0</v>
      </c>
      <c r="DQ24" s="337">
        <v>0</v>
      </c>
      <c r="DR24" s="337">
        <v>0</v>
      </c>
      <c r="DS24" s="337">
        <v>0</v>
      </c>
      <c r="DT24" s="337">
        <v>0</v>
      </c>
      <c r="DU24" s="337">
        <v>0</v>
      </c>
      <c r="DV24" s="337">
        <v>0</v>
      </c>
      <c r="DW24" s="337">
        <v>0</v>
      </c>
      <c r="DX24" s="337">
        <v>0</v>
      </c>
      <c r="DY24" s="337">
        <v>0</v>
      </c>
      <c r="DZ24" s="337">
        <v>0</v>
      </c>
      <c r="EA24" s="337">
        <v>0</v>
      </c>
      <c r="EB24" s="337">
        <v>0</v>
      </c>
      <c r="EC24" s="337">
        <v>0</v>
      </c>
      <c r="ED24" s="337">
        <v>0</v>
      </c>
      <c r="EE24" s="337">
        <v>0</v>
      </c>
      <c r="EF24" s="337">
        <v>0</v>
      </c>
      <c r="EG24" s="337">
        <v>0</v>
      </c>
      <c r="EH24" s="337">
        <v>0</v>
      </c>
      <c r="EI24" s="436">
        <v>4.2300000000000004</v>
      </c>
      <c r="EJ24" s="436">
        <v>5.73</v>
      </c>
      <c r="EK24" s="337">
        <v>0</v>
      </c>
      <c r="EL24" s="337">
        <v>0</v>
      </c>
      <c r="EM24" s="337">
        <v>0</v>
      </c>
      <c r="EN24" s="337">
        <v>0</v>
      </c>
      <c r="EO24" s="337">
        <v>0</v>
      </c>
      <c r="EP24" s="337">
        <v>0</v>
      </c>
      <c r="EQ24" s="337">
        <v>0</v>
      </c>
      <c r="ER24" s="337">
        <v>0</v>
      </c>
      <c r="ES24" s="337">
        <v>8.4600000000000009</v>
      </c>
      <c r="ET24" s="337">
        <v>6.19</v>
      </c>
      <c r="EU24" s="337">
        <v>0</v>
      </c>
      <c r="EV24" s="337">
        <v>0</v>
      </c>
      <c r="EW24" s="337">
        <v>0</v>
      </c>
      <c r="EX24" s="337">
        <v>0</v>
      </c>
      <c r="EY24" s="337">
        <v>0</v>
      </c>
      <c r="EZ24" s="337">
        <v>0</v>
      </c>
      <c r="FA24" s="337">
        <v>85.48</v>
      </c>
      <c r="FB24" s="337">
        <v>-261.60000000000002</v>
      </c>
      <c r="FC24" s="337">
        <v>1828.83</v>
      </c>
      <c r="FD24" s="337">
        <v>2004.95</v>
      </c>
      <c r="FE24" s="19">
        <v>11.45</v>
      </c>
    </row>
    <row r="25" spans="1:161" s="20" customFormat="1" ht="19.5" customHeight="1">
      <c r="A25" s="19">
        <v>12</v>
      </c>
      <c r="B25" s="18">
        <v>253.21</v>
      </c>
      <c r="C25" s="18">
        <v>0</v>
      </c>
      <c r="D25" s="18">
        <v>31.07</v>
      </c>
      <c r="E25" s="18">
        <v>0</v>
      </c>
      <c r="F25" s="18">
        <v>4.01</v>
      </c>
      <c r="G25" s="18">
        <v>0</v>
      </c>
      <c r="H25" s="18">
        <v>1.56</v>
      </c>
      <c r="I25" s="18">
        <v>9.84</v>
      </c>
      <c r="J25" s="18">
        <v>15.87</v>
      </c>
      <c r="K25" s="18">
        <v>0</v>
      </c>
      <c r="L25" s="18">
        <v>9.86</v>
      </c>
      <c r="M25" s="18">
        <v>3.18</v>
      </c>
      <c r="N25" s="18">
        <v>4.4800000000000004</v>
      </c>
      <c r="O25" s="18">
        <v>12.74</v>
      </c>
      <c r="P25" s="18">
        <v>9.9499999999999993</v>
      </c>
      <c r="Q25" s="18">
        <v>1.85</v>
      </c>
      <c r="R25" s="18">
        <v>57.34</v>
      </c>
      <c r="S25" s="18">
        <v>103.47</v>
      </c>
      <c r="T25" s="18">
        <v>66.08</v>
      </c>
      <c r="U25" s="18">
        <v>32.020000000000003</v>
      </c>
      <c r="V25" s="18">
        <v>1.55</v>
      </c>
      <c r="W25" s="18">
        <v>4.5</v>
      </c>
      <c r="X25" s="18">
        <v>5.94</v>
      </c>
      <c r="Y25" s="18">
        <v>6.82</v>
      </c>
      <c r="Z25" s="18">
        <v>81.25</v>
      </c>
      <c r="AA25" s="18">
        <v>36.840000000000003</v>
      </c>
      <c r="AB25" s="18">
        <v>3.35</v>
      </c>
      <c r="AC25" s="18">
        <v>11.61</v>
      </c>
      <c r="AD25" s="18">
        <v>2.86</v>
      </c>
      <c r="AE25" s="18">
        <v>40.44</v>
      </c>
      <c r="AF25" s="18">
        <v>3.67</v>
      </c>
      <c r="AG25" s="18">
        <v>1.91</v>
      </c>
      <c r="AH25" s="18">
        <v>2.04</v>
      </c>
      <c r="AI25" s="18">
        <v>0</v>
      </c>
      <c r="AJ25" s="18">
        <v>2</v>
      </c>
      <c r="AK25" s="18">
        <v>0.82</v>
      </c>
      <c r="AL25" s="18">
        <v>0.98</v>
      </c>
      <c r="AM25" s="18">
        <v>3</v>
      </c>
      <c r="AN25" s="18">
        <v>0</v>
      </c>
      <c r="AO25" s="18">
        <v>0</v>
      </c>
      <c r="AP25" s="18">
        <v>0.56000000000000005</v>
      </c>
      <c r="AQ25" s="18">
        <v>0</v>
      </c>
      <c r="AR25" s="18">
        <v>0</v>
      </c>
      <c r="AS25" s="18">
        <v>24.71</v>
      </c>
      <c r="AT25" s="18">
        <v>39.65</v>
      </c>
      <c r="AU25" s="18">
        <v>0.93</v>
      </c>
      <c r="AV25" s="18">
        <v>7.01</v>
      </c>
      <c r="AW25" s="18">
        <v>0</v>
      </c>
      <c r="AX25" s="18">
        <v>8.3000000000000007</v>
      </c>
      <c r="AY25" s="18">
        <v>0</v>
      </c>
      <c r="AZ25" s="18">
        <v>2.39</v>
      </c>
      <c r="BA25" s="18">
        <v>0.98</v>
      </c>
      <c r="BB25" s="18">
        <v>1.42</v>
      </c>
      <c r="BC25" s="18">
        <v>2.69</v>
      </c>
      <c r="BD25" s="18">
        <v>2.2000000000000002</v>
      </c>
      <c r="BE25" s="18">
        <v>0.75</v>
      </c>
      <c r="BF25" s="18">
        <v>0.54</v>
      </c>
      <c r="BG25" s="18">
        <v>1.7</v>
      </c>
      <c r="BH25" s="18">
        <v>13.92</v>
      </c>
      <c r="BI25" s="18">
        <v>14.2</v>
      </c>
      <c r="BJ25" s="18">
        <v>0</v>
      </c>
      <c r="BK25" s="18">
        <v>0</v>
      </c>
      <c r="BL25" s="18">
        <v>46.59</v>
      </c>
      <c r="BM25" s="18">
        <v>28.36</v>
      </c>
      <c r="BN25" s="18">
        <v>60.38</v>
      </c>
      <c r="BO25" s="18">
        <v>59.32</v>
      </c>
      <c r="BP25" s="18">
        <v>66.77</v>
      </c>
      <c r="BQ25" s="18">
        <v>10.42</v>
      </c>
      <c r="BR25" s="18">
        <v>44.95</v>
      </c>
      <c r="BS25" s="18">
        <v>48.98</v>
      </c>
      <c r="BT25" s="18">
        <v>90.55</v>
      </c>
      <c r="BU25" s="18">
        <v>25.1</v>
      </c>
      <c r="BV25" s="18">
        <v>10.1</v>
      </c>
      <c r="BW25" s="18">
        <v>24.1</v>
      </c>
      <c r="BX25" s="18">
        <v>13.87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4">
        <v>30.69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4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4">
        <v>30.2</v>
      </c>
      <c r="DF25" s="434">
        <v>62.1</v>
      </c>
      <c r="DG25" s="434">
        <v>10.29</v>
      </c>
      <c r="DH25" s="434">
        <v>56.88</v>
      </c>
      <c r="DI25" s="337">
        <v>0</v>
      </c>
      <c r="DJ25" s="436">
        <v>18.760000000000002</v>
      </c>
      <c r="DK25" s="437">
        <v>68.33</v>
      </c>
      <c r="DL25" s="337">
        <v>0</v>
      </c>
      <c r="DM25" s="337">
        <v>0</v>
      </c>
      <c r="DN25" s="337">
        <v>0</v>
      </c>
      <c r="DO25" s="337">
        <v>0</v>
      </c>
      <c r="DP25" s="337">
        <v>0</v>
      </c>
      <c r="DQ25" s="337">
        <v>0</v>
      </c>
      <c r="DR25" s="337">
        <v>0</v>
      </c>
      <c r="DS25" s="337">
        <v>0</v>
      </c>
      <c r="DT25" s="337">
        <v>0</v>
      </c>
      <c r="DU25" s="337">
        <v>0</v>
      </c>
      <c r="DV25" s="337">
        <v>0</v>
      </c>
      <c r="DW25" s="337">
        <v>0</v>
      </c>
      <c r="DX25" s="337">
        <v>0</v>
      </c>
      <c r="DY25" s="337">
        <v>0</v>
      </c>
      <c r="DZ25" s="337">
        <v>0</v>
      </c>
      <c r="EA25" s="337">
        <v>0</v>
      </c>
      <c r="EB25" s="337">
        <v>0</v>
      </c>
      <c r="EC25" s="337">
        <v>0</v>
      </c>
      <c r="ED25" s="337">
        <v>0</v>
      </c>
      <c r="EE25" s="337">
        <v>0</v>
      </c>
      <c r="EF25" s="337">
        <v>0</v>
      </c>
      <c r="EG25" s="337">
        <v>0</v>
      </c>
      <c r="EH25" s="337">
        <v>0</v>
      </c>
      <c r="EI25" s="436">
        <v>4.6900000000000004</v>
      </c>
      <c r="EJ25" s="436">
        <v>5.67</v>
      </c>
      <c r="EK25" s="337">
        <v>0</v>
      </c>
      <c r="EL25" s="337">
        <v>0</v>
      </c>
      <c r="EM25" s="337">
        <v>0</v>
      </c>
      <c r="EN25" s="337">
        <v>0</v>
      </c>
      <c r="EO25" s="337">
        <v>0</v>
      </c>
      <c r="EP25" s="337">
        <v>0</v>
      </c>
      <c r="EQ25" s="337">
        <v>0</v>
      </c>
      <c r="ER25" s="337">
        <v>0</v>
      </c>
      <c r="ES25" s="337">
        <v>8.4600000000000009</v>
      </c>
      <c r="ET25" s="337">
        <v>6.41</v>
      </c>
      <c r="EU25" s="337">
        <v>0</v>
      </c>
      <c r="EV25" s="337">
        <v>0</v>
      </c>
      <c r="EW25" s="337">
        <v>0</v>
      </c>
      <c r="EX25" s="337">
        <v>0</v>
      </c>
      <c r="EY25" s="337">
        <v>0</v>
      </c>
      <c r="EZ25" s="337">
        <v>0</v>
      </c>
      <c r="FA25" s="337">
        <v>83</v>
      </c>
      <c r="FB25" s="337">
        <v>-248.6</v>
      </c>
      <c r="FC25" s="337">
        <v>1803.04</v>
      </c>
      <c r="FD25" s="337">
        <v>1968.64</v>
      </c>
      <c r="FE25" s="19">
        <v>12</v>
      </c>
    </row>
    <row r="26" spans="1:161" s="20" customFormat="1" ht="19.5" customHeight="1">
      <c r="A26" s="19">
        <v>12.15</v>
      </c>
      <c r="B26" s="18">
        <v>253.88</v>
      </c>
      <c r="C26" s="18">
        <v>0</v>
      </c>
      <c r="D26" s="18">
        <v>28.72</v>
      </c>
      <c r="E26" s="18">
        <v>0</v>
      </c>
      <c r="F26" s="18">
        <v>4.01</v>
      </c>
      <c r="G26" s="18">
        <v>0</v>
      </c>
      <c r="H26" s="18">
        <v>1.55</v>
      </c>
      <c r="I26" s="18">
        <v>9.84</v>
      </c>
      <c r="J26" s="18">
        <v>15.86</v>
      </c>
      <c r="K26" s="18">
        <v>0</v>
      </c>
      <c r="L26" s="18">
        <v>9.86</v>
      </c>
      <c r="M26" s="18">
        <v>3.22</v>
      </c>
      <c r="N26" s="18">
        <v>4.74</v>
      </c>
      <c r="O26" s="18">
        <v>6.23</v>
      </c>
      <c r="P26" s="18">
        <v>9.89</v>
      </c>
      <c r="Q26" s="18">
        <v>1.87</v>
      </c>
      <c r="R26" s="18">
        <v>57.33</v>
      </c>
      <c r="S26" s="18">
        <v>102.94</v>
      </c>
      <c r="T26" s="18">
        <v>66.28</v>
      </c>
      <c r="U26" s="18">
        <v>31.62</v>
      </c>
      <c r="V26" s="18">
        <v>1.56</v>
      </c>
      <c r="W26" s="18">
        <v>4.3600000000000003</v>
      </c>
      <c r="X26" s="18">
        <v>5.84</v>
      </c>
      <c r="Y26" s="18">
        <v>6.79</v>
      </c>
      <c r="Z26" s="18">
        <v>77.27</v>
      </c>
      <c r="AA26" s="18">
        <v>43.87</v>
      </c>
      <c r="AB26" s="18">
        <v>3.34</v>
      </c>
      <c r="AC26" s="18">
        <v>11.8</v>
      </c>
      <c r="AD26" s="18">
        <v>3.69</v>
      </c>
      <c r="AE26" s="18">
        <v>40.19</v>
      </c>
      <c r="AF26" s="18">
        <v>3.67</v>
      </c>
      <c r="AG26" s="18">
        <v>1.92</v>
      </c>
      <c r="AH26" s="18">
        <v>2.04</v>
      </c>
      <c r="AI26" s="18">
        <v>0</v>
      </c>
      <c r="AJ26" s="18">
        <v>2</v>
      </c>
      <c r="AK26" s="18">
        <v>0.82</v>
      </c>
      <c r="AL26" s="18">
        <v>0.96</v>
      </c>
      <c r="AM26" s="18">
        <v>2.94</v>
      </c>
      <c r="AN26" s="18">
        <v>0</v>
      </c>
      <c r="AO26" s="18">
        <v>0</v>
      </c>
      <c r="AP26" s="18">
        <v>0.56999999999999995</v>
      </c>
      <c r="AQ26" s="18">
        <v>0</v>
      </c>
      <c r="AR26" s="18">
        <v>0</v>
      </c>
      <c r="AS26" s="18">
        <v>24.71</v>
      </c>
      <c r="AT26" s="18">
        <v>38.130000000000003</v>
      </c>
      <c r="AU26" s="18">
        <v>0.95</v>
      </c>
      <c r="AV26" s="18">
        <v>7.03</v>
      </c>
      <c r="AW26" s="18">
        <v>0</v>
      </c>
      <c r="AX26" s="18">
        <v>8.3000000000000007</v>
      </c>
      <c r="AY26" s="18">
        <v>0</v>
      </c>
      <c r="AZ26" s="18">
        <v>3.04</v>
      </c>
      <c r="BA26" s="18">
        <v>1.02</v>
      </c>
      <c r="BB26" s="18">
        <v>2.38</v>
      </c>
      <c r="BC26" s="18">
        <v>2.7</v>
      </c>
      <c r="BD26" s="18">
        <v>2.2000000000000002</v>
      </c>
      <c r="BE26" s="18">
        <v>0.71</v>
      </c>
      <c r="BF26" s="18">
        <v>0.54</v>
      </c>
      <c r="BG26" s="18">
        <v>1.69</v>
      </c>
      <c r="BH26" s="18">
        <v>14.58</v>
      </c>
      <c r="BI26" s="18">
        <v>14.2</v>
      </c>
      <c r="BJ26" s="18">
        <v>0</v>
      </c>
      <c r="BK26" s="18">
        <v>0</v>
      </c>
      <c r="BL26" s="18">
        <v>46.73</v>
      </c>
      <c r="BM26" s="18">
        <v>27.59</v>
      </c>
      <c r="BN26" s="18">
        <v>60.96</v>
      </c>
      <c r="BO26" s="18">
        <v>56.27</v>
      </c>
      <c r="BP26" s="18">
        <v>70.430000000000007</v>
      </c>
      <c r="BQ26" s="18">
        <v>11.41</v>
      </c>
      <c r="BR26" s="18">
        <v>47.13</v>
      </c>
      <c r="BS26" s="18">
        <v>41.48</v>
      </c>
      <c r="BT26" s="18">
        <v>88.41</v>
      </c>
      <c r="BU26" s="18">
        <v>16.63</v>
      </c>
      <c r="BV26" s="18">
        <v>13.7</v>
      </c>
      <c r="BW26" s="18">
        <v>20.29</v>
      </c>
      <c r="BX26" s="18">
        <v>13.8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4">
        <v>30.69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4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4">
        <v>30.47</v>
      </c>
      <c r="DF26" s="434">
        <v>62.2</v>
      </c>
      <c r="DG26" s="434">
        <v>10.33</v>
      </c>
      <c r="DH26" s="434">
        <v>56.85</v>
      </c>
      <c r="DI26" s="337">
        <v>0</v>
      </c>
      <c r="DJ26" s="436">
        <v>18.329999999999998</v>
      </c>
      <c r="DK26" s="437">
        <v>67.7</v>
      </c>
      <c r="DL26" s="337">
        <v>0</v>
      </c>
      <c r="DM26" s="337">
        <v>0</v>
      </c>
      <c r="DN26" s="337">
        <v>0</v>
      </c>
      <c r="DO26" s="337">
        <v>0</v>
      </c>
      <c r="DP26" s="337">
        <v>0</v>
      </c>
      <c r="DQ26" s="337">
        <v>0</v>
      </c>
      <c r="DR26" s="337">
        <v>0</v>
      </c>
      <c r="DS26" s="337">
        <v>0</v>
      </c>
      <c r="DT26" s="337">
        <v>0</v>
      </c>
      <c r="DU26" s="337">
        <v>0</v>
      </c>
      <c r="DV26" s="337">
        <v>0</v>
      </c>
      <c r="DW26" s="337">
        <v>0</v>
      </c>
      <c r="DX26" s="337">
        <v>0</v>
      </c>
      <c r="DY26" s="337">
        <v>0</v>
      </c>
      <c r="DZ26" s="337">
        <v>0</v>
      </c>
      <c r="EA26" s="337">
        <v>0</v>
      </c>
      <c r="EB26" s="337">
        <v>0</v>
      </c>
      <c r="EC26" s="337">
        <v>0</v>
      </c>
      <c r="ED26" s="337">
        <v>0</v>
      </c>
      <c r="EE26" s="337">
        <v>0</v>
      </c>
      <c r="EF26" s="337">
        <v>0</v>
      </c>
      <c r="EG26" s="337">
        <v>0</v>
      </c>
      <c r="EH26" s="337">
        <v>0</v>
      </c>
      <c r="EI26" s="436">
        <v>4.29</v>
      </c>
      <c r="EJ26" s="436">
        <v>5.6</v>
      </c>
      <c r="EK26" s="337">
        <v>0</v>
      </c>
      <c r="EL26" s="337">
        <v>0</v>
      </c>
      <c r="EM26" s="337">
        <v>0</v>
      </c>
      <c r="EN26" s="337">
        <v>0</v>
      </c>
      <c r="EO26" s="337">
        <v>0</v>
      </c>
      <c r="EP26" s="337">
        <v>0</v>
      </c>
      <c r="EQ26" s="337">
        <v>0</v>
      </c>
      <c r="ER26" s="337">
        <v>0</v>
      </c>
      <c r="ES26" s="337">
        <v>5.37</v>
      </c>
      <c r="ET26" s="337">
        <v>6.37</v>
      </c>
      <c r="EU26" s="337">
        <v>0</v>
      </c>
      <c r="EV26" s="337">
        <v>0</v>
      </c>
      <c r="EW26" s="337">
        <v>0</v>
      </c>
      <c r="EX26" s="337">
        <v>0</v>
      </c>
      <c r="EY26" s="337">
        <v>0</v>
      </c>
      <c r="EZ26" s="337">
        <v>0</v>
      </c>
      <c r="FA26" s="337">
        <v>123.21</v>
      </c>
      <c r="FB26" s="337">
        <v>-299</v>
      </c>
      <c r="FC26" s="337">
        <v>1779.69</v>
      </c>
      <c r="FD26" s="337">
        <v>1955.48</v>
      </c>
      <c r="FE26" s="19">
        <v>12.15</v>
      </c>
    </row>
    <row r="27" spans="1:161" s="20" customFormat="1" ht="19.5" customHeight="1">
      <c r="A27" s="19">
        <v>12.3</v>
      </c>
      <c r="B27" s="18">
        <v>249.55</v>
      </c>
      <c r="C27" s="18">
        <v>0</v>
      </c>
      <c r="D27" s="18">
        <v>34.04</v>
      </c>
      <c r="E27" s="18">
        <v>0</v>
      </c>
      <c r="F27" s="18">
        <v>4.01</v>
      </c>
      <c r="G27" s="18">
        <v>0</v>
      </c>
      <c r="H27" s="18">
        <v>1.57</v>
      </c>
      <c r="I27" s="18">
        <v>9.74</v>
      </c>
      <c r="J27" s="18">
        <v>15.9</v>
      </c>
      <c r="K27" s="18">
        <v>0</v>
      </c>
      <c r="L27" s="18">
        <v>9.86</v>
      </c>
      <c r="M27" s="18">
        <v>3.22</v>
      </c>
      <c r="N27" s="18">
        <v>4.84</v>
      </c>
      <c r="O27" s="18">
        <v>16.100000000000001</v>
      </c>
      <c r="P27" s="18">
        <v>9.9</v>
      </c>
      <c r="Q27" s="18">
        <v>1.86</v>
      </c>
      <c r="R27" s="18">
        <v>50.9</v>
      </c>
      <c r="S27" s="18">
        <v>103.08</v>
      </c>
      <c r="T27" s="18">
        <v>66.37</v>
      </c>
      <c r="U27" s="18">
        <v>35.53</v>
      </c>
      <c r="V27" s="18">
        <v>1.56</v>
      </c>
      <c r="W27" s="18">
        <v>4.33</v>
      </c>
      <c r="X27" s="18">
        <v>9.7899999999999991</v>
      </c>
      <c r="Y27" s="18">
        <v>8.69</v>
      </c>
      <c r="Z27" s="18">
        <v>87.98</v>
      </c>
      <c r="AA27" s="18">
        <v>51.55</v>
      </c>
      <c r="AB27" s="18">
        <v>3.33</v>
      </c>
      <c r="AC27" s="18">
        <v>11.55</v>
      </c>
      <c r="AD27" s="18">
        <v>3.65</v>
      </c>
      <c r="AE27" s="18">
        <v>40.25</v>
      </c>
      <c r="AF27" s="18">
        <v>3.62</v>
      </c>
      <c r="AG27" s="18">
        <v>1.94</v>
      </c>
      <c r="AH27" s="18">
        <v>2.0299999999999998</v>
      </c>
      <c r="AI27" s="18">
        <v>0</v>
      </c>
      <c r="AJ27" s="18">
        <v>2.0099999999999998</v>
      </c>
      <c r="AK27" s="18">
        <v>0.81</v>
      </c>
      <c r="AL27" s="18">
        <v>0.97</v>
      </c>
      <c r="AM27" s="18">
        <v>3</v>
      </c>
      <c r="AN27" s="18">
        <v>0</v>
      </c>
      <c r="AO27" s="18">
        <v>0</v>
      </c>
      <c r="AP27" s="18">
        <v>0.56000000000000005</v>
      </c>
      <c r="AQ27" s="18">
        <v>0</v>
      </c>
      <c r="AR27" s="18">
        <v>0</v>
      </c>
      <c r="AS27" s="18">
        <v>24.71</v>
      </c>
      <c r="AT27" s="18">
        <v>48.5</v>
      </c>
      <c r="AU27" s="18">
        <v>0.98</v>
      </c>
      <c r="AV27" s="18">
        <v>7.06</v>
      </c>
      <c r="AW27" s="18">
        <v>0</v>
      </c>
      <c r="AX27" s="18">
        <v>8.3000000000000007</v>
      </c>
      <c r="AY27" s="18">
        <v>0</v>
      </c>
      <c r="AZ27" s="18">
        <v>2.85</v>
      </c>
      <c r="BA27" s="18">
        <v>1.02</v>
      </c>
      <c r="BB27" s="18">
        <v>2.38</v>
      </c>
      <c r="BC27" s="18">
        <v>2.68</v>
      </c>
      <c r="BD27" s="18">
        <v>2.2000000000000002</v>
      </c>
      <c r="BE27" s="18">
        <v>0.67</v>
      </c>
      <c r="BF27" s="18">
        <v>0.54</v>
      </c>
      <c r="BG27" s="18">
        <v>1.69</v>
      </c>
      <c r="BH27" s="18">
        <v>14.39</v>
      </c>
      <c r="BI27" s="18">
        <v>14.1</v>
      </c>
      <c r="BJ27" s="18">
        <v>0</v>
      </c>
      <c r="BK27" s="18">
        <v>0</v>
      </c>
      <c r="BL27" s="18">
        <v>45.39</v>
      </c>
      <c r="BM27" s="18">
        <v>27.31</v>
      </c>
      <c r="BN27" s="18">
        <v>60.91</v>
      </c>
      <c r="BO27" s="18">
        <v>41.29</v>
      </c>
      <c r="BP27" s="18">
        <v>73.459999999999994</v>
      </c>
      <c r="BQ27" s="18">
        <v>11.82</v>
      </c>
      <c r="BR27" s="18">
        <v>42.12</v>
      </c>
      <c r="BS27" s="18">
        <v>45.57</v>
      </c>
      <c r="BT27" s="18">
        <v>83.56</v>
      </c>
      <c r="BU27" s="18">
        <v>19.16</v>
      </c>
      <c r="BV27" s="18">
        <v>11.2</v>
      </c>
      <c r="BW27" s="18">
        <v>19.760000000000002</v>
      </c>
      <c r="BX27" s="18">
        <v>12.68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4">
        <v>30.86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4">
        <v>22.01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4">
        <v>30.25</v>
      </c>
      <c r="DF27" s="434">
        <v>62.2</v>
      </c>
      <c r="DG27" s="434">
        <v>10.38</v>
      </c>
      <c r="DH27" s="434">
        <v>57.32</v>
      </c>
      <c r="DI27" s="337">
        <v>0</v>
      </c>
      <c r="DJ27" s="436">
        <v>19.63</v>
      </c>
      <c r="DK27" s="437">
        <v>67.489999999999995</v>
      </c>
      <c r="DL27" s="337">
        <v>0</v>
      </c>
      <c r="DM27" s="337">
        <v>0</v>
      </c>
      <c r="DN27" s="337">
        <v>0</v>
      </c>
      <c r="DO27" s="337">
        <v>0</v>
      </c>
      <c r="DP27" s="337">
        <v>0</v>
      </c>
      <c r="DQ27" s="337">
        <v>0</v>
      </c>
      <c r="DR27" s="337">
        <v>0</v>
      </c>
      <c r="DS27" s="337">
        <v>0</v>
      </c>
      <c r="DT27" s="337">
        <v>0</v>
      </c>
      <c r="DU27" s="337">
        <v>0</v>
      </c>
      <c r="DV27" s="337">
        <v>0</v>
      </c>
      <c r="DW27" s="337">
        <v>0</v>
      </c>
      <c r="DX27" s="337">
        <v>0</v>
      </c>
      <c r="DY27" s="337">
        <v>0</v>
      </c>
      <c r="DZ27" s="337">
        <v>0</v>
      </c>
      <c r="EA27" s="337">
        <v>0</v>
      </c>
      <c r="EB27" s="337">
        <v>0</v>
      </c>
      <c r="EC27" s="337">
        <v>0</v>
      </c>
      <c r="ED27" s="337">
        <v>0</v>
      </c>
      <c r="EE27" s="337">
        <v>0</v>
      </c>
      <c r="EF27" s="337">
        <v>0</v>
      </c>
      <c r="EG27" s="337">
        <v>0</v>
      </c>
      <c r="EH27" s="337">
        <v>0</v>
      </c>
      <c r="EI27" s="436">
        <v>3.78</v>
      </c>
      <c r="EJ27" s="436">
        <v>5.87</v>
      </c>
      <c r="EK27" s="337">
        <v>0</v>
      </c>
      <c r="EL27" s="337">
        <v>0</v>
      </c>
      <c r="EM27" s="337">
        <v>0</v>
      </c>
      <c r="EN27" s="337">
        <v>0</v>
      </c>
      <c r="EO27" s="337">
        <v>0</v>
      </c>
      <c r="EP27" s="337">
        <v>0</v>
      </c>
      <c r="EQ27" s="337">
        <v>0</v>
      </c>
      <c r="ER27" s="337">
        <v>0</v>
      </c>
      <c r="ES27" s="337">
        <v>5.33</v>
      </c>
      <c r="ET27" s="337">
        <v>6.34</v>
      </c>
      <c r="EU27" s="337">
        <v>0</v>
      </c>
      <c r="EV27" s="337">
        <v>0</v>
      </c>
      <c r="EW27" s="337">
        <v>0</v>
      </c>
      <c r="EX27" s="337">
        <v>0</v>
      </c>
      <c r="EY27" s="337">
        <v>0</v>
      </c>
      <c r="EZ27" s="337">
        <v>0</v>
      </c>
      <c r="FA27" s="337">
        <v>68.47</v>
      </c>
      <c r="FB27" s="337">
        <v>-214.8</v>
      </c>
      <c r="FC27" s="337">
        <v>1801.85</v>
      </c>
      <c r="FD27" s="337">
        <v>1948.18</v>
      </c>
      <c r="FE27" s="19">
        <v>12.3</v>
      </c>
    </row>
    <row r="28" spans="1:161" s="20" customFormat="1" ht="19.5" customHeight="1">
      <c r="A28" s="19">
        <v>12.45</v>
      </c>
      <c r="B28" s="18">
        <v>229.92</v>
      </c>
      <c r="C28" s="18">
        <v>29.67</v>
      </c>
      <c r="D28" s="18">
        <v>28.39</v>
      </c>
      <c r="E28" s="18">
        <v>0</v>
      </c>
      <c r="F28" s="18">
        <v>4.01</v>
      </c>
      <c r="G28" s="18">
        <v>0</v>
      </c>
      <c r="H28" s="18">
        <v>1.57</v>
      </c>
      <c r="I28" s="18">
        <v>9.84</v>
      </c>
      <c r="J28" s="18">
        <v>15.8</v>
      </c>
      <c r="K28" s="18">
        <v>0</v>
      </c>
      <c r="L28" s="18">
        <v>9.8699999999999992</v>
      </c>
      <c r="M28" s="18">
        <v>3.18</v>
      </c>
      <c r="N28" s="18">
        <v>4.83</v>
      </c>
      <c r="O28" s="18">
        <v>16.100000000000001</v>
      </c>
      <c r="P28" s="18">
        <v>9.9</v>
      </c>
      <c r="Q28" s="18">
        <v>1.86</v>
      </c>
      <c r="R28" s="18">
        <v>51.04</v>
      </c>
      <c r="S28" s="18">
        <v>103.18</v>
      </c>
      <c r="T28" s="18">
        <v>66.3</v>
      </c>
      <c r="U28" s="18">
        <v>32</v>
      </c>
      <c r="V28" s="18">
        <v>1.55</v>
      </c>
      <c r="W28" s="18">
        <v>4.33</v>
      </c>
      <c r="X28" s="18">
        <v>5.84</v>
      </c>
      <c r="Y28" s="18">
        <v>6.69</v>
      </c>
      <c r="Z28" s="18">
        <v>75.97</v>
      </c>
      <c r="AA28" s="18">
        <v>43.05</v>
      </c>
      <c r="AB28" s="18">
        <v>3.33</v>
      </c>
      <c r="AC28" s="18">
        <v>11.63</v>
      </c>
      <c r="AD28" s="18">
        <v>3.69</v>
      </c>
      <c r="AE28" s="18">
        <v>40.200000000000003</v>
      </c>
      <c r="AF28" s="18">
        <v>3.66</v>
      </c>
      <c r="AG28" s="18">
        <v>1.89</v>
      </c>
      <c r="AH28" s="18">
        <v>2.0299999999999998</v>
      </c>
      <c r="AI28" s="18">
        <v>0</v>
      </c>
      <c r="AJ28" s="18">
        <v>2.0099999999999998</v>
      </c>
      <c r="AK28" s="18">
        <v>0.81</v>
      </c>
      <c r="AL28" s="18">
        <v>0.97</v>
      </c>
      <c r="AM28" s="18">
        <v>2.98</v>
      </c>
      <c r="AN28" s="18">
        <v>0</v>
      </c>
      <c r="AO28" s="18">
        <v>0</v>
      </c>
      <c r="AP28" s="18">
        <v>0.56999999999999995</v>
      </c>
      <c r="AQ28" s="18">
        <v>0</v>
      </c>
      <c r="AR28" s="18">
        <v>0</v>
      </c>
      <c r="AS28" s="18">
        <v>24.7</v>
      </c>
      <c r="AT28" s="18">
        <v>36.770000000000003</v>
      </c>
      <c r="AU28" s="18">
        <v>1.01</v>
      </c>
      <c r="AV28" s="18">
        <v>7.02</v>
      </c>
      <c r="AW28" s="18">
        <v>0</v>
      </c>
      <c r="AX28" s="18">
        <v>8.3000000000000007</v>
      </c>
      <c r="AY28" s="18">
        <v>0</v>
      </c>
      <c r="AZ28" s="18">
        <v>2.6</v>
      </c>
      <c r="BA28" s="18">
        <v>1.01</v>
      </c>
      <c r="BB28" s="18">
        <v>2.83</v>
      </c>
      <c r="BC28" s="18">
        <v>2.69</v>
      </c>
      <c r="BD28" s="18">
        <v>2.2000000000000002</v>
      </c>
      <c r="BE28" s="18">
        <v>0.63</v>
      </c>
      <c r="BF28" s="18">
        <v>0.54</v>
      </c>
      <c r="BG28" s="18">
        <v>1.69</v>
      </c>
      <c r="BH28" s="18">
        <v>14.6</v>
      </c>
      <c r="BI28" s="18">
        <v>14</v>
      </c>
      <c r="BJ28" s="18">
        <v>0</v>
      </c>
      <c r="BK28" s="18">
        <v>0</v>
      </c>
      <c r="BL28" s="18">
        <v>46.31</v>
      </c>
      <c r="BM28" s="18">
        <v>28.24</v>
      </c>
      <c r="BN28" s="18">
        <v>52.34</v>
      </c>
      <c r="BO28" s="18">
        <v>61.98</v>
      </c>
      <c r="BP28" s="18">
        <v>71.599999999999994</v>
      </c>
      <c r="BQ28" s="18">
        <v>10.88</v>
      </c>
      <c r="BR28" s="18">
        <v>37.93</v>
      </c>
      <c r="BS28" s="18">
        <v>36.729999999999997</v>
      </c>
      <c r="BT28" s="18">
        <v>88.49</v>
      </c>
      <c r="BU28" s="18">
        <v>15.62</v>
      </c>
      <c r="BV28" s="18">
        <v>12.6</v>
      </c>
      <c r="BW28" s="18">
        <v>16.41</v>
      </c>
      <c r="BX28" s="18">
        <v>12.34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4">
        <v>30.86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4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4">
        <v>30.24</v>
      </c>
      <c r="DF28" s="434">
        <v>62.3</v>
      </c>
      <c r="DG28" s="434">
        <v>10.51</v>
      </c>
      <c r="DH28" s="434">
        <v>57.71</v>
      </c>
      <c r="DI28" s="337">
        <v>0</v>
      </c>
      <c r="DJ28" s="436">
        <v>18.510000000000002</v>
      </c>
      <c r="DK28" s="437">
        <v>67.7</v>
      </c>
      <c r="DL28" s="337">
        <v>0</v>
      </c>
      <c r="DM28" s="337">
        <v>0</v>
      </c>
      <c r="DN28" s="337">
        <v>0</v>
      </c>
      <c r="DO28" s="337">
        <v>0</v>
      </c>
      <c r="DP28" s="337">
        <v>0</v>
      </c>
      <c r="DQ28" s="337">
        <v>0</v>
      </c>
      <c r="DR28" s="337">
        <v>0</v>
      </c>
      <c r="DS28" s="337">
        <v>0</v>
      </c>
      <c r="DT28" s="337">
        <v>0</v>
      </c>
      <c r="DU28" s="337">
        <v>0</v>
      </c>
      <c r="DV28" s="337">
        <v>0</v>
      </c>
      <c r="DW28" s="337">
        <v>0</v>
      </c>
      <c r="DX28" s="337">
        <v>0</v>
      </c>
      <c r="DY28" s="337">
        <v>0</v>
      </c>
      <c r="DZ28" s="337">
        <v>0</v>
      </c>
      <c r="EA28" s="337">
        <v>0</v>
      </c>
      <c r="EB28" s="337">
        <v>0</v>
      </c>
      <c r="EC28" s="337">
        <v>0</v>
      </c>
      <c r="ED28" s="337">
        <v>0</v>
      </c>
      <c r="EE28" s="337">
        <v>0</v>
      </c>
      <c r="EF28" s="337">
        <v>0</v>
      </c>
      <c r="EG28" s="337">
        <v>0</v>
      </c>
      <c r="EH28" s="337">
        <v>0</v>
      </c>
      <c r="EI28" s="436">
        <v>3.82</v>
      </c>
      <c r="EJ28" s="436">
        <v>5.7</v>
      </c>
      <c r="EK28" s="337">
        <v>0</v>
      </c>
      <c r="EL28" s="337">
        <v>0</v>
      </c>
      <c r="EM28" s="337">
        <v>0</v>
      </c>
      <c r="EN28" s="337">
        <v>0</v>
      </c>
      <c r="EO28" s="337">
        <v>0</v>
      </c>
      <c r="EP28" s="337">
        <v>0</v>
      </c>
      <c r="EQ28" s="337">
        <v>0</v>
      </c>
      <c r="ER28" s="337">
        <v>0</v>
      </c>
      <c r="ES28" s="337">
        <v>5.33</v>
      </c>
      <c r="ET28" s="337">
        <v>8.73</v>
      </c>
      <c r="EU28" s="337">
        <v>0</v>
      </c>
      <c r="EV28" s="337">
        <v>0</v>
      </c>
      <c r="EW28" s="337">
        <v>0</v>
      </c>
      <c r="EX28" s="337">
        <v>0</v>
      </c>
      <c r="EY28" s="337">
        <v>0</v>
      </c>
      <c r="EZ28" s="337">
        <v>0</v>
      </c>
      <c r="FA28" s="337">
        <v>61.55</v>
      </c>
      <c r="FB28" s="337">
        <v>-275.10000000000002</v>
      </c>
      <c r="FC28" s="337">
        <v>1765.14</v>
      </c>
      <c r="FD28" s="337">
        <v>1978.69</v>
      </c>
      <c r="FE28" s="19">
        <v>12.45</v>
      </c>
    </row>
    <row r="29" spans="1:161" s="20" customFormat="1" ht="19.5" customHeight="1">
      <c r="A29" s="21">
        <v>13</v>
      </c>
      <c r="B29" s="18">
        <v>256.88</v>
      </c>
      <c r="C29" s="18">
        <v>27.62</v>
      </c>
      <c r="D29" s="18">
        <v>33.15</v>
      </c>
      <c r="E29" s="18">
        <v>0</v>
      </c>
      <c r="F29" s="18">
        <v>4.01</v>
      </c>
      <c r="G29" s="18">
        <v>0</v>
      </c>
      <c r="H29" s="18">
        <v>1.57</v>
      </c>
      <c r="I29" s="18">
        <v>9.84</v>
      </c>
      <c r="J29" s="18">
        <v>15.98</v>
      </c>
      <c r="K29" s="18">
        <v>0</v>
      </c>
      <c r="L29" s="18">
        <v>9.8699999999999992</v>
      </c>
      <c r="M29" s="18">
        <v>3.18</v>
      </c>
      <c r="N29" s="18">
        <v>5.01</v>
      </c>
      <c r="O29" s="18">
        <v>17</v>
      </c>
      <c r="P29" s="18">
        <v>10.98</v>
      </c>
      <c r="Q29" s="18">
        <v>1.85</v>
      </c>
      <c r="R29" s="18">
        <v>51</v>
      </c>
      <c r="S29" s="18">
        <v>103.52</v>
      </c>
      <c r="T29" s="18">
        <v>66.150000000000006</v>
      </c>
      <c r="U29" s="18">
        <v>42.35</v>
      </c>
      <c r="V29" s="18">
        <v>1.55</v>
      </c>
      <c r="W29" s="18">
        <v>4.3099999999999996</v>
      </c>
      <c r="X29" s="18">
        <v>5.86</v>
      </c>
      <c r="Y29" s="18">
        <v>6.77</v>
      </c>
      <c r="Z29" s="18">
        <v>85.5</v>
      </c>
      <c r="AA29" s="18">
        <v>50.27</v>
      </c>
      <c r="AB29" s="18">
        <v>3.38</v>
      </c>
      <c r="AC29" s="18">
        <v>11.67</v>
      </c>
      <c r="AD29" s="18">
        <v>5.65</v>
      </c>
      <c r="AE29" s="18">
        <v>66.260000000000005</v>
      </c>
      <c r="AF29" s="18">
        <v>3.66</v>
      </c>
      <c r="AG29" s="18">
        <v>1.9</v>
      </c>
      <c r="AH29" s="18">
        <v>2.0299999999999998</v>
      </c>
      <c r="AI29" s="18">
        <v>0</v>
      </c>
      <c r="AJ29" s="18">
        <v>2.02</v>
      </c>
      <c r="AK29" s="18">
        <v>0.81</v>
      </c>
      <c r="AL29" s="18">
        <v>0.97</v>
      </c>
      <c r="AM29" s="18">
        <v>2.99</v>
      </c>
      <c r="AN29" s="18">
        <v>0</v>
      </c>
      <c r="AO29" s="18">
        <v>0</v>
      </c>
      <c r="AP29" s="18">
        <v>0.54</v>
      </c>
      <c r="AQ29" s="18">
        <v>0</v>
      </c>
      <c r="AR29" s="18">
        <v>0</v>
      </c>
      <c r="AS29" s="18">
        <v>24.66</v>
      </c>
      <c r="AT29" s="18">
        <v>46.81</v>
      </c>
      <c r="AU29" s="18">
        <v>1.02</v>
      </c>
      <c r="AV29" s="18">
        <v>7.03</v>
      </c>
      <c r="AW29" s="18">
        <v>0</v>
      </c>
      <c r="AX29" s="18">
        <v>8.4</v>
      </c>
      <c r="AY29" s="18">
        <v>0</v>
      </c>
      <c r="AZ29" s="18">
        <v>2.5299999999999998</v>
      </c>
      <c r="BA29" s="18">
        <v>1.03</v>
      </c>
      <c r="BB29" s="18">
        <v>2.4700000000000002</v>
      </c>
      <c r="BC29" s="18">
        <v>2.7</v>
      </c>
      <c r="BD29" s="18">
        <v>1.04</v>
      </c>
      <c r="BE29" s="18">
        <v>0.57999999999999996</v>
      </c>
      <c r="BF29" s="18">
        <v>0.54</v>
      </c>
      <c r="BG29" s="18">
        <v>1.69</v>
      </c>
      <c r="BH29" s="18">
        <v>14.38</v>
      </c>
      <c r="BI29" s="18">
        <v>14</v>
      </c>
      <c r="BJ29" s="18">
        <v>0</v>
      </c>
      <c r="BK29" s="18">
        <v>0</v>
      </c>
      <c r="BL29" s="18">
        <v>46.96</v>
      </c>
      <c r="BM29" s="18">
        <v>29.62</v>
      </c>
      <c r="BN29" s="18">
        <v>29.86</v>
      </c>
      <c r="BO29" s="18">
        <v>34.21</v>
      </c>
      <c r="BP29" s="18">
        <v>70.17</v>
      </c>
      <c r="BQ29" s="18">
        <v>11.73</v>
      </c>
      <c r="BR29" s="18">
        <v>29.52</v>
      </c>
      <c r="BS29" s="18">
        <v>46.91</v>
      </c>
      <c r="BT29" s="18">
        <v>76.709999999999994</v>
      </c>
      <c r="BU29" s="18">
        <v>17.329999999999998</v>
      </c>
      <c r="BV29" s="18">
        <v>8.1999999999999993</v>
      </c>
      <c r="BW29" s="18">
        <v>25.54</v>
      </c>
      <c r="BX29" s="18">
        <v>12.15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4">
        <v>30.86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4">
        <v>23.01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4">
        <v>30.18</v>
      </c>
      <c r="DF29" s="434">
        <v>62.6</v>
      </c>
      <c r="DG29" s="434">
        <v>10.36</v>
      </c>
      <c r="DH29" s="434">
        <v>56.99</v>
      </c>
      <c r="DI29" s="337">
        <v>0</v>
      </c>
      <c r="DJ29" s="436">
        <v>19.34</v>
      </c>
      <c r="DK29" s="437">
        <v>67.42</v>
      </c>
      <c r="DL29" s="337">
        <v>0</v>
      </c>
      <c r="DM29" s="337">
        <v>0</v>
      </c>
      <c r="DN29" s="337">
        <v>0</v>
      </c>
      <c r="DO29" s="337">
        <v>0</v>
      </c>
      <c r="DP29" s="337">
        <v>0</v>
      </c>
      <c r="DQ29" s="337">
        <v>0</v>
      </c>
      <c r="DR29" s="337">
        <v>0</v>
      </c>
      <c r="DS29" s="337">
        <v>0</v>
      </c>
      <c r="DT29" s="337">
        <v>0</v>
      </c>
      <c r="DU29" s="337">
        <v>0</v>
      </c>
      <c r="DV29" s="337">
        <v>0</v>
      </c>
      <c r="DW29" s="337">
        <v>0</v>
      </c>
      <c r="DX29" s="337">
        <v>0</v>
      </c>
      <c r="DY29" s="337">
        <v>0</v>
      </c>
      <c r="DZ29" s="337">
        <v>0</v>
      </c>
      <c r="EA29" s="337">
        <v>0</v>
      </c>
      <c r="EB29" s="337">
        <v>0</v>
      </c>
      <c r="EC29" s="337">
        <v>0</v>
      </c>
      <c r="ED29" s="337">
        <v>0</v>
      </c>
      <c r="EE29" s="337">
        <v>0</v>
      </c>
      <c r="EF29" s="337">
        <v>0</v>
      </c>
      <c r="EG29" s="337">
        <v>0</v>
      </c>
      <c r="EH29" s="337">
        <v>0</v>
      </c>
      <c r="EI29" s="436">
        <v>3.66</v>
      </c>
      <c r="EJ29" s="436">
        <v>5.93</v>
      </c>
      <c r="EK29" s="337">
        <v>0</v>
      </c>
      <c r="EL29" s="337">
        <v>0</v>
      </c>
      <c r="EM29" s="337">
        <v>0</v>
      </c>
      <c r="EN29" s="337">
        <v>0</v>
      </c>
      <c r="EO29" s="337">
        <v>0</v>
      </c>
      <c r="EP29" s="337">
        <v>0</v>
      </c>
      <c r="EQ29" s="337">
        <v>0</v>
      </c>
      <c r="ER29" s="337">
        <v>0</v>
      </c>
      <c r="ES29" s="337">
        <v>5.32</v>
      </c>
      <c r="ET29" s="337">
        <v>12.85</v>
      </c>
      <c r="EU29" s="337">
        <v>0</v>
      </c>
      <c r="EV29" s="337">
        <v>0</v>
      </c>
      <c r="EW29" s="337">
        <v>0</v>
      </c>
      <c r="EX29" s="337">
        <v>0</v>
      </c>
      <c r="EY29" s="337">
        <v>0</v>
      </c>
      <c r="EZ29" s="337">
        <v>0</v>
      </c>
      <c r="FA29" s="337">
        <v>84.01</v>
      </c>
      <c r="FB29" s="337">
        <v>-264</v>
      </c>
      <c r="FC29" s="337">
        <v>1812.41</v>
      </c>
      <c r="FD29" s="337">
        <v>1992.4</v>
      </c>
      <c r="FE29" s="21">
        <v>13</v>
      </c>
    </row>
    <row r="30" spans="1:161" s="20" customFormat="1" ht="19.5" customHeight="1">
      <c r="A30" s="433">
        <v>14</v>
      </c>
      <c r="B30" s="18">
        <v>273.18</v>
      </c>
      <c r="C30" s="18">
        <v>41.37</v>
      </c>
      <c r="D30" s="18">
        <v>38.11</v>
      </c>
      <c r="E30" s="18">
        <v>0</v>
      </c>
      <c r="F30" s="18">
        <v>4.01</v>
      </c>
      <c r="G30" s="18">
        <v>0</v>
      </c>
      <c r="H30" s="18">
        <v>1.74</v>
      </c>
      <c r="I30" s="18">
        <v>9.85</v>
      </c>
      <c r="J30" s="18">
        <v>15.95</v>
      </c>
      <c r="K30" s="18">
        <v>0</v>
      </c>
      <c r="L30" s="18">
        <v>9.86</v>
      </c>
      <c r="M30" s="18">
        <v>3.22</v>
      </c>
      <c r="N30" s="18">
        <v>4.87</v>
      </c>
      <c r="O30" s="18">
        <v>35.85</v>
      </c>
      <c r="P30" s="18">
        <v>42.83</v>
      </c>
      <c r="Q30" s="18">
        <v>5.56</v>
      </c>
      <c r="R30" s="18">
        <v>50.77</v>
      </c>
      <c r="S30" s="18">
        <v>103.57</v>
      </c>
      <c r="T30" s="18">
        <v>66.06</v>
      </c>
      <c r="U30" s="18">
        <v>49.64</v>
      </c>
      <c r="V30" s="18">
        <v>1.56</v>
      </c>
      <c r="W30" s="18">
        <v>4.33</v>
      </c>
      <c r="X30" s="18">
        <v>9.59</v>
      </c>
      <c r="Y30" s="18">
        <v>8.7100000000000009</v>
      </c>
      <c r="Z30" s="18">
        <v>94.71</v>
      </c>
      <c r="AA30" s="18">
        <v>57.24</v>
      </c>
      <c r="AB30" s="18">
        <v>3.34</v>
      </c>
      <c r="AC30" s="18">
        <v>13.91</v>
      </c>
      <c r="AD30" s="18">
        <v>9.26</v>
      </c>
      <c r="AE30" s="18">
        <v>83.04</v>
      </c>
      <c r="AF30" s="18">
        <v>3.33</v>
      </c>
      <c r="AG30" s="18">
        <v>1.89</v>
      </c>
      <c r="AH30" s="18">
        <v>2.0299999999999998</v>
      </c>
      <c r="AI30" s="18">
        <v>0</v>
      </c>
      <c r="AJ30" s="18">
        <v>2.0099999999999998</v>
      </c>
      <c r="AK30" s="18">
        <v>0.8</v>
      </c>
      <c r="AL30" s="18">
        <v>1.1399999999999999</v>
      </c>
      <c r="AM30" s="18">
        <v>17.84</v>
      </c>
      <c r="AN30" s="18">
        <v>0</v>
      </c>
      <c r="AO30" s="18">
        <v>1.66</v>
      </c>
      <c r="AP30" s="18">
        <v>0.56000000000000005</v>
      </c>
      <c r="AQ30" s="18">
        <v>3.53</v>
      </c>
      <c r="AR30" s="18">
        <v>0</v>
      </c>
      <c r="AS30" s="18">
        <v>24.72</v>
      </c>
      <c r="AT30" s="18">
        <v>55.97</v>
      </c>
      <c r="AU30" s="18">
        <v>1.06</v>
      </c>
      <c r="AV30" s="18">
        <v>0</v>
      </c>
      <c r="AW30" s="18">
        <v>0</v>
      </c>
      <c r="AX30" s="18">
        <v>8.4</v>
      </c>
      <c r="AY30" s="18">
        <v>0</v>
      </c>
      <c r="AZ30" s="18">
        <v>2.48</v>
      </c>
      <c r="BA30" s="18">
        <v>1.03</v>
      </c>
      <c r="BB30" s="18">
        <v>2.35</v>
      </c>
      <c r="BC30" s="18">
        <v>2.68</v>
      </c>
      <c r="BD30" s="18">
        <v>2.2000000000000002</v>
      </c>
      <c r="BE30" s="18">
        <v>0</v>
      </c>
      <c r="BF30" s="18">
        <v>0.54</v>
      </c>
      <c r="BG30" s="18">
        <v>1.68</v>
      </c>
      <c r="BH30" s="18">
        <v>14.88</v>
      </c>
      <c r="BI30" s="18">
        <v>14</v>
      </c>
      <c r="BJ30" s="18">
        <v>0</v>
      </c>
      <c r="BK30" s="18">
        <v>0</v>
      </c>
      <c r="BL30" s="18">
        <v>45.53</v>
      </c>
      <c r="BM30" s="18">
        <v>25.53</v>
      </c>
      <c r="BN30" s="18">
        <v>31.37</v>
      </c>
      <c r="BO30" s="18">
        <v>32.68</v>
      </c>
      <c r="BP30" s="18">
        <v>28.39</v>
      </c>
      <c r="BQ30" s="18">
        <v>6.48</v>
      </c>
      <c r="BR30" s="18">
        <v>35.770000000000003</v>
      </c>
      <c r="BS30" s="18">
        <v>14.69</v>
      </c>
      <c r="BT30" s="18">
        <v>30.03</v>
      </c>
      <c r="BU30" s="18">
        <v>5.35</v>
      </c>
      <c r="BV30" s="18">
        <v>6.8</v>
      </c>
      <c r="BW30" s="18">
        <v>28.72</v>
      </c>
      <c r="BX30" s="18">
        <v>14.55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434">
        <v>30.01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34">
        <v>22.01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4">
        <v>30.2</v>
      </c>
      <c r="DF30" s="434">
        <v>62.6</v>
      </c>
      <c r="DG30" s="434">
        <v>9.9700000000000006</v>
      </c>
      <c r="DH30" s="434">
        <v>57.28</v>
      </c>
      <c r="DI30" s="337">
        <v>0</v>
      </c>
      <c r="DJ30" s="436">
        <v>19.68</v>
      </c>
      <c r="DK30" s="437">
        <v>79.33</v>
      </c>
      <c r="DL30" s="337">
        <v>0</v>
      </c>
      <c r="DM30" s="337">
        <v>0</v>
      </c>
      <c r="DN30" s="337">
        <v>0</v>
      </c>
      <c r="DO30" s="337">
        <v>0</v>
      </c>
      <c r="DP30" s="337">
        <v>0</v>
      </c>
      <c r="DQ30" s="337">
        <v>0</v>
      </c>
      <c r="DR30" s="337">
        <v>0</v>
      </c>
      <c r="DS30" s="337">
        <v>0</v>
      </c>
      <c r="DT30" s="337">
        <v>0</v>
      </c>
      <c r="DU30" s="337">
        <v>0</v>
      </c>
      <c r="DV30" s="337">
        <v>0</v>
      </c>
      <c r="DW30" s="436">
        <v>13.79</v>
      </c>
      <c r="DX30" s="436">
        <v>14.22</v>
      </c>
      <c r="DY30" s="436">
        <v>14.06</v>
      </c>
      <c r="DZ30" s="337">
        <v>0</v>
      </c>
      <c r="EA30" s="337">
        <v>0</v>
      </c>
      <c r="EB30" s="337">
        <v>0</v>
      </c>
      <c r="EC30" s="337">
        <v>0</v>
      </c>
      <c r="ED30" s="337">
        <v>0</v>
      </c>
      <c r="EE30" s="337">
        <v>0</v>
      </c>
      <c r="EF30" s="337">
        <v>0</v>
      </c>
      <c r="EG30" s="337">
        <v>0</v>
      </c>
      <c r="EH30" s="436">
        <v>40.25</v>
      </c>
      <c r="EI30" s="436">
        <v>3.84</v>
      </c>
      <c r="EJ30" s="436">
        <v>5.73</v>
      </c>
      <c r="EK30" s="337">
        <v>0</v>
      </c>
      <c r="EL30" s="337">
        <v>0</v>
      </c>
      <c r="EM30" s="337">
        <v>0</v>
      </c>
      <c r="EN30" s="337">
        <v>0</v>
      </c>
      <c r="EO30" s="337">
        <v>0</v>
      </c>
      <c r="EP30" s="337">
        <v>0</v>
      </c>
      <c r="EQ30" s="337">
        <v>0</v>
      </c>
      <c r="ER30" s="337">
        <v>0</v>
      </c>
      <c r="ES30" s="337">
        <v>8.44</v>
      </c>
      <c r="ET30" s="337">
        <v>12.84</v>
      </c>
      <c r="EU30" s="337">
        <v>0</v>
      </c>
      <c r="EV30" s="337">
        <v>0</v>
      </c>
      <c r="EW30" s="337">
        <v>0</v>
      </c>
      <c r="EX30" s="337">
        <v>0</v>
      </c>
      <c r="EY30" s="337">
        <v>0</v>
      </c>
      <c r="EZ30" s="337">
        <v>0</v>
      </c>
      <c r="FA30" s="337">
        <v>151.31</v>
      </c>
      <c r="FB30" s="337">
        <v>-255.2</v>
      </c>
      <c r="FC30" s="337">
        <v>1939.05</v>
      </c>
      <c r="FD30" s="337">
        <v>2042.94</v>
      </c>
      <c r="FE30" s="433">
        <v>14</v>
      </c>
    </row>
    <row r="31" spans="1:161" s="20" customFormat="1" ht="19.5" customHeight="1">
      <c r="A31" s="19">
        <v>15</v>
      </c>
      <c r="B31" s="18">
        <v>273.18</v>
      </c>
      <c r="C31" s="18">
        <v>41.97</v>
      </c>
      <c r="D31" s="18">
        <v>37.729999999999997</v>
      </c>
      <c r="E31" s="18">
        <v>0</v>
      </c>
      <c r="F31" s="18">
        <v>4.01</v>
      </c>
      <c r="G31" s="18">
        <v>0</v>
      </c>
      <c r="H31" s="18">
        <v>1.72</v>
      </c>
      <c r="I31" s="18">
        <v>9.86</v>
      </c>
      <c r="J31" s="18">
        <v>15.75</v>
      </c>
      <c r="K31" s="18">
        <v>0</v>
      </c>
      <c r="L31" s="18">
        <v>9.8699999999999992</v>
      </c>
      <c r="M31" s="18">
        <v>3.19</v>
      </c>
      <c r="N31" s="18">
        <v>5.01</v>
      </c>
      <c r="O31" s="18">
        <v>20.65</v>
      </c>
      <c r="P31" s="18">
        <v>28.98</v>
      </c>
      <c r="Q31" s="18">
        <v>6.6</v>
      </c>
      <c r="R31" s="18">
        <v>49.87</v>
      </c>
      <c r="S31" s="18">
        <v>102.78</v>
      </c>
      <c r="T31" s="18">
        <v>66.489999999999995</v>
      </c>
      <c r="U31" s="18">
        <v>49.51</v>
      </c>
      <c r="V31" s="18">
        <v>1.56</v>
      </c>
      <c r="W31" s="18">
        <v>4.3499999999999996</v>
      </c>
      <c r="X31" s="18">
        <v>17.68</v>
      </c>
      <c r="Y31" s="18">
        <v>15.56</v>
      </c>
      <c r="Z31" s="18">
        <v>95.5</v>
      </c>
      <c r="AA31" s="18">
        <v>57.65</v>
      </c>
      <c r="AB31" s="18">
        <v>3.17</v>
      </c>
      <c r="AC31" s="18">
        <v>13.91</v>
      </c>
      <c r="AD31" s="18">
        <v>6.72</v>
      </c>
      <c r="AE31" s="18">
        <v>81.11</v>
      </c>
      <c r="AF31" s="18">
        <v>2.04</v>
      </c>
      <c r="AG31" s="18">
        <v>1.81</v>
      </c>
      <c r="AH31" s="18">
        <v>2.0299999999999998</v>
      </c>
      <c r="AI31" s="18">
        <v>0</v>
      </c>
      <c r="AJ31" s="18">
        <v>2.0099999999999998</v>
      </c>
      <c r="AK31" s="18">
        <v>0.81</v>
      </c>
      <c r="AL31" s="18">
        <v>1.1299999999999999</v>
      </c>
      <c r="AM31" s="18">
        <v>5.33</v>
      </c>
      <c r="AN31" s="18">
        <v>0</v>
      </c>
      <c r="AO31" s="18">
        <v>3.01</v>
      </c>
      <c r="AP31" s="18">
        <v>0.55000000000000004</v>
      </c>
      <c r="AQ31" s="18">
        <v>4.9400000000000004</v>
      </c>
      <c r="AR31" s="18">
        <v>0</v>
      </c>
      <c r="AS31" s="18">
        <v>24.74</v>
      </c>
      <c r="AT31" s="18">
        <v>56.27</v>
      </c>
      <c r="AU31" s="18">
        <v>1.1100000000000001</v>
      </c>
      <c r="AV31" s="18">
        <v>0</v>
      </c>
      <c r="AW31" s="18">
        <v>8.65</v>
      </c>
      <c r="AX31" s="18">
        <v>8.4</v>
      </c>
      <c r="AY31" s="18">
        <v>0</v>
      </c>
      <c r="AZ31" s="18">
        <v>2.35</v>
      </c>
      <c r="BA31" s="18">
        <v>1.04</v>
      </c>
      <c r="BB31" s="18">
        <v>3.33</v>
      </c>
      <c r="BC31" s="18">
        <v>2.7</v>
      </c>
      <c r="BD31" s="18">
        <v>2.2000000000000002</v>
      </c>
      <c r="BE31" s="18">
        <v>1.87</v>
      </c>
      <c r="BF31" s="18">
        <v>0.54</v>
      </c>
      <c r="BG31" s="18">
        <v>1.67</v>
      </c>
      <c r="BH31" s="18">
        <v>15.62</v>
      </c>
      <c r="BI31" s="18">
        <v>14.3</v>
      </c>
      <c r="BJ31" s="18">
        <v>0</v>
      </c>
      <c r="BK31" s="18">
        <v>0</v>
      </c>
      <c r="BL31" s="18">
        <v>32.89</v>
      </c>
      <c r="BM31" s="18">
        <v>21.73</v>
      </c>
      <c r="BN31" s="18">
        <v>43.25</v>
      </c>
      <c r="BO31" s="18">
        <v>47.03</v>
      </c>
      <c r="BP31" s="18">
        <v>46.66</v>
      </c>
      <c r="BQ31" s="18">
        <v>11.33</v>
      </c>
      <c r="BR31" s="18">
        <v>38.69</v>
      </c>
      <c r="BS31" s="18">
        <v>26.87</v>
      </c>
      <c r="BT31" s="18">
        <v>14.24</v>
      </c>
      <c r="BU31" s="18">
        <v>13.12</v>
      </c>
      <c r="BV31" s="18">
        <v>16.5</v>
      </c>
      <c r="BW31" s="18">
        <v>25.36</v>
      </c>
      <c r="BX31" s="18">
        <v>13.87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434">
        <v>30.62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434">
        <v>23.01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434">
        <v>30.38</v>
      </c>
      <c r="DF31" s="18">
        <v>76.900000000000006</v>
      </c>
      <c r="DG31" s="435">
        <v>10.34</v>
      </c>
      <c r="DH31" s="18">
        <v>71.22</v>
      </c>
      <c r="DI31" s="337">
        <v>0</v>
      </c>
      <c r="DJ31" s="436">
        <v>18.989999999999998</v>
      </c>
      <c r="DK31" s="337">
        <v>109.51</v>
      </c>
      <c r="DL31" s="337">
        <v>0</v>
      </c>
      <c r="DM31" s="337">
        <v>0</v>
      </c>
      <c r="DN31" s="337">
        <v>0</v>
      </c>
      <c r="DO31" s="337">
        <v>0</v>
      </c>
      <c r="DP31" s="337">
        <v>0</v>
      </c>
      <c r="DQ31" s="337">
        <v>0</v>
      </c>
      <c r="DR31" s="337">
        <v>0</v>
      </c>
      <c r="DS31" s="337">
        <v>0</v>
      </c>
      <c r="DT31" s="337">
        <v>0</v>
      </c>
      <c r="DU31" s="337">
        <v>0</v>
      </c>
      <c r="DV31" s="337">
        <v>0</v>
      </c>
      <c r="DW31" s="436">
        <v>5.29</v>
      </c>
      <c r="DX31" s="436">
        <v>5.56</v>
      </c>
      <c r="DY31" s="436">
        <v>5.21</v>
      </c>
      <c r="DZ31" s="337">
        <v>0</v>
      </c>
      <c r="EA31" s="337">
        <v>0</v>
      </c>
      <c r="EB31" s="337">
        <v>0</v>
      </c>
      <c r="EC31" s="337">
        <v>0</v>
      </c>
      <c r="ED31" s="337">
        <v>0</v>
      </c>
      <c r="EE31" s="337">
        <v>0</v>
      </c>
      <c r="EF31" s="337">
        <v>0</v>
      </c>
      <c r="EG31" s="337">
        <v>0</v>
      </c>
      <c r="EH31" s="436">
        <v>28.73</v>
      </c>
      <c r="EI31" s="436">
        <v>4.68</v>
      </c>
      <c r="EJ31" s="436">
        <v>5.83</v>
      </c>
      <c r="EK31" s="337">
        <v>0</v>
      </c>
      <c r="EL31" s="337">
        <v>0</v>
      </c>
      <c r="EM31" s="337">
        <v>0</v>
      </c>
      <c r="EN31" s="337">
        <v>0</v>
      </c>
      <c r="EO31" s="337">
        <v>0.3</v>
      </c>
      <c r="EP31" s="337">
        <v>0</v>
      </c>
      <c r="EQ31" s="337">
        <v>0</v>
      </c>
      <c r="ER31" s="337">
        <v>10.6</v>
      </c>
      <c r="ES31" s="337">
        <v>8.44</v>
      </c>
      <c r="ET31" s="337">
        <v>9.92</v>
      </c>
      <c r="EU31" s="337">
        <v>0</v>
      </c>
      <c r="EV31" s="337">
        <v>0</v>
      </c>
      <c r="EW31" s="337">
        <v>0</v>
      </c>
      <c r="EX31" s="337">
        <v>0</v>
      </c>
      <c r="EY31" s="337">
        <v>0</v>
      </c>
      <c r="EZ31" s="337">
        <v>0</v>
      </c>
      <c r="FA31" s="337">
        <v>112.36</v>
      </c>
      <c r="FB31" s="337">
        <v>-232</v>
      </c>
      <c r="FC31" s="337">
        <v>1999.9</v>
      </c>
      <c r="FD31" s="337">
        <v>2119.54</v>
      </c>
      <c r="FE31" s="19">
        <v>15</v>
      </c>
    </row>
    <row r="32" spans="1:161" s="20" customFormat="1" ht="19.5" customHeight="1">
      <c r="A32" s="19">
        <v>16</v>
      </c>
      <c r="B32" s="18">
        <v>274.83999999999997</v>
      </c>
      <c r="C32" s="18">
        <v>41.58</v>
      </c>
      <c r="D32" s="18">
        <v>37.549999999999997</v>
      </c>
      <c r="E32" s="18">
        <v>0</v>
      </c>
      <c r="F32" s="18">
        <v>4.01</v>
      </c>
      <c r="G32" s="18">
        <v>0</v>
      </c>
      <c r="H32" s="18">
        <v>1.73</v>
      </c>
      <c r="I32" s="18">
        <v>9.84</v>
      </c>
      <c r="J32" s="18">
        <v>15.89</v>
      </c>
      <c r="K32" s="18">
        <v>0</v>
      </c>
      <c r="L32" s="18">
        <v>9.8699999999999992</v>
      </c>
      <c r="M32" s="18">
        <v>3.16</v>
      </c>
      <c r="N32" s="18">
        <v>4.95</v>
      </c>
      <c r="O32" s="18">
        <v>30.97</v>
      </c>
      <c r="P32" s="18">
        <v>41.73</v>
      </c>
      <c r="Q32" s="18">
        <v>12.69</v>
      </c>
      <c r="R32" s="18">
        <v>49.99</v>
      </c>
      <c r="S32" s="18">
        <v>103.04</v>
      </c>
      <c r="T32" s="18">
        <v>65.8</v>
      </c>
      <c r="U32" s="18">
        <v>49.1</v>
      </c>
      <c r="V32" s="18">
        <v>4.03</v>
      </c>
      <c r="W32" s="18">
        <v>4.3099999999999996</v>
      </c>
      <c r="X32" s="18">
        <v>22.98</v>
      </c>
      <c r="Y32" s="18">
        <v>19.29</v>
      </c>
      <c r="Z32" s="18">
        <v>95.61</v>
      </c>
      <c r="AA32" s="18">
        <v>56.12</v>
      </c>
      <c r="AB32" s="18">
        <v>3.28</v>
      </c>
      <c r="AC32" s="18">
        <v>14.74</v>
      </c>
      <c r="AD32" s="18">
        <v>8.7799999999999994</v>
      </c>
      <c r="AE32" s="18">
        <v>81.010000000000005</v>
      </c>
      <c r="AF32" s="18">
        <v>2.04</v>
      </c>
      <c r="AG32" s="18">
        <v>1.95</v>
      </c>
      <c r="AH32" s="18">
        <v>2.0499999999999998</v>
      </c>
      <c r="AI32" s="18">
        <v>0</v>
      </c>
      <c r="AJ32" s="18">
        <v>2.0299999999999998</v>
      </c>
      <c r="AK32" s="18">
        <v>1.3</v>
      </c>
      <c r="AL32" s="18">
        <v>1.1299999999999999</v>
      </c>
      <c r="AM32" s="18">
        <v>12.66</v>
      </c>
      <c r="AN32" s="18">
        <v>0</v>
      </c>
      <c r="AO32" s="18">
        <v>7.77</v>
      </c>
      <c r="AP32" s="18">
        <v>0.54</v>
      </c>
      <c r="AQ32" s="18">
        <v>4.9800000000000004</v>
      </c>
      <c r="AR32" s="18">
        <v>0</v>
      </c>
      <c r="AS32" s="18">
        <v>24.82</v>
      </c>
      <c r="AT32" s="18">
        <v>54.84</v>
      </c>
      <c r="AU32" s="18">
        <v>1.1000000000000001</v>
      </c>
      <c r="AV32" s="18">
        <v>0</v>
      </c>
      <c r="AW32" s="18">
        <v>7.3</v>
      </c>
      <c r="AX32" s="18">
        <v>8.4</v>
      </c>
      <c r="AY32" s="18">
        <v>0</v>
      </c>
      <c r="AZ32" s="18">
        <v>4.45</v>
      </c>
      <c r="BA32" s="18">
        <v>1.03</v>
      </c>
      <c r="BB32" s="18">
        <v>3.35</v>
      </c>
      <c r="BC32" s="18">
        <v>2.71</v>
      </c>
      <c r="BD32" s="18">
        <v>2.2000000000000002</v>
      </c>
      <c r="BE32" s="18">
        <v>1.35</v>
      </c>
      <c r="BF32" s="18">
        <v>0.53</v>
      </c>
      <c r="BG32" s="18">
        <v>0</v>
      </c>
      <c r="BH32" s="18">
        <v>15.14</v>
      </c>
      <c r="BI32" s="18">
        <v>14.6</v>
      </c>
      <c r="BJ32" s="18">
        <v>0</v>
      </c>
      <c r="BK32" s="18">
        <v>0</v>
      </c>
      <c r="BL32" s="18">
        <v>1.6</v>
      </c>
      <c r="BM32" s="18">
        <v>1.1299999999999999</v>
      </c>
      <c r="BN32" s="18">
        <v>24.58</v>
      </c>
      <c r="BO32" s="18">
        <v>29.69</v>
      </c>
      <c r="BP32" s="18">
        <v>11.69</v>
      </c>
      <c r="BQ32" s="18">
        <v>1.27</v>
      </c>
      <c r="BR32" s="18">
        <v>5.31</v>
      </c>
      <c r="BS32" s="18">
        <v>1.06</v>
      </c>
      <c r="BT32" s="18">
        <v>0</v>
      </c>
      <c r="BU32" s="18">
        <v>12.06</v>
      </c>
      <c r="BV32" s="18">
        <v>18.600000000000001</v>
      </c>
      <c r="BW32" s="18">
        <v>20.67</v>
      </c>
      <c r="BX32" s="18">
        <v>16.37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33.840000000000003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30.01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36.840000000000003</v>
      </c>
      <c r="DF32" s="18">
        <v>90.9</v>
      </c>
      <c r="DG32" s="18">
        <v>15.9</v>
      </c>
      <c r="DH32" s="18">
        <v>71.25</v>
      </c>
      <c r="DI32" s="337">
        <v>0</v>
      </c>
      <c r="DJ32" s="437">
        <v>20.55</v>
      </c>
      <c r="DK32" s="337">
        <v>133.66999999999999</v>
      </c>
      <c r="DL32" s="337">
        <v>0</v>
      </c>
      <c r="DM32" s="337">
        <v>0</v>
      </c>
      <c r="DN32" s="337">
        <v>0</v>
      </c>
      <c r="DO32" s="337">
        <v>0</v>
      </c>
      <c r="DP32" s="337">
        <v>0</v>
      </c>
      <c r="DQ32" s="337">
        <v>0</v>
      </c>
      <c r="DR32" s="337">
        <v>0</v>
      </c>
      <c r="DS32" s="337">
        <v>0</v>
      </c>
      <c r="DT32" s="337">
        <v>0</v>
      </c>
      <c r="DU32" s="337">
        <v>0</v>
      </c>
      <c r="DV32" s="337">
        <v>0</v>
      </c>
      <c r="DW32" s="436">
        <v>8.44</v>
      </c>
      <c r="DX32" s="436">
        <v>9.08</v>
      </c>
      <c r="DY32" s="436">
        <v>8.8699999999999992</v>
      </c>
      <c r="DZ32" s="337">
        <v>0</v>
      </c>
      <c r="EA32" s="337">
        <v>0</v>
      </c>
      <c r="EB32" s="337">
        <v>0</v>
      </c>
      <c r="EC32" s="337">
        <v>0</v>
      </c>
      <c r="ED32" s="337">
        <v>0</v>
      </c>
      <c r="EE32" s="337">
        <v>0</v>
      </c>
      <c r="EF32" s="337">
        <v>0</v>
      </c>
      <c r="EG32" s="337">
        <v>0</v>
      </c>
      <c r="EH32" s="436">
        <v>67.489999999999995</v>
      </c>
      <c r="EI32" s="436">
        <v>4.57</v>
      </c>
      <c r="EJ32" s="436">
        <v>5.87</v>
      </c>
      <c r="EK32" s="337">
        <v>0</v>
      </c>
      <c r="EL32" s="337">
        <v>0</v>
      </c>
      <c r="EM32" s="337">
        <v>0</v>
      </c>
      <c r="EN32" s="337">
        <v>0</v>
      </c>
      <c r="EO32" s="337">
        <v>0.3</v>
      </c>
      <c r="EP32" s="337">
        <v>0</v>
      </c>
      <c r="EQ32" s="337">
        <v>0</v>
      </c>
      <c r="ER32" s="337">
        <v>11.58</v>
      </c>
      <c r="ES32" s="337">
        <v>8.4499999999999993</v>
      </c>
      <c r="ET32" s="337">
        <v>12.68</v>
      </c>
      <c r="EU32" s="337">
        <v>0</v>
      </c>
      <c r="EV32" s="337">
        <v>0</v>
      </c>
      <c r="EW32" s="337">
        <v>0</v>
      </c>
      <c r="EX32" s="337">
        <v>0</v>
      </c>
      <c r="EY32" s="337">
        <v>0</v>
      </c>
      <c r="EZ32" s="436">
        <v>7.08</v>
      </c>
      <c r="FA32" s="337">
        <v>135.28</v>
      </c>
      <c r="FB32" s="337">
        <v>-220.1</v>
      </c>
      <c r="FC32" s="337">
        <v>1966.56</v>
      </c>
      <c r="FD32" s="337">
        <v>2051.38</v>
      </c>
      <c r="FE32" s="19">
        <v>16</v>
      </c>
    </row>
    <row r="33" spans="1:161" s="20" customFormat="1" ht="19.5" customHeight="1">
      <c r="A33" s="19">
        <v>17</v>
      </c>
      <c r="B33" s="18">
        <v>273.18</v>
      </c>
      <c r="C33" s="18">
        <v>41.64</v>
      </c>
      <c r="D33" s="18">
        <v>35.520000000000003</v>
      </c>
      <c r="E33" s="18">
        <v>0</v>
      </c>
      <c r="F33" s="18">
        <v>4.0199999999999996</v>
      </c>
      <c r="G33" s="18">
        <v>0</v>
      </c>
      <c r="H33" s="18">
        <v>1.72</v>
      </c>
      <c r="I33" s="18">
        <v>9.84</v>
      </c>
      <c r="J33" s="18">
        <v>15.84</v>
      </c>
      <c r="K33" s="18">
        <v>0</v>
      </c>
      <c r="L33" s="18">
        <v>9.8699999999999992</v>
      </c>
      <c r="M33" s="18">
        <v>3.2</v>
      </c>
      <c r="N33" s="18">
        <v>8.6999999999999993</v>
      </c>
      <c r="O33" s="18">
        <v>25.72</v>
      </c>
      <c r="P33" s="18">
        <v>38.72</v>
      </c>
      <c r="Q33" s="18">
        <v>12.03</v>
      </c>
      <c r="R33" s="18">
        <v>49.91</v>
      </c>
      <c r="S33" s="18">
        <v>103.36</v>
      </c>
      <c r="T33" s="18">
        <v>66.180000000000007</v>
      </c>
      <c r="U33" s="18">
        <v>44.52</v>
      </c>
      <c r="V33" s="18">
        <v>4.0199999999999996</v>
      </c>
      <c r="W33" s="18">
        <v>4.3</v>
      </c>
      <c r="X33" s="18">
        <v>22.77</v>
      </c>
      <c r="Y33" s="18">
        <v>21.33</v>
      </c>
      <c r="Z33" s="18">
        <v>90.77</v>
      </c>
      <c r="AA33" s="18">
        <v>52.44</v>
      </c>
      <c r="AB33" s="18">
        <v>3.19</v>
      </c>
      <c r="AC33" s="18">
        <v>15.2</v>
      </c>
      <c r="AD33" s="18">
        <v>9.35</v>
      </c>
      <c r="AE33" s="18">
        <v>81.23</v>
      </c>
      <c r="AF33" s="18">
        <v>2.0299999999999998</v>
      </c>
      <c r="AG33" s="18">
        <v>1.9</v>
      </c>
      <c r="AH33" s="18">
        <v>2.04</v>
      </c>
      <c r="AI33" s="18">
        <v>0</v>
      </c>
      <c r="AJ33" s="18">
        <v>2.0299999999999998</v>
      </c>
      <c r="AK33" s="18">
        <v>1.69</v>
      </c>
      <c r="AL33" s="18">
        <v>2.4</v>
      </c>
      <c r="AM33" s="18">
        <v>3.52</v>
      </c>
      <c r="AN33" s="18">
        <v>0</v>
      </c>
      <c r="AO33" s="18">
        <v>1.53</v>
      </c>
      <c r="AP33" s="18">
        <v>0.53</v>
      </c>
      <c r="AQ33" s="18">
        <v>4.9800000000000004</v>
      </c>
      <c r="AR33" s="18">
        <v>0</v>
      </c>
      <c r="AS33" s="18">
        <v>24.96</v>
      </c>
      <c r="AT33" s="18">
        <v>55.08</v>
      </c>
      <c r="AU33" s="18">
        <v>1.08</v>
      </c>
      <c r="AV33" s="18">
        <v>0</v>
      </c>
      <c r="AW33" s="18">
        <v>0</v>
      </c>
      <c r="AX33" s="18">
        <v>8.4</v>
      </c>
      <c r="AY33" s="18">
        <v>0</v>
      </c>
      <c r="AZ33" s="18">
        <v>3.33</v>
      </c>
      <c r="BA33" s="18">
        <v>1.02</v>
      </c>
      <c r="BB33" s="18">
        <v>3.42</v>
      </c>
      <c r="BC33" s="18">
        <v>2.71</v>
      </c>
      <c r="BD33" s="18">
        <v>2.2000000000000002</v>
      </c>
      <c r="BE33" s="18">
        <v>0.91</v>
      </c>
      <c r="BF33" s="18">
        <v>1.34</v>
      </c>
      <c r="BG33" s="18">
        <v>0</v>
      </c>
      <c r="BH33" s="18">
        <v>14.92</v>
      </c>
      <c r="BI33" s="18">
        <v>14.5</v>
      </c>
      <c r="BJ33" s="18">
        <v>0</v>
      </c>
      <c r="BK33" s="18">
        <v>0</v>
      </c>
      <c r="BL33" s="18">
        <v>0</v>
      </c>
      <c r="BM33" s="18">
        <v>0</v>
      </c>
      <c r="BN33" s="18">
        <v>2.78</v>
      </c>
      <c r="BO33" s="18">
        <v>5.7</v>
      </c>
      <c r="BP33" s="18">
        <v>0.66</v>
      </c>
      <c r="BQ33" s="18">
        <v>0.3</v>
      </c>
      <c r="BR33" s="18">
        <v>1.55</v>
      </c>
      <c r="BS33" s="18">
        <v>1.3</v>
      </c>
      <c r="BT33" s="18">
        <v>0</v>
      </c>
      <c r="BU33" s="18">
        <v>28.21</v>
      </c>
      <c r="BV33" s="18">
        <v>21.4</v>
      </c>
      <c r="BW33" s="18">
        <v>27.44</v>
      </c>
      <c r="BX33" s="18">
        <v>17.5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56.6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40.01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55.45</v>
      </c>
      <c r="DF33" s="18">
        <v>105.4</v>
      </c>
      <c r="DG33" s="18">
        <v>16.16</v>
      </c>
      <c r="DH33" s="18">
        <v>71.8</v>
      </c>
      <c r="DI33" s="337">
        <v>0</v>
      </c>
      <c r="DJ33" s="337">
        <v>37.81</v>
      </c>
      <c r="DK33" s="337">
        <v>134.09</v>
      </c>
      <c r="DL33" s="337">
        <v>0</v>
      </c>
      <c r="DM33" s="337">
        <v>0</v>
      </c>
      <c r="DN33" s="337">
        <v>0</v>
      </c>
      <c r="DO33" s="337">
        <v>0</v>
      </c>
      <c r="DP33" s="337">
        <v>0</v>
      </c>
      <c r="DQ33" s="337">
        <v>0</v>
      </c>
      <c r="DR33" s="337">
        <v>0</v>
      </c>
      <c r="DS33" s="337">
        <v>0</v>
      </c>
      <c r="DT33" s="337">
        <v>0</v>
      </c>
      <c r="DU33" s="337">
        <v>0</v>
      </c>
      <c r="DV33" s="337">
        <v>0</v>
      </c>
      <c r="DW33" s="436">
        <v>4.16</v>
      </c>
      <c r="DX33" s="436">
        <v>4.34</v>
      </c>
      <c r="DY33" s="436">
        <v>4.17</v>
      </c>
      <c r="DZ33" s="436">
        <v>4.2</v>
      </c>
      <c r="EA33" s="337">
        <v>0</v>
      </c>
      <c r="EB33" s="337">
        <v>0</v>
      </c>
      <c r="EC33" s="337">
        <v>0</v>
      </c>
      <c r="ED33" s="337">
        <v>0</v>
      </c>
      <c r="EE33" s="337">
        <v>0</v>
      </c>
      <c r="EF33" s="337">
        <v>0</v>
      </c>
      <c r="EG33" s="337">
        <v>0</v>
      </c>
      <c r="EH33" s="436">
        <v>49.07</v>
      </c>
      <c r="EI33" s="436">
        <v>4.6399999999999997</v>
      </c>
      <c r="EJ33" s="436">
        <v>5.67</v>
      </c>
      <c r="EK33" s="337">
        <v>0</v>
      </c>
      <c r="EL33" s="337">
        <v>0</v>
      </c>
      <c r="EM33" s="337">
        <v>0</v>
      </c>
      <c r="EN33" s="337">
        <v>0</v>
      </c>
      <c r="EO33" s="337">
        <v>0.3</v>
      </c>
      <c r="EP33" s="337">
        <v>0</v>
      </c>
      <c r="EQ33" s="337">
        <v>0</v>
      </c>
      <c r="ER33" s="337">
        <v>11.62</v>
      </c>
      <c r="ES33" s="337">
        <v>8.4600000000000009</v>
      </c>
      <c r="ET33" s="337">
        <v>12.74</v>
      </c>
      <c r="EU33" s="337">
        <v>0</v>
      </c>
      <c r="EV33" s="337">
        <v>0</v>
      </c>
      <c r="EW33" s="337">
        <v>0</v>
      </c>
      <c r="EX33" s="337">
        <v>0</v>
      </c>
      <c r="EY33" s="337">
        <v>0</v>
      </c>
      <c r="EZ33" s="437">
        <v>38.58</v>
      </c>
      <c r="FA33" s="337">
        <v>65.540000000000006</v>
      </c>
      <c r="FB33" s="337">
        <v>-202.4</v>
      </c>
      <c r="FC33" s="337">
        <v>1977.2</v>
      </c>
      <c r="FD33" s="337">
        <v>2114.06</v>
      </c>
      <c r="FE33" s="19">
        <v>17</v>
      </c>
    </row>
    <row r="34" spans="1:161" s="20" customFormat="1" ht="19.5" customHeight="1">
      <c r="A34" s="21">
        <v>18</v>
      </c>
      <c r="B34" s="18">
        <v>275.17</v>
      </c>
      <c r="C34" s="18">
        <v>72.86</v>
      </c>
      <c r="D34" s="18">
        <v>36.840000000000003</v>
      </c>
      <c r="E34" s="18">
        <v>0</v>
      </c>
      <c r="F34" s="18">
        <v>4</v>
      </c>
      <c r="G34" s="18">
        <v>0</v>
      </c>
      <c r="H34" s="18">
        <v>3.54</v>
      </c>
      <c r="I34" s="18">
        <v>9.8699999999999992</v>
      </c>
      <c r="J34" s="18">
        <v>15.83</v>
      </c>
      <c r="K34" s="18">
        <v>0</v>
      </c>
      <c r="L34" s="18">
        <v>9.8699999999999992</v>
      </c>
      <c r="M34" s="18">
        <v>3.19</v>
      </c>
      <c r="N34" s="18">
        <v>8.93</v>
      </c>
      <c r="O34" s="18">
        <v>10.66</v>
      </c>
      <c r="P34" s="18">
        <v>41.78</v>
      </c>
      <c r="Q34" s="18">
        <v>12.02</v>
      </c>
      <c r="R34" s="18">
        <v>50.91</v>
      </c>
      <c r="S34" s="18">
        <v>102.91</v>
      </c>
      <c r="T34" s="18">
        <v>66.39</v>
      </c>
      <c r="U34" s="18">
        <v>47.31</v>
      </c>
      <c r="V34" s="18">
        <v>4.0199999999999996</v>
      </c>
      <c r="W34" s="18">
        <v>4.17</v>
      </c>
      <c r="X34" s="18">
        <v>22.75</v>
      </c>
      <c r="Y34" s="18">
        <v>21.32</v>
      </c>
      <c r="Z34" s="18">
        <v>95.5</v>
      </c>
      <c r="AA34" s="18">
        <v>56.68</v>
      </c>
      <c r="AB34" s="18">
        <v>3.57</v>
      </c>
      <c r="AC34" s="18">
        <v>15.67</v>
      </c>
      <c r="AD34" s="18">
        <v>9.35</v>
      </c>
      <c r="AE34" s="18">
        <v>81.17</v>
      </c>
      <c r="AF34" s="18">
        <v>3.65</v>
      </c>
      <c r="AG34" s="18">
        <v>1.99</v>
      </c>
      <c r="AH34" s="18">
        <v>2.0699999999999998</v>
      </c>
      <c r="AI34" s="18">
        <v>0</v>
      </c>
      <c r="AJ34" s="18">
        <v>2.0299999999999998</v>
      </c>
      <c r="AK34" s="18">
        <v>1.69</v>
      </c>
      <c r="AL34" s="18">
        <v>3.1</v>
      </c>
      <c r="AM34" s="18">
        <v>6.45</v>
      </c>
      <c r="AN34" s="18">
        <v>0.39</v>
      </c>
      <c r="AO34" s="18">
        <v>3.18</v>
      </c>
      <c r="AP34" s="18">
        <v>0.52</v>
      </c>
      <c r="AQ34" s="18">
        <v>9.32</v>
      </c>
      <c r="AR34" s="18">
        <v>0</v>
      </c>
      <c r="AS34" s="18">
        <v>24.79</v>
      </c>
      <c r="AT34" s="18">
        <v>54.89</v>
      </c>
      <c r="AU34" s="18">
        <v>1.06</v>
      </c>
      <c r="AV34" s="18">
        <v>9.25</v>
      </c>
      <c r="AW34" s="18">
        <v>0</v>
      </c>
      <c r="AX34" s="18">
        <v>8.4</v>
      </c>
      <c r="AY34" s="18">
        <v>0</v>
      </c>
      <c r="AZ34" s="18">
        <v>3.5</v>
      </c>
      <c r="BA34" s="18">
        <v>1.02</v>
      </c>
      <c r="BB34" s="18">
        <v>3.32</v>
      </c>
      <c r="BC34" s="18">
        <v>2.71</v>
      </c>
      <c r="BD34" s="18">
        <v>2.2000000000000002</v>
      </c>
      <c r="BE34" s="18">
        <v>0</v>
      </c>
      <c r="BF34" s="18">
        <v>1.23</v>
      </c>
      <c r="BG34" s="18">
        <v>1.45</v>
      </c>
      <c r="BH34" s="18">
        <v>15.67</v>
      </c>
      <c r="BI34" s="18">
        <v>14.8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41.88</v>
      </c>
      <c r="BV34" s="18">
        <v>23.2</v>
      </c>
      <c r="BW34" s="18">
        <v>28.77</v>
      </c>
      <c r="BX34" s="18">
        <v>15.9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56.63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55.75</v>
      </c>
      <c r="DF34" s="18">
        <v>120.6</v>
      </c>
      <c r="DG34" s="18">
        <v>16.34</v>
      </c>
      <c r="DH34" s="18">
        <v>70.930000000000007</v>
      </c>
      <c r="DI34" s="337">
        <v>0</v>
      </c>
      <c r="DJ34" s="337">
        <v>44.4</v>
      </c>
      <c r="DK34" s="337">
        <v>134.16</v>
      </c>
      <c r="DL34" s="337">
        <v>0</v>
      </c>
      <c r="DM34" s="337">
        <v>0</v>
      </c>
      <c r="DN34" s="337">
        <v>0</v>
      </c>
      <c r="DO34" s="337">
        <v>0</v>
      </c>
      <c r="DP34" s="337">
        <v>0</v>
      </c>
      <c r="DQ34" s="337">
        <v>0</v>
      </c>
      <c r="DR34" s="337">
        <v>0</v>
      </c>
      <c r="DS34" s="337">
        <v>0</v>
      </c>
      <c r="DT34" s="337">
        <v>0</v>
      </c>
      <c r="DU34" s="337">
        <v>0</v>
      </c>
      <c r="DV34" s="337">
        <v>0</v>
      </c>
      <c r="DW34" s="436">
        <v>4.97</v>
      </c>
      <c r="DX34" s="436">
        <v>4.91</v>
      </c>
      <c r="DY34" s="436">
        <v>4.71</v>
      </c>
      <c r="DZ34" s="436">
        <v>0</v>
      </c>
      <c r="EA34" s="337">
        <v>0</v>
      </c>
      <c r="EB34" s="337">
        <v>0</v>
      </c>
      <c r="EC34" s="337">
        <v>0</v>
      </c>
      <c r="ED34" s="337">
        <v>0</v>
      </c>
      <c r="EE34" s="337">
        <v>0</v>
      </c>
      <c r="EF34" s="337">
        <v>0</v>
      </c>
      <c r="EG34" s="337">
        <v>0</v>
      </c>
      <c r="EH34" s="436">
        <v>71.66</v>
      </c>
      <c r="EI34" s="436">
        <v>4.6399999999999997</v>
      </c>
      <c r="EJ34" s="436">
        <v>5.77</v>
      </c>
      <c r="EK34" s="337">
        <v>0</v>
      </c>
      <c r="EL34" s="337">
        <v>0</v>
      </c>
      <c r="EM34" s="337">
        <v>0</v>
      </c>
      <c r="EN34" s="337">
        <v>0</v>
      </c>
      <c r="EO34" s="337">
        <v>0.3</v>
      </c>
      <c r="EP34" s="337">
        <v>0</v>
      </c>
      <c r="EQ34" s="337">
        <v>0</v>
      </c>
      <c r="ER34" s="337">
        <v>11.65</v>
      </c>
      <c r="ES34" s="337">
        <v>8.8000000000000007</v>
      </c>
      <c r="ET34" s="337">
        <v>12.97</v>
      </c>
      <c r="EU34" s="337">
        <v>0</v>
      </c>
      <c r="EV34" s="337">
        <v>0</v>
      </c>
      <c r="EW34" s="337">
        <v>0</v>
      </c>
      <c r="EX34" s="337">
        <v>0</v>
      </c>
      <c r="EY34" s="337">
        <v>0</v>
      </c>
      <c r="EZ34" s="437">
        <v>38.53</v>
      </c>
      <c r="FA34" s="337">
        <v>75.8</v>
      </c>
      <c r="FB34" s="337">
        <v>-213.2</v>
      </c>
      <c r="FC34" s="337">
        <v>2082.44</v>
      </c>
      <c r="FD34" s="337">
        <v>2219.84</v>
      </c>
      <c r="FE34" s="21">
        <v>18</v>
      </c>
    </row>
    <row r="35" spans="1:161" s="20" customFormat="1" ht="19.5" customHeight="1">
      <c r="A35" s="19">
        <v>18.149999999999999</v>
      </c>
      <c r="B35" s="18">
        <v>268.52</v>
      </c>
      <c r="C35" s="18">
        <v>77.27</v>
      </c>
      <c r="D35" s="18">
        <v>31.06</v>
      </c>
      <c r="E35" s="18">
        <v>0</v>
      </c>
      <c r="F35" s="18">
        <v>4</v>
      </c>
      <c r="G35" s="18">
        <v>0</v>
      </c>
      <c r="H35" s="18">
        <v>3.54</v>
      </c>
      <c r="I35" s="18">
        <v>9.8699999999999992</v>
      </c>
      <c r="J35" s="18">
        <v>15.86</v>
      </c>
      <c r="K35" s="18">
        <v>0</v>
      </c>
      <c r="L35" s="18">
        <v>9.8699999999999992</v>
      </c>
      <c r="M35" s="18">
        <v>3.22</v>
      </c>
      <c r="N35" s="18">
        <v>8.85</v>
      </c>
      <c r="O35" s="18">
        <v>36.630000000000003</v>
      </c>
      <c r="P35" s="18">
        <v>31.31</v>
      </c>
      <c r="Q35" s="18">
        <v>10.71</v>
      </c>
      <c r="R35" s="18">
        <v>50.96</v>
      </c>
      <c r="S35" s="18">
        <v>103.37</v>
      </c>
      <c r="T35" s="18">
        <v>66.37</v>
      </c>
      <c r="U35" s="18">
        <v>36.83</v>
      </c>
      <c r="V35" s="18">
        <v>4.0199999999999996</v>
      </c>
      <c r="W35" s="18">
        <v>4.32</v>
      </c>
      <c r="X35" s="18">
        <v>22.73</v>
      </c>
      <c r="Y35" s="18">
        <v>21.32</v>
      </c>
      <c r="Z35" s="18">
        <v>82.49</v>
      </c>
      <c r="AA35" s="18">
        <v>46.31</v>
      </c>
      <c r="AB35" s="18">
        <v>3.58</v>
      </c>
      <c r="AC35" s="18">
        <v>13.15</v>
      </c>
      <c r="AD35" s="18">
        <v>9.2100000000000009</v>
      </c>
      <c r="AE35" s="18">
        <v>81.22</v>
      </c>
      <c r="AF35" s="18">
        <v>3.63</v>
      </c>
      <c r="AG35" s="18">
        <v>2.0299999999999998</v>
      </c>
      <c r="AH35" s="18">
        <v>2.0499999999999998</v>
      </c>
      <c r="AI35" s="18">
        <v>0</v>
      </c>
      <c r="AJ35" s="18">
        <v>2.0299999999999998</v>
      </c>
      <c r="AK35" s="18">
        <v>1.69</v>
      </c>
      <c r="AL35" s="18">
        <v>3.06</v>
      </c>
      <c r="AM35" s="18">
        <v>6.36</v>
      </c>
      <c r="AN35" s="18">
        <v>0.38</v>
      </c>
      <c r="AO35" s="18">
        <v>1.48</v>
      </c>
      <c r="AP35" s="18">
        <v>0.55000000000000004</v>
      </c>
      <c r="AQ35" s="18">
        <v>9.36</v>
      </c>
      <c r="AR35" s="18">
        <v>0</v>
      </c>
      <c r="AS35" s="18">
        <v>24.85</v>
      </c>
      <c r="AT35" s="18">
        <v>55.22</v>
      </c>
      <c r="AU35" s="18">
        <v>1.05</v>
      </c>
      <c r="AV35" s="18">
        <v>9.2799999999999994</v>
      </c>
      <c r="AW35" s="18">
        <v>8.33</v>
      </c>
      <c r="AX35" s="18">
        <v>8.4</v>
      </c>
      <c r="AY35" s="18">
        <v>0</v>
      </c>
      <c r="AZ35" s="18">
        <v>3.95</v>
      </c>
      <c r="BA35" s="18">
        <v>1.95</v>
      </c>
      <c r="BB35" s="18">
        <v>3.37</v>
      </c>
      <c r="BC35" s="18">
        <v>2.69</v>
      </c>
      <c r="BD35" s="18">
        <v>2.2000000000000002</v>
      </c>
      <c r="BE35" s="18">
        <v>1.92</v>
      </c>
      <c r="BF35" s="18">
        <v>1.22</v>
      </c>
      <c r="BG35" s="18">
        <v>1.42</v>
      </c>
      <c r="BH35" s="18">
        <v>15.09</v>
      </c>
      <c r="BI35" s="18">
        <v>14.8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37.119999999999997</v>
      </c>
      <c r="BV35" s="18">
        <v>21.4</v>
      </c>
      <c r="BW35" s="18">
        <v>26.97</v>
      </c>
      <c r="BX35" s="18">
        <v>16.2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56.67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55.9</v>
      </c>
      <c r="DF35" s="18">
        <v>125.1</v>
      </c>
      <c r="DG35" s="18">
        <v>16.440000000000001</v>
      </c>
      <c r="DH35" s="18">
        <v>71.760000000000005</v>
      </c>
      <c r="DI35" s="337">
        <v>0</v>
      </c>
      <c r="DJ35" s="337">
        <v>44.56</v>
      </c>
      <c r="DK35" s="337">
        <v>133.94999999999999</v>
      </c>
      <c r="DL35" s="337">
        <v>0</v>
      </c>
      <c r="DM35" s="337">
        <v>0</v>
      </c>
      <c r="DN35" s="337">
        <v>0</v>
      </c>
      <c r="DO35" s="337">
        <v>0</v>
      </c>
      <c r="DP35" s="337">
        <v>0</v>
      </c>
      <c r="DQ35" s="337">
        <v>0</v>
      </c>
      <c r="DR35" s="337">
        <v>0</v>
      </c>
      <c r="DS35" s="337">
        <v>0</v>
      </c>
      <c r="DT35" s="337">
        <v>0</v>
      </c>
      <c r="DU35" s="337">
        <v>0</v>
      </c>
      <c r="DV35" s="337">
        <v>0</v>
      </c>
      <c r="DW35" s="436">
        <v>4.32</v>
      </c>
      <c r="DX35" s="436">
        <v>4.53</v>
      </c>
      <c r="DY35" s="436">
        <v>4.25</v>
      </c>
      <c r="DZ35" s="337">
        <v>0</v>
      </c>
      <c r="EA35" s="337">
        <v>0</v>
      </c>
      <c r="EB35" s="337">
        <v>0</v>
      </c>
      <c r="EC35" s="337">
        <v>0</v>
      </c>
      <c r="ED35" s="337">
        <v>0</v>
      </c>
      <c r="EE35" s="337">
        <v>0</v>
      </c>
      <c r="EF35" s="337">
        <v>0</v>
      </c>
      <c r="EG35" s="337">
        <v>0</v>
      </c>
      <c r="EH35" s="436">
        <v>53.98</v>
      </c>
      <c r="EI35" s="436">
        <v>3.83</v>
      </c>
      <c r="EJ35" s="436">
        <v>5.57</v>
      </c>
      <c r="EK35" s="337">
        <v>0</v>
      </c>
      <c r="EL35" s="337">
        <v>0</v>
      </c>
      <c r="EM35" s="337">
        <v>0</v>
      </c>
      <c r="EN35" s="337">
        <v>0</v>
      </c>
      <c r="EO35" s="337">
        <v>0.3</v>
      </c>
      <c r="EP35" s="337">
        <v>0</v>
      </c>
      <c r="EQ35" s="337">
        <v>0</v>
      </c>
      <c r="ER35" s="337">
        <v>11.68</v>
      </c>
      <c r="ES35" s="337">
        <v>8.85</v>
      </c>
      <c r="ET35" s="337">
        <v>12.83</v>
      </c>
      <c r="EU35" s="337">
        <v>0</v>
      </c>
      <c r="EV35" s="337">
        <v>0</v>
      </c>
      <c r="EW35" s="337">
        <v>0</v>
      </c>
      <c r="EX35" s="337">
        <v>0</v>
      </c>
      <c r="EY35" s="337">
        <v>0</v>
      </c>
      <c r="EZ35" s="437">
        <v>38.549999999999997</v>
      </c>
      <c r="FA35" s="337">
        <v>28.52</v>
      </c>
      <c r="FB35" s="337">
        <v>-221.7</v>
      </c>
      <c r="FC35" s="337">
        <v>2039.72</v>
      </c>
      <c r="FD35" s="337">
        <v>2232.9</v>
      </c>
      <c r="FE35" s="19">
        <v>18.149999999999999</v>
      </c>
    </row>
    <row r="36" spans="1:161" s="20" customFormat="1" ht="19.5" customHeight="1">
      <c r="A36" s="19">
        <v>18.3</v>
      </c>
      <c r="B36" s="18">
        <v>269.5</v>
      </c>
      <c r="C36" s="18">
        <v>77.97</v>
      </c>
      <c r="D36" s="18">
        <v>32.549999999999997</v>
      </c>
      <c r="E36" s="18">
        <v>0</v>
      </c>
      <c r="F36" s="18">
        <v>4</v>
      </c>
      <c r="G36" s="18">
        <v>0</v>
      </c>
      <c r="H36" s="18">
        <v>3.53</v>
      </c>
      <c r="I36" s="18">
        <v>9.64</v>
      </c>
      <c r="J36" s="18">
        <v>15.81</v>
      </c>
      <c r="K36" s="18">
        <v>0</v>
      </c>
      <c r="L36" s="18">
        <v>9.8699999999999992</v>
      </c>
      <c r="M36" s="18">
        <v>3.16</v>
      </c>
      <c r="N36" s="18">
        <v>8.99</v>
      </c>
      <c r="O36" s="18">
        <v>36.61</v>
      </c>
      <c r="P36" s="18">
        <v>33.75</v>
      </c>
      <c r="Q36" s="18">
        <v>7.97</v>
      </c>
      <c r="R36" s="18">
        <v>51.01</v>
      </c>
      <c r="S36" s="18">
        <v>103.38</v>
      </c>
      <c r="T36" s="18">
        <v>66.55</v>
      </c>
      <c r="U36" s="18">
        <v>39.35</v>
      </c>
      <c r="V36" s="18">
        <v>4</v>
      </c>
      <c r="W36" s="18">
        <v>4.32</v>
      </c>
      <c r="X36" s="18">
        <v>22.73</v>
      </c>
      <c r="Y36" s="18">
        <v>15.53</v>
      </c>
      <c r="Z36" s="18">
        <v>85.12</v>
      </c>
      <c r="AA36" s="18">
        <v>48.59</v>
      </c>
      <c r="AB36" s="18">
        <v>3.6</v>
      </c>
      <c r="AC36" s="18">
        <v>13.28</v>
      </c>
      <c r="AD36" s="18">
        <v>9.4700000000000006</v>
      </c>
      <c r="AE36" s="18">
        <v>81.209999999999994</v>
      </c>
      <c r="AF36" s="18">
        <v>3.66</v>
      </c>
      <c r="AG36" s="18">
        <v>2.0299999999999998</v>
      </c>
      <c r="AH36" s="18">
        <v>1.99</v>
      </c>
      <c r="AI36" s="18">
        <v>0</v>
      </c>
      <c r="AJ36" s="18">
        <v>2.0299999999999998</v>
      </c>
      <c r="AK36" s="18">
        <v>1.69</v>
      </c>
      <c r="AL36" s="18">
        <v>3.01</v>
      </c>
      <c r="AM36" s="18">
        <v>6.46</v>
      </c>
      <c r="AN36" s="18">
        <v>0.39</v>
      </c>
      <c r="AO36" s="18">
        <v>1.48</v>
      </c>
      <c r="AP36" s="18">
        <v>0.55000000000000004</v>
      </c>
      <c r="AQ36" s="18">
        <v>9.33</v>
      </c>
      <c r="AR36" s="18">
        <v>0</v>
      </c>
      <c r="AS36" s="18">
        <v>24.84</v>
      </c>
      <c r="AT36" s="18">
        <v>45.28</v>
      </c>
      <c r="AU36" s="18">
        <v>1.05</v>
      </c>
      <c r="AV36" s="18">
        <v>9.25</v>
      </c>
      <c r="AW36" s="18">
        <v>8.58</v>
      </c>
      <c r="AX36" s="18">
        <v>8.3000000000000007</v>
      </c>
      <c r="AY36" s="18">
        <v>0</v>
      </c>
      <c r="AZ36" s="18">
        <v>4.09</v>
      </c>
      <c r="BA36" s="18">
        <v>1.94</v>
      </c>
      <c r="BB36" s="18">
        <v>2.7</v>
      </c>
      <c r="BC36" s="18">
        <v>2.71</v>
      </c>
      <c r="BD36" s="18">
        <v>2.2000000000000002</v>
      </c>
      <c r="BE36" s="18">
        <v>1.92</v>
      </c>
      <c r="BF36" s="18">
        <v>1.22</v>
      </c>
      <c r="BG36" s="18">
        <v>1.42</v>
      </c>
      <c r="BH36" s="18">
        <v>15.25</v>
      </c>
      <c r="BI36" s="18">
        <v>14.9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44.25</v>
      </c>
      <c r="BV36" s="18">
        <v>22.3</v>
      </c>
      <c r="BW36" s="18">
        <v>22.78</v>
      </c>
      <c r="BX36" s="18">
        <v>16.850000000000001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56.58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40.01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55.75</v>
      </c>
      <c r="DF36" s="18">
        <v>129.5</v>
      </c>
      <c r="DG36" s="18">
        <v>16.52</v>
      </c>
      <c r="DH36" s="18">
        <v>71.41</v>
      </c>
      <c r="DI36" s="337">
        <v>0</v>
      </c>
      <c r="DJ36" s="337">
        <v>44.44</v>
      </c>
      <c r="DK36" s="337">
        <v>133.6</v>
      </c>
      <c r="DL36" s="337">
        <v>0</v>
      </c>
      <c r="DM36" s="337">
        <v>0</v>
      </c>
      <c r="DN36" s="337">
        <v>0</v>
      </c>
      <c r="DO36" s="337">
        <v>0</v>
      </c>
      <c r="DP36" s="337">
        <v>0</v>
      </c>
      <c r="DQ36" s="337">
        <v>0</v>
      </c>
      <c r="DR36" s="337">
        <v>0</v>
      </c>
      <c r="DS36" s="337">
        <v>0</v>
      </c>
      <c r="DT36" s="337">
        <v>0</v>
      </c>
      <c r="DU36" s="337">
        <v>0</v>
      </c>
      <c r="DV36" s="337">
        <v>0</v>
      </c>
      <c r="DW36" s="436">
        <v>4.28</v>
      </c>
      <c r="DX36" s="436">
        <v>4.4800000000000004</v>
      </c>
      <c r="DY36" s="436">
        <v>4.29</v>
      </c>
      <c r="DZ36" s="337">
        <v>0</v>
      </c>
      <c r="EA36" s="337">
        <v>0</v>
      </c>
      <c r="EB36" s="337">
        <v>0</v>
      </c>
      <c r="EC36" s="337">
        <v>0</v>
      </c>
      <c r="ED36" s="337">
        <v>0</v>
      </c>
      <c r="EE36" s="337">
        <v>0</v>
      </c>
      <c r="EF36" s="337">
        <v>0</v>
      </c>
      <c r="EG36" s="337">
        <v>0</v>
      </c>
      <c r="EH36" s="436">
        <v>56.87</v>
      </c>
      <c r="EI36" s="436">
        <v>4.41</v>
      </c>
      <c r="EJ36" s="436">
        <v>5.77</v>
      </c>
      <c r="EK36" s="337">
        <v>0</v>
      </c>
      <c r="EL36" s="337">
        <v>0</v>
      </c>
      <c r="EM36" s="337">
        <v>0</v>
      </c>
      <c r="EN36" s="337">
        <v>0</v>
      </c>
      <c r="EO36" s="337">
        <v>0.3</v>
      </c>
      <c r="EP36" s="337">
        <v>0</v>
      </c>
      <c r="EQ36" s="337">
        <v>0</v>
      </c>
      <c r="ER36" s="337">
        <v>11.69</v>
      </c>
      <c r="ES36" s="337">
        <v>8.84</v>
      </c>
      <c r="ET36" s="337">
        <v>12.8</v>
      </c>
      <c r="EU36" s="337">
        <v>0</v>
      </c>
      <c r="EV36" s="337">
        <v>0</v>
      </c>
      <c r="EW36" s="337">
        <v>0</v>
      </c>
      <c r="EX36" s="337">
        <v>0</v>
      </c>
      <c r="EY36" s="337">
        <v>0</v>
      </c>
      <c r="EZ36" s="437">
        <v>38.58</v>
      </c>
      <c r="FA36" s="337">
        <v>47.02</v>
      </c>
      <c r="FB36" s="337">
        <v>-228.1</v>
      </c>
      <c r="FC36" s="337">
        <v>2046.06</v>
      </c>
      <c r="FD36" s="337">
        <v>2227.14</v>
      </c>
      <c r="FE36" s="19">
        <v>18.3</v>
      </c>
    </row>
    <row r="37" spans="1:161" s="20" customFormat="1" ht="19.5" customHeight="1">
      <c r="A37" s="19">
        <v>18.45</v>
      </c>
      <c r="B37" s="18">
        <v>270.85000000000002</v>
      </c>
      <c r="C37" s="18">
        <v>78.16</v>
      </c>
      <c r="D37" s="18">
        <v>33.799999999999997</v>
      </c>
      <c r="E37" s="18">
        <v>0</v>
      </c>
      <c r="F37" s="18">
        <v>3.99</v>
      </c>
      <c r="G37" s="18">
        <v>0</v>
      </c>
      <c r="H37" s="18">
        <v>3.54</v>
      </c>
      <c r="I37" s="18">
        <v>9.83</v>
      </c>
      <c r="J37" s="18">
        <v>15.99</v>
      </c>
      <c r="K37" s="18">
        <v>0</v>
      </c>
      <c r="L37" s="18">
        <v>9.8699999999999992</v>
      </c>
      <c r="M37" s="18">
        <v>3.21</v>
      </c>
      <c r="N37" s="18">
        <v>8.99</v>
      </c>
      <c r="O37" s="18">
        <v>36.64</v>
      </c>
      <c r="P37" s="18">
        <v>36.450000000000003</v>
      </c>
      <c r="Q37" s="18">
        <v>7.98</v>
      </c>
      <c r="R37" s="18">
        <v>50.9</v>
      </c>
      <c r="S37" s="18">
        <v>103.16</v>
      </c>
      <c r="T37" s="18">
        <v>66.36</v>
      </c>
      <c r="U37" s="18">
        <v>42.64</v>
      </c>
      <c r="V37" s="18">
        <v>4.01</v>
      </c>
      <c r="W37" s="18">
        <v>4.32</v>
      </c>
      <c r="X37" s="18">
        <v>22.67</v>
      </c>
      <c r="Y37" s="18">
        <v>15.55</v>
      </c>
      <c r="Z37" s="18">
        <v>88.72</v>
      </c>
      <c r="AA37" s="18">
        <v>50.81</v>
      </c>
      <c r="AB37" s="18">
        <v>3.64</v>
      </c>
      <c r="AC37" s="18">
        <v>14.6</v>
      </c>
      <c r="AD37" s="18">
        <v>9.2200000000000006</v>
      </c>
      <c r="AE37" s="18">
        <v>81.2</v>
      </c>
      <c r="AF37" s="18">
        <v>3.66</v>
      </c>
      <c r="AG37" s="18">
        <v>1.99</v>
      </c>
      <c r="AH37" s="18">
        <v>2.04</v>
      </c>
      <c r="AI37" s="18">
        <v>0</v>
      </c>
      <c r="AJ37" s="18">
        <v>2.0299999999999998</v>
      </c>
      <c r="AK37" s="18">
        <v>1.69</v>
      </c>
      <c r="AL37" s="18">
        <v>2.98</v>
      </c>
      <c r="AM37" s="18">
        <v>7.73</v>
      </c>
      <c r="AN37" s="18">
        <v>0.39</v>
      </c>
      <c r="AO37" s="18">
        <v>1.47</v>
      </c>
      <c r="AP37" s="18">
        <v>0.54</v>
      </c>
      <c r="AQ37" s="18">
        <v>9.32</v>
      </c>
      <c r="AR37" s="18">
        <v>0</v>
      </c>
      <c r="AS37" s="18">
        <v>24.82</v>
      </c>
      <c r="AT37" s="18">
        <v>48.79</v>
      </c>
      <c r="AU37" s="18">
        <v>1.05</v>
      </c>
      <c r="AV37" s="18">
        <v>9.23</v>
      </c>
      <c r="AW37" s="18">
        <v>8.4600000000000009</v>
      </c>
      <c r="AX37" s="18">
        <v>8.3000000000000007</v>
      </c>
      <c r="AY37" s="18">
        <v>0</v>
      </c>
      <c r="AZ37" s="18">
        <v>3.97</v>
      </c>
      <c r="BA37" s="18">
        <v>1.94</v>
      </c>
      <c r="BB37" s="18">
        <v>2.46</v>
      </c>
      <c r="BC37" s="18">
        <v>5.2</v>
      </c>
      <c r="BD37" s="18">
        <v>2.2000000000000002</v>
      </c>
      <c r="BE37" s="18">
        <v>1.91</v>
      </c>
      <c r="BF37" s="18">
        <v>1.21</v>
      </c>
      <c r="BG37" s="18">
        <v>1.41</v>
      </c>
      <c r="BH37" s="18">
        <v>15.8</v>
      </c>
      <c r="BI37" s="18">
        <v>14.9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44.73</v>
      </c>
      <c r="BV37" s="18">
        <v>20.6</v>
      </c>
      <c r="BW37" s="18">
        <v>25.79</v>
      </c>
      <c r="BX37" s="18">
        <v>17.760000000000002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56.56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55.36</v>
      </c>
      <c r="DF37" s="18">
        <v>132.30000000000001</v>
      </c>
      <c r="DG37" s="18">
        <v>16.510000000000002</v>
      </c>
      <c r="DH37" s="18">
        <v>71.069999999999993</v>
      </c>
      <c r="DI37" s="337">
        <v>0</v>
      </c>
      <c r="DJ37" s="337">
        <v>44.38</v>
      </c>
      <c r="DK37" s="337">
        <v>133.88</v>
      </c>
      <c r="DL37" s="337">
        <v>0</v>
      </c>
      <c r="DM37" s="337">
        <v>0</v>
      </c>
      <c r="DN37" s="337">
        <v>0</v>
      </c>
      <c r="DO37" s="337">
        <v>0</v>
      </c>
      <c r="DP37" s="337">
        <v>0</v>
      </c>
      <c r="DQ37" s="337">
        <v>0</v>
      </c>
      <c r="DR37" s="337">
        <v>0</v>
      </c>
      <c r="DS37" s="337">
        <v>0</v>
      </c>
      <c r="DT37" s="337">
        <v>0</v>
      </c>
      <c r="DU37" s="337">
        <v>0</v>
      </c>
      <c r="DV37" s="337">
        <v>0</v>
      </c>
      <c r="DW37" s="436">
        <v>4.3</v>
      </c>
      <c r="DX37" s="436">
        <v>4.49</v>
      </c>
      <c r="DY37" s="436">
        <v>4.3</v>
      </c>
      <c r="DZ37" s="337">
        <v>0</v>
      </c>
      <c r="EA37" s="337">
        <v>0</v>
      </c>
      <c r="EB37" s="337">
        <v>0</v>
      </c>
      <c r="EC37" s="337">
        <v>0</v>
      </c>
      <c r="ED37" s="337">
        <v>0</v>
      </c>
      <c r="EE37" s="337">
        <v>0</v>
      </c>
      <c r="EF37" s="337">
        <v>0</v>
      </c>
      <c r="EG37" s="337">
        <v>0</v>
      </c>
      <c r="EH37" s="436">
        <v>60.56</v>
      </c>
      <c r="EI37" s="436">
        <v>4.41</v>
      </c>
      <c r="EJ37" s="436">
        <v>5.8</v>
      </c>
      <c r="EK37" s="337">
        <v>0</v>
      </c>
      <c r="EL37" s="337">
        <v>0</v>
      </c>
      <c r="EM37" s="337">
        <v>0</v>
      </c>
      <c r="EN37" s="337">
        <v>0</v>
      </c>
      <c r="EO37" s="337">
        <v>0.3</v>
      </c>
      <c r="EP37" s="337">
        <v>0</v>
      </c>
      <c r="EQ37" s="337">
        <v>0</v>
      </c>
      <c r="ER37" s="337">
        <v>11.64</v>
      </c>
      <c r="ES37" s="337">
        <v>8.85</v>
      </c>
      <c r="ET37" s="337">
        <v>12.92</v>
      </c>
      <c r="EU37" s="337">
        <v>0</v>
      </c>
      <c r="EV37" s="337">
        <v>0</v>
      </c>
      <c r="EW37" s="337">
        <v>0</v>
      </c>
      <c r="EX37" s="337">
        <v>0</v>
      </c>
      <c r="EY37" s="337">
        <v>0</v>
      </c>
      <c r="EZ37" s="437">
        <v>0</v>
      </c>
      <c r="FA37" s="337">
        <v>39.15</v>
      </c>
      <c r="FB37" s="337">
        <v>-211.6</v>
      </c>
      <c r="FC37" s="337">
        <v>2039.11</v>
      </c>
      <c r="FD37" s="337">
        <v>2211.56</v>
      </c>
      <c r="FE37" s="19">
        <v>18.45</v>
      </c>
    </row>
    <row r="38" spans="1:161" s="20" customFormat="1" ht="19.5" customHeight="1">
      <c r="A38" s="19">
        <v>19</v>
      </c>
      <c r="B38" s="18">
        <v>272.18</v>
      </c>
      <c r="C38" s="18">
        <v>78.010000000000005</v>
      </c>
      <c r="D38" s="18">
        <v>35.5</v>
      </c>
      <c r="E38" s="18">
        <v>0</v>
      </c>
      <c r="F38" s="18">
        <v>4</v>
      </c>
      <c r="G38" s="18">
        <v>0</v>
      </c>
      <c r="H38" s="18">
        <v>3.53</v>
      </c>
      <c r="I38" s="18">
        <v>9.83</v>
      </c>
      <c r="J38" s="18">
        <v>15.9</v>
      </c>
      <c r="K38" s="18">
        <v>0</v>
      </c>
      <c r="L38" s="18">
        <v>9.8800000000000008</v>
      </c>
      <c r="M38" s="18">
        <v>3.16</v>
      </c>
      <c r="N38" s="18">
        <v>8.6999999999999993</v>
      </c>
      <c r="O38" s="18">
        <v>5.0199999999999996</v>
      </c>
      <c r="P38" s="18">
        <v>38.33</v>
      </c>
      <c r="Q38" s="18">
        <v>7.97</v>
      </c>
      <c r="R38" s="18">
        <v>51.03</v>
      </c>
      <c r="S38" s="18">
        <v>103.25</v>
      </c>
      <c r="T38" s="18">
        <v>66.45</v>
      </c>
      <c r="U38" s="18">
        <v>44.55</v>
      </c>
      <c r="V38" s="18">
        <v>4.01</v>
      </c>
      <c r="W38" s="18">
        <v>4.2699999999999996</v>
      </c>
      <c r="X38" s="18">
        <v>20.45</v>
      </c>
      <c r="Y38" s="18">
        <v>15.47</v>
      </c>
      <c r="Z38" s="18">
        <v>91.25</v>
      </c>
      <c r="AA38" s="18">
        <v>52.26</v>
      </c>
      <c r="AB38" s="18">
        <v>3.7</v>
      </c>
      <c r="AC38" s="18">
        <v>15.09</v>
      </c>
      <c r="AD38" s="18">
        <v>9.31</v>
      </c>
      <c r="AE38" s="18">
        <v>81.22</v>
      </c>
      <c r="AF38" s="18">
        <v>3.66</v>
      </c>
      <c r="AG38" s="18">
        <v>2</v>
      </c>
      <c r="AH38" s="18">
        <v>2.04</v>
      </c>
      <c r="AI38" s="18">
        <v>0</v>
      </c>
      <c r="AJ38" s="18">
        <v>2.04</v>
      </c>
      <c r="AK38" s="18">
        <v>1.69</v>
      </c>
      <c r="AL38" s="18">
        <v>3.21</v>
      </c>
      <c r="AM38" s="18">
        <v>7.11</v>
      </c>
      <c r="AN38" s="18">
        <v>0.39</v>
      </c>
      <c r="AO38" s="18">
        <v>1.4</v>
      </c>
      <c r="AP38" s="18">
        <v>0.54</v>
      </c>
      <c r="AQ38" s="18">
        <v>9.32</v>
      </c>
      <c r="AR38" s="18">
        <v>0</v>
      </c>
      <c r="AS38" s="18">
        <v>24.84</v>
      </c>
      <c r="AT38" s="18">
        <v>50.65</v>
      </c>
      <c r="AU38" s="18">
        <v>1.08</v>
      </c>
      <c r="AV38" s="18">
        <v>9.2100000000000009</v>
      </c>
      <c r="AW38" s="18">
        <v>7.92</v>
      </c>
      <c r="AX38" s="18">
        <v>8.3000000000000007</v>
      </c>
      <c r="AY38" s="18">
        <v>0</v>
      </c>
      <c r="AZ38" s="18">
        <v>3.86</v>
      </c>
      <c r="BA38" s="18">
        <v>1.93</v>
      </c>
      <c r="BB38" s="18">
        <v>2.87</v>
      </c>
      <c r="BC38" s="18">
        <v>5.17</v>
      </c>
      <c r="BD38" s="18">
        <v>2.2000000000000002</v>
      </c>
      <c r="BE38" s="18">
        <v>1.91</v>
      </c>
      <c r="BF38" s="18">
        <v>1.2</v>
      </c>
      <c r="BG38" s="18">
        <v>1.41</v>
      </c>
      <c r="BH38" s="18">
        <v>15.91</v>
      </c>
      <c r="BI38" s="18">
        <v>14.9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49.09</v>
      </c>
      <c r="BV38" s="18">
        <v>20</v>
      </c>
      <c r="BW38" s="18">
        <v>25.6</v>
      </c>
      <c r="BX38" s="18">
        <v>16.95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56.67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47.22</v>
      </c>
      <c r="DF38" s="18">
        <v>132.5</v>
      </c>
      <c r="DG38" s="18">
        <v>16.63</v>
      </c>
      <c r="DH38" s="18">
        <v>70.790000000000006</v>
      </c>
      <c r="DI38" s="337">
        <v>0</v>
      </c>
      <c r="DJ38" s="337">
        <v>43.67</v>
      </c>
      <c r="DK38" s="337">
        <v>133.66999999999999</v>
      </c>
      <c r="DL38" s="337">
        <v>0</v>
      </c>
      <c r="DM38" s="337">
        <v>0</v>
      </c>
      <c r="DN38" s="337">
        <v>0</v>
      </c>
      <c r="DO38" s="337">
        <v>0</v>
      </c>
      <c r="DP38" s="337">
        <v>0</v>
      </c>
      <c r="DQ38" s="337">
        <v>0</v>
      </c>
      <c r="DR38" s="337">
        <v>0</v>
      </c>
      <c r="DS38" s="337">
        <v>0</v>
      </c>
      <c r="DT38" s="337">
        <v>0</v>
      </c>
      <c r="DU38" s="337">
        <v>0</v>
      </c>
      <c r="DV38" s="337">
        <v>0</v>
      </c>
      <c r="DW38" s="436">
        <v>4.9800000000000004</v>
      </c>
      <c r="DX38" s="436">
        <v>4.3499999999999996</v>
      </c>
      <c r="DY38" s="436">
        <v>5.79</v>
      </c>
      <c r="DZ38" s="337">
        <v>0</v>
      </c>
      <c r="EA38" s="337">
        <v>0</v>
      </c>
      <c r="EB38" s="337">
        <v>0</v>
      </c>
      <c r="EC38" s="337">
        <v>0</v>
      </c>
      <c r="ED38" s="337">
        <v>0</v>
      </c>
      <c r="EE38" s="337">
        <v>0</v>
      </c>
      <c r="EF38" s="337">
        <v>0</v>
      </c>
      <c r="EG38" s="337">
        <v>0</v>
      </c>
      <c r="EH38" s="436">
        <v>64.81</v>
      </c>
      <c r="EI38" s="436">
        <v>3.88</v>
      </c>
      <c r="EJ38" s="436">
        <v>5.77</v>
      </c>
      <c r="EK38" s="337">
        <v>0</v>
      </c>
      <c r="EL38" s="337">
        <v>0</v>
      </c>
      <c r="EM38" s="337">
        <v>0</v>
      </c>
      <c r="EN38" s="337">
        <v>0</v>
      </c>
      <c r="EO38" s="337">
        <v>0.3</v>
      </c>
      <c r="EP38" s="337">
        <v>0</v>
      </c>
      <c r="EQ38" s="337">
        <v>0</v>
      </c>
      <c r="ER38" s="337">
        <v>11.67</v>
      </c>
      <c r="ES38" s="337">
        <v>5.88</v>
      </c>
      <c r="ET38" s="337">
        <v>12.96</v>
      </c>
      <c r="EU38" s="337">
        <v>0</v>
      </c>
      <c r="EV38" s="337">
        <v>0</v>
      </c>
      <c r="EW38" s="337">
        <v>0</v>
      </c>
      <c r="EX38" s="337">
        <v>0</v>
      </c>
      <c r="EY38" s="337">
        <v>0</v>
      </c>
      <c r="EZ38" s="437">
        <v>0</v>
      </c>
      <c r="FA38" s="337">
        <v>12.39</v>
      </c>
      <c r="FB38" s="337">
        <v>-201.4</v>
      </c>
      <c r="FC38" s="337">
        <v>2014.27</v>
      </c>
      <c r="FD38" s="337">
        <v>2203.2800000000002</v>
      </c>
      <c r="FE38" s="19">
        <v>19</v>
      </c>
    </row>
    <row r="39" spans="1:161" s="20" customFormat="1" ht="19.5" customHeight="1">
      <c r="A39" s="19">
        <v>19.149999999999999</v>
      </c>
      <c r="B39" s="18">
        <v>268.52</v>
      </c>
      <c r="C39" s="18">
        <v>77.849999999999994</v>
      </c>
      <c r="D39" s="18">
        <v>37.14</v>
      </c>
      <c r="E39" s="18">
        <v>0</v>
      </c>
      <c r="F39" s="18">
        <v>3.99</v>
      </c>
      <c r="G39" s="18">
        <v>0</v>
      </c>
      <c r="H39" s="18">
        <v>3.52</v>
      </c>
      <c r="I39" s="18">
        <v>9.83</v>
      </c>
      <c r="J39" s="18">
        <v>15.87</v>
      </c>
      <c r="K39" s="18">
        <v>0</v>
      </c>
      <c r="L39" s="18">
        <v>9.8699999999999992</v>
      </c>
      <c r="M39" s="18">
        <v>3.2</v>
      </c>
      <c r="N39" s="18">
        <v>9.01</v>
      </c>
      <c r="O39" s="18">
        <v>5.01</v>
      </c>
      <c r="P39" s="18">
        <v>39.86</v>
      </c>
      <c r="Q39" s="18">
        <v>9.31</v>
      </c>
      <c r="R39" s="18">
        <v>50.85</v>
      </c>
      <c r="S39" s="18">
        <v>102.91</v>
      </c>
      <c r="T39" s="18">
        <v>65.64</v>
      </c>
      <c r="U39" s="18">
        <v>49.46</v>
      </c>
      <c r="V39" s="18">
        <v>4</v>
      </c>
      <c r="W39" s="18">
        <v>4.3</v>
      </c>
      <c r="X39" s="18">
        <v>17.46</v>
      </c>
      <c r="Y39" s="18">
        <v>15.53</v>
      </c>
      <c r="Z39" s="18">
        <v>96.39</v>
      </c>
      <c r="AA39" s="18">
        <v>55.69</v>
      </c>
      <c r="AB39" s="18">
        <v>3.7</v>
      </c>
      <c r="AC39" s="18">
        <v>15.23</v>
      </c>
      <c r="AD39" s="18">
        <v>2.02</v>
      </c>
      <c r="AE39" s="18">
        <v>81.13</v>
      </c>
      <c r="AF39" s="18">
        <v>3.64</v>
      </c>
      <c r="AG39" s="18">
        <v>2</v>
      </c>
      <c r="AH39" s="18">
        <v>2.02</v>
      </c>
      <c r="AI39" s="18">
        <v>0</v>
      </c>
      <c r="AJ39" s="18">
        <v>2.0299999999999998</v>
      </c>
      <c r="AK39" s="18">
        <v>1.69</v>
      </c>
      <c r="AL39" s="18">
        <v>3.3</v>
      </c>
      <c r="AM39" s="18">
        <v>6.61</v>
      </c>
      <c r="AN39" s="18">
        <v>0.39</v>
      </c>
      <c r="AO39" s="18">
        <v>3.19</v>
      </c>
      <c r="AP39" s="18">
        <v>0.51</v>
      </c>
      <c r="AQ39" s="18">
        <v>9.3000000000000007</v>
      </c>
      <c r="AR39" s="18">
        <v>0</v>
      </c>
      <c r="AS39" s="18">
        <v>24.9</v>
      </c>
      <c r="AT39" s="18">
        <v>55.52</v>
      </c>
      <c r="AU39" s="18">
        <v>1.1000000000000001</v>
      </c>
      <c r="AV39" s="18">
        <v>9.2100000000000009</v>
      </c>
      <c r="AW39" s="18">
        <v>7.39</v>
      </c>
      <c r="AX39" s="18">
        <v>8.3000000000000007</v>
      </c>
      <c r="AY39" s="18">
        <v>0</v>
      </c>
      <c r="AZ39" s="18">
        <v>3.75</v>
      </c>
      <c r="BA39" s="18">
        <v>1.93</v>
      </c>
      <c r="BB39" s="18">
        <v>3.11</v>
      </c>
      <c r="BC39" s="18">
        <v>5.17</v>
      </c>
      <c r="BD39" s="18">
        <v>2.2000000000000002</v>
      </c>
      <c r="BE39" s="18">
        <v>1.91</v>
      </c>
      <c r="BF39" s="18">
        <v>1.2</v>
      </c>
      <c r="BG39" s="18">
        <v>1.4</v>
      </c>
      <c r="BH39" s="18">
        <v>15.44</v>
      </c>
      <c r="BI39" s="18">
        <v>14.9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51.66</v>
      </c>
      <c r="BV39" s="18">
        <v>20.5</v>
      </c>
      <c r="BW39" s="18">
        <v>24.92</v>
      </c>
      <c r="BX39" s="18">
        <v>17.68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56.76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435">
        <v>37.01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434">
        <v>42.32</v>
      </c>
      <c r="DF39" s="18">
        <v>132.1</v>
      </c>
      <c r="DG39" s="18">
        <v>16.440000000000001</v>
      </c>
      <c r="DH39" s="18">
        <v>71.040000000000006</v>
      </c>
      <c r="DI39" s="337">
        <v>0</v>
      </c>
      <c r="DJ39" s="337">
        <v>43.64</v>
      </c>
      <c r="DK39" s="337">
        <v>133.18</v>
      </c>
      <c r="DL39" s="337">
        <v>0</v>
      </c>
      <c r="DM39" s="337">
        <v>0</v>
      </c>
      <c r="DN39" s="337">
        <v>0</v>
      </c>
      <c r="DO39" s="337">
        <v>0</v>
      </c>
      <c r="DP39" s="337">
        <v>0</v>
      </c>
      <c r="DQ39" s="337">
        <v>0</v>
      </c>
      <c r="DR39" s="337">
        <v>0</v>
      </c>
      <c r="DS39" s="337">
        <v>0</v>
      </c>
      <c r="DT39" s="337">
        <v>0</v>
      </c>
      <c r="DU39" s="337">
        <v>0</v>
      </c>
      <c r="DV39" s="337">
        <v>0</v>
      </c>
      <c r="DW39" s="436">
        <v>7.93</v>
      </c>
      <c r="DX39" s="436">
        <v>5.88</v>
      </c>
      <c r="DY39" s="436">
        <v>0</v>
      </c>
      <c r="DZ39" s="337">
        <v>0</v>
      </c>
      <c r="EA39" s="337">
        <v>0</v>
      </c>
      <c r="EB39" s="337">
        <v>0</v>
      </c>
      <c r="EC39" s="337">
        <v>0</v>
      </c>
      <c r="ED39" s="337">
        <v>0</v>
      </c>
      <c r="EE39" s="337">
        <v>0</v>
      </c>
      <c r="EF39" s="337">
        <v>0</v>
      </c>
      <c r="EG39" s="337">
        <v>0</v>
      </c>
      <c r="EH39" s="436">
        <v>44.05</v>
      </c>
      <c r="EI39" s="436">
        <v>3.81</v>
      </c>
      <c r="EJ39" s="436">
        <v>5.7</v>
      </c>
      <c r="EK39" s="337">
        <v>0</v>
      </c>
      <c r="EL39" s="337">
        <v>0</v>
      </c>
      <c r="EM39" s="337">
        <v>0</v>
      </c>
      <c r="EN39" s="337">
        <v>0</v>
      </c>
      <c r="EO39" s="337">
        <v>0.3</v>
      </c>
      <c r="EP39" s="337">
        <v>0</v>
      </c>
      <c r="EQ39" s="337">
        <v>0</v>
      </c>
      <c r="ER39" s="337">
        <v>11.66</v>
      </c>
      <c r="ES39" s="337">
        <v>5.89</v>
      </c>
      <c r="ET39" s="337">
        <v>12.85</v>
      </c>
      <c r="EU39" s="337">
        <v>0</v>
      </c>
      <c r="EV39" s="337">
        <v>0</v>
      </c>
      <c r="EW39" s="337">
        <v>0</v>
      </c>
      <c r="EX39" s="337">
        <v>0</v>
      </c>
      <c r="EY39" s="337">
        <v>0</v>
      </c>
      <c r="EZ39" s="337">
        <v>0</v>
      </c>
      <c r="FA39" s="337">
        <v>82.53</v>
      </c>
      <c r="FB39" s="337">
        <v>-288.8</v>
      </c>
      <c r="FC39" s="337">
        <v>1994.72</v>
      </c>
      <c r="FD39" s="337">
        <v>2200.9899999999998</v>
      </c>
      <c r="FE39" s="19">
        <v>19.149999999999999</v>
      </c>
    </row>
    <row r="40" spans="1:161" s="20" customFormat="1" ht="19.5" customHeight="1">
      <c r="A40" s="19">
        <v>19.3</v>
      </c>
      <c r="B40" s="18">
        <v>271.83999999999997</v>
      </c>
      <c r="C40" s="18">
        <v>77.92</v>
      </c>
      <c r="D40" s="18">
        <v>37.82</v>
      </c>
      <c r="E40" s="18">
        <v>0</v>
      </c>
      <c r="F40" s="18">
        <v>4</v>
      </c>
      <c r="G40" s="18">
        <v>0</v>
      </c>
      <c r="H40" s="18">
        <v>3.51</v>
      </c>
      <c r="I40" s="18">
        <v>9.6999999999999993</v>
      </c>
      <c r="J40" s="18">
        <v>15.91</v>
      </c>
      <c r="K40" s="18">
        <v>0</v>
      </c>
      <c r="L40" s="18">
        <v>9.8699999999999992</v>
      </c>
      <c r="M40" s="18">
        <v>3.18</v>
      </c>
      <c r="N40" s="18">
        <v>8.7899999999999991</v>
      </c>
      <c r="O40" s="18">
        <v>5.01</v>
      </c>
      <c r="P40" s="18">
        <v>39.83</v>
      </c>
      <c r="Q40" s="18">
        <v>11.96</v>
      </c>
      <c r="R40" s="18">
        <v>50.86</v>
      </c>
      <c r="S40" s="18">
        <v>103.03</v>
      </c>
      <c r="T40" s="18">
        <v>66.48</v>
      </c>
      <c r="U40" s="18">
        <v>49.52</v>
      </c>
      <c r="V40" s="18">
        <v>4.01</v>
      </c>
      <c r="W40" s="18">
        <v>4.1399999999999997</v>
      </c>
      <c r="X40" s="18">
        <v>17.55</v>
      </c>
      <c r="Y40" s="18">
        <v>15.5</v>
      </c>
      <c r="Z40" s="18">
        <v>96.51</v>
      </c>
      <c r="AA40" s="18">
        <v>56.07</v>
      </c>
      <c r="AB40" s="18">
        <v>3.7</v>
      </c>
      <c r="AC40" s="18">
        <v>15.67</v>
      </c>
      <c r="AD40" s="18">
        <v>2.02</v>
      </c>
      <c r="AE40" s="18">
        <v>81.19</v>
      </c>
      <c r="AF40" s="18">
        <v>3.61</v>
      </c>
      <c r="AG40" s="18">
        <v>2</v>
      </c>
      <c r="AH40" s="18">
        <v>2.04</v>
      </c>
      <c r="AI40" s="18">
        <v>0</v>
      </c>
      <c r="AJ40" s="18">
        <v>2.0299999999999998</v>
      </c>
      <c r="AK40" s="18">
        <v>1.69</v>
      </c>
      <c r="AL40" s="18">
        <v>3.29</v>
      </c>
      <c r="AM40" s="18">
        <v>6.79</v>
      </c>
      <c r="AN40" s="18">
        <v>0.39</v>
      </c>
      <c r="AO40" s="18">
        <v>3.38</v>
      </c>
      <c r="AP40" s="18">
        <v>0.55000000000000004</v>
      </c>
      <c r="AQ40" s="18">
        <v>9.3000000000000007</v>
      </c>
      <c r="AR40" s="18">
        <v>0</v>
      </c>
      <c r="AS40" s="18">
        <v>24.83</v>
      </c>
      <c r="AT40" s="18">
        <v>55.47</v>
      </c>
      <c r="AU40" s="18">
        <v>1.07</v>
      </c>
      <c r="AV40" s="18">
        <v>9.2100000000000009</v>
      </c>
      <c r="AW40" s="18">
        <v>7.81</v>
      </c>
      <c r="AX40" s="18">
        <v>8.3000000000000007</v>
      </c>
      <c r="AY40" s="18">
        <v>0</v>
      </c>
      <c r="AZ40" s="18">
        <v>3.67</v>
      </c>
      <c r="BA40" s="18">
        <v>1.93</v>
      </c>
      <c r="BB40" s="18">
        <v>3.12</v>
      </c>
      <c r="BC40" s="18">
        <v>5.17</v>
      </c>
      <c r="BD40" s="18">
        <v>2.2000000000000002</v>
      </c>
      <c r="BE40" s="18">
        <v>1.91</v>
      </c>
      <c r="BF40" s="18">
        <v>1.2</v>
      </c>
      <c r="BG40" s="18">
        <v>1.39</v>
      </c>
      <c r="BH40" s="18">
        <v>14.99</v>
      </c>
      <c r="BI40" s="18">
        <v>14.9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45.42</v>
      </c>
      <c r="BV40" s="18">
        <v>23.1</v>
      </c>
      <c r="BW40" s="18">
        <v>22.79</v>
      </c>
      <c r="BX40" s="18">
        <v>17.350000000000001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56.82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435">
        <v>32.01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434">
        <v>34.42</v>
      </c>
      <c r="DF40" s="18">
        <v>132.30000000000001</v>
      </c>
      <c r="DG40" s="18">
        <v>16.73</v>
      </c>
      <c r="DH40" s="18">
        <v>71</v>
      </c>
      <c r="DI40" s="337">
        <v>0</v>
      </c>
      <c r="DJ40" s="337">
        <v>44.29</v>
      </c>
      <c r="DK40" s="337">
        <v>133.46</v>
      </c>
      <c r="DL40" s="337">
        <v>0</v>
      </c>
      <c r="DM40" s="337">
        <v>0</v>
      </c>
      <c r="DN40" s="337">
        <v>0</v>
      </c>
      <c r="DO40" s="337">
        <v>0</v>
      </c>
      <c r="DP40" s="337">
        <v>0</v>
      </c>
      <c r="DQ40" s="337">
        <v>0</v>
      </c>
      <c r="DR40" s="337">
        <v>0</v>
      </c>
      <c r="DS40" s="337">
        <v>0</v>
      </c>
      <c r="DT40" s="337">
        <v>0</v>
      </c>
      <c r="DU40" s="337">
        <v>0</v>
      </c>
      <c r="DV40" s="337">
        <v>0</v>
      </c>
      <c r="DW40" s="436">
        <v>7.83</v>
      </c>
      <c r="DX40" s="436">
        <v>6.12</v>
      </c>
      <c r="DY40" s="436">
        <v>0</v>
      </c>
      <c r="DZ40" s="337">
        <v>0</v>
      </c>
      <c r="EA40" s="337">
        <v>0</v>
      </c>
      <c r="EB40" s="337">
        <v>0</v>
      </c>
      <c r="EC40" s="337">
        <v>0</v>
      </c>
      <c r="ED40" s="337">
        <v>0</v>
      </c>
      <c r="EE40" s="337">
        <v>0</v>
      </c>
      <c r="EF40" s="337">
        <v>0</v>
      </c>
      <c r="EG40" s="337">
        <v>0</v>
      </c>
      <c r="EH40" s="436">
        <v>44.82</v>
      </c>
      <c r="EI40" s="436">
        <v>4.8099999999999996</v>
      </c>
      <c r="EJ40" s="436">
        <v>5.6</v>
      </c>
      <c r="EK40" s="337">
        <v>0</v>
      </c>
      <c r="EL40" s="337">
        <v>0</v>
      </c>
      <c r="EM40" s="337">
        <v>0</v>
      </c>
      <c r="EN40" s="337">
        <v>0</v>
      </c>
      <c r="EO40" s="337">
        <v>0.3</v>
      </c>
      <c r="EP40" s="337">
        <v>0</v>
      </c>
      <c r="EQ40" s="337">
        <v>0</v>
      </c>
      <c r="ER40" s="337">
        <v>11.66</v>
      </c>
      <c r="ES40" s="337">
        <v>5.89</v>
      </c>
      <c r="ET40" s="337">
        <v>12.84</v>
      </c>
      <c r="EU40" s="337">
        <v>0</v>
      </c>
      <c r="EV40" s="337">
        <v>0</v>
      </c>
      <c r="EW40" s="337">
        <v>0</v>
      </c>
      <c r="EX40" s="337">
        <v>0</v>
      </c>
      <c r="EY40" s="337">
        <v>0</v>
      </c>
      <c r="EZ40" s="337">
        <v>0</v>
      </c>
      <c r="FA40" s="337">
        <v>24.51</v>
      </c>
      <c r="FB40" s="337">
        <v>-233.4</v>
      </c>
      <c r="FC40" s="337">
        <v>1987.39</v>
      </c>
      <c r="FD40" s="337">
        <v>2196.2800000000002</v>
      </c>
      <c r="FE40" s="19">
        <v>19.3</v>
      </c>
    </row>
    <row r="41" spans="1:161" s="20" customFormat="1" ht="19.5" customHeight="1">
      <c r="A41" s="19">
        <v>19.45</v>
      </c>
      <c r="B41" s="18">
        <v>271.5</v>
      </c>
      <c r="C41" s="18">
        <v>77.900000000000006</v>
      </c>
      <c r="D41" s="18">
        <v>37.68</v>
      </c>
      <c r="E41" s="18">
        <v>0</v>
      </c>
      <c r="F41" s="18">
        <v>4</v>
      </c>
      <c r="G41" s="18">
        <v>0</v>
      </c>
      <c r="H41" s="18">
        <v>3.51</v>
      </c>
      <c r="I41" s="18">
        <v>9.85</v>
      </c>
      <c r="J41" s="18">
        <v>15.86</v>
      </c>
      <c r="K41" s="18">
        <v>0</v>
      </c>
      <c r="L41" s="18">
        <v>9.8699999999999992</v>
      </c>
      <c r="M41" s="18">
        <v>3.18</v>
      </c>
      <c r="N41" s="18">
        <v>8.75</v>
      </c>
      <c r="O41" s="18">
        <v>5.08</v>
      </c>
      <c r="P41" s="18">
        <v>39.81</v>
      </c>
      <c r="Q41" s="18">
        <v>12.02</v>
      </c>
      <c r="R41" s="18">
        <v>50.97</v>
      </c>
      <c r="S41" s="18">
        <v>103.15</v>
      </c>
      <c r="T41" s="18">
        <v>66.36</v>
      </c>
      <c r="U41" s="18">
        <v>49.54</v>
      </c>
      <c r="V41" s="18">
        <v>4.01</v>
      </c>
      <c r="W41" s="18">
        <v>4.24</v>
      </c>
      <c r="X41" s="18">
        <v>18.28</v>
      </c>
      <c r="Y41" s="18">
        <v>15.54</v>
      </c>
      <c r="Z41" s="18">
        <v>96.42</v>
      </c>
      <c r="AA41" s="18">
        <v>56.4</v>
      </c>
      <c r="AB41" s="18">
        <v>3.67</v>
      </c>
      <c r="AC41" s="18">
        <v>15.75</v>
      </c>
      <c r="AD41" s="18">
        <v>2.0499999999999998</v>
      </c>
      <c r="AE41" s="18">
        <v>81.209999999999994</v>
      </c>
      <c r="AF41" s="18">
        <v>3.67</v>
      </c>
      <c r="AG41" s="18">
        <v>2</v>
      </c>
      <c r="AH41" s="18">
        <v>2.0299999999999998</v>
      </c>
      <c r="AI41" s="18">
        <v>0</v>
      </c>
      <c r="AJ41" s="18">
        <v>2.0299999999999998</v>
      </c>
      <c r="AK41" s="18">
        <v>1.69</v>
      </c>
      <c r="AL41" s="18">
        <v>3.3</v>
      </c>
      <c r="AM41" s="18">
        <v>5.01</v>
      </c>
      <c r="AN41" s="18">
        <v>0.38</v>
      </c>
      <c r="AO41" s="18">
        <v>1.78</v>
      </c>
      <c r="AP41" s="18">
        <v>0.54</v>
      </c>
      <c r="AQ41" s="18">
        <v>9.2799999999999994</v>
      </c>
      <c r="AR41" s="18">
        <v>0</v>
      </c>
      <c r="AS41" s="18">
        <v>24.82</v>
      </c>
      <c r="AT41" s="18">
        <v>55.47</v>
      </c>
      <c r="AU41" s="18">
        <v>1.04</v>
      </c>
      <c r="AV41" s="18">
        <v>9.1999999999999993</v>
      </c>
      <c r="AW41" s="18">
        <v>7.6</v>
      </c>
      <c r="AX41" s="18">
        <v>8.3000000000000007</v>
      </c>
      <c r="AY41" s="18">
        <v>0</v>
      </c>
      <c r="AZ41" s="18">
        <v>3.64</v>
      </c>
      <c r="BA41" s="18">
        <v>1.93</v>
      </c>
      <c r="BB41" s="18">
        <v>3.23</v>
      </c>
      <c r="BC41" s="18">
        <v>5.17</v>
      </c>
      <c r="BD41" s="18">
        <v>2.2000000000000002</v>
      </c>
      <c r="BE41" s="18">
        <v>1.91</v>
      </c>
      <c r="BF41" s="18">
        <v>1.19</v>
      </c>
      <c r="BG41" s="18">
        <v>1.4</v>
      </c>
      <c r="BH41" s="18">
        <v>15.6</v>
      </c>
      <c r="BI41" s="18">
        <v>14.9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49.09</v>
      </c>
      <c r="BV41" s="18">
        <v>23.1</v>
      </c>
      <c r="BW41" s="18">
        <v>22.65</v>
      </c>
      <c r="BX41" s="18">
        <v>16.489999999999998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56.61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435">
        <v>28.01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434">
        <v>30.18</v>
      </c>
      <c r="DF41" s="18">
        <v>132</v>
      </c>
      <c r="DG41" s="18">
        <v>16.55</v>
      </c>
      <c r="DH41" s="18">
        <v>71.599999999999994</v>
      </c>
      <c r="DI41" s="337">
        <v>0</v>
      </c>
      <c r="DJ41" s="337">
        <v>44.12</v>
      </c>
      <c r="DK41" s="337">
        <v>133.66999999999999</v>
      </c>
      <c r="DL41" s="337">
        <v>0</v>
      </c>
      <c r="DM41" s="337">
        <v>0</v>
      </c>
      <c r="DN41" s="337">
        <v>0</v>
      </c>
      <c r="DO41" s="337">
        <v>0</v>
      </c>
      <c r="DP41" s="337">
        <v>0</v>
      </c>
      <c r="DQ41" s="337">
        <v>0</v>
      </c>
      <c r="DR41" s="337">
        <v>0</v>
      </c>
      <c r="DS41" s="337">
        <v>0</v>
      </c>
      <c r="DT41" s="337">
        <v>0</v>
      </c>
      <c r="DU41" s="337">
        <v>0</v>
      </c>
      <c r="DV41" s="337">
        <v>0</v>
      </c>
      <c r="DW41" s="436">
        <v>6.93</v>
      </c>
      <c r="DX41" s="436">
        <v>5.04</v>
      </c>
      <c r="DY41" s="436">
        <v>0</v>
      </c>
      <c r="DZ41" s="337">
        <v>0</v>
      </c>
      <c r="EA41" s="337">
        <v>0</v>
      </c>
      <c r="EB41" s="337">
        <v>0</v>
      </c>
      <c r="EC41" s="337">
        <v>0</v>
      </c>
      <c r="ED41" s="337">
        <v>0</v>
      </c>
      <c r="EE41" s="337">
        <v>0</v>
      </c>
      <c r="EF41" s="337">
        <v>0</v>
      </c>
      <c r="EG41" s="337">
        <v>0</v>
      </c>
      <c r="EH41" s="436">
        <v>36.840000000000003</v>
      </c>
      <c r="EI41" s="436">
        <v>4.4000000000000004</v>
      </c>
      <c r="EJ41" s="436">
        <v>5.57</v>
      </c>
      <c r="EK41" s="337">
        <v>0</v>
      </c>
      <c r="EL41" s="337">
        <v>0</v>
      </c>
      <c r="EM41" s="337">
        <v>0</v>
      </c>
      <c r="EN41" s="337">
        <v>0</v>
      </c>
      <c r="EO41" s="337">
        <v>0.3</v>
      </c>
      <c r="EP41" s="337">
        <v>0</v>
      </c>
      <c r="EQ41" s="337">
        <v>0</v>
      </c>
      <c r="ER41" s="337">
        <v>11.68</v>
      </c>
      <c r="ES41" s="337">
        <v>8.83</v>
      </c>
      <c r="ET41" s="337">
        <v>12.86</v>
      </c>
      <c r="EU41" s="337">
        <v>0</v>
      </c>
      <c r="EV41" s="337">
        <v>0</v>
      </c>
      <c r="EW41" s="337">
        <v>0</v>
      </c>
      <c r="EX41" s="337">
        <v>0</v>
      </c>
      <c r="EY41" s="337">
        <v>0</v>
      </c>
      <c r="EZ41" s="337">
        <v>0</v>
      </c>
      <c r="FA41" s="337">
        <v>41.38</v>
      </c>
      <c r="FB41" s="337">
        <v>-229</v>
      </c>
      <c r="FC41" s="337">
        <v>1972.43</v>
      </c>
      <c r="FD41" s="337">
        <v>2160.0500000000002</v>
      </c>
      <c r="FE41" s="19">
        <v>19.45</v>
      </c>
    </row>
    <row r="42" spans="1:161" s="20" customFormat="1" ht="19.5" customHeight="1">
      <c r="A42" s="19">
        <v>20</v>
      </c>
      <c r="B42" s="18">
        <v>259.52999999999997</v>
      </c>
      <c r="C42" s="18">
        <v>78.099999999999994</v>
      </c>
      <c r="D42" s="18">
        <v>34.11</v>
      </c>
      <c r="E42" s="18">
        <v>0</v>
      </c>
      <c r="F42" s="18">
        <v>4</v>
      </c>
      <c r="G42" s="18">
        <v>0</v>
      </c>
      <c r="H42" s="18">
        <v>3.51</v>
      </c>
      <c r="I42" s="18">
        <v>9.85</v>
      </c>
      <c r="J42" s="18">
        <v>15.87</v>
      </c>
      <c r="K42" s="18">
        <v>0</v>
      </c>
      <c r="L42" s="18">
        <v>9.8699999999999992</v>
      </c>
      <c r="M42" s="18">
        <v>3.18</v>
      </c>
      <c r="N42" s="18">
        <v>8.85</v>
      </c>
      <c r="O42" s="18">
        <v>5.0599999999999996</v>
      </c>
      <c r="P42" s="18">
        <v>39.78</v>
      </c>
      <c r="Q42" s="18">
        <v>12.01</v>
      </c>
      <c r="R42" s="18">
        <v>51</v>
      </c>
      <c r="S42" s="18">
        <v>103.26</v>
      </c>
      <c r="T42" s="18">
        <v>65.95</v>
      </c>
      <c r="U42" s="18">
        <v>43.05</v>
      </c>
      <c r="V42" s="18">
        <v>4.0199999999999996</v>
      </c>
      <c r="W42" s="18">
        <v>4.3099999999999996</v>
      </c>
      <c r="X42" s="18">
        <v>22.34</v>
      </c>
      <c r="Y42" s="18">
        <v>20.39</v>
      </c>
      <c r="Z42" s="18">
        <v>96.33</v>
      </c>
      <c r="AA42" s="18">
        <v>56.26</v>
      </c>
      <c r="AB42" s="18">
        <v>3.64</v>
      </c>
      <c r="AC42" s="18">
        <v>13.83</v>
      </c>
      <c r="AD42" s="18">
        <v>0.96</v>
      </c>
      <c r="AE42" s="18">
        <v>81.09</v>
      </c>
      <c r="AF42" s="18">
        <v>3.68</v>
      </c>
      <c r="AG42" s="18">
        <v>2</v>
      </c>
      <c r="AH42" s="18">
        <v>2.0299999999999998</v>
      </c>
      <c r="AI42" s="18">
        <v>0</v>
      </c>
      <c r="AJ42" s="18">
        <v>2.0299999999999998</v>
      </c>
      <c r="AK42" s="18">
        <v>1.69</v>
      </c>
      <c r="AL42" s="18">
        <v>3.29</v>
      </c>
      <c r="AM42" s="18">
        <v>4.1399999999999997</v>
      </c>
      <c r="AN42" s="18">
        <v>0.38</v>
      </c>
      <c r="AO42" s="18">
        <v>1.25</v>
      </c>
      <c r="AP42" s="18">
        <v>0.53</v>
      </c>
      <c r="AQ42" s="18">
        <v>9.27</v>
      </c>
      <c r="AR42" s="18">
        <v>0</v>
      </c>
      <c r="AS42" s="18">
        <v>24.86</v>
      </c>
      <c r="AT42" s="18">
        <v>48.57</v>
      </c>
      <c r="AU42" s="18">
        <v>1.02</v>
      </c>
      <c r="AV42" s="18">
        <v>9.24</v>
      </c>
      <c r="AW42" s="18">
        <v>7.57</v>
      </c>
      <c r="AX42" s="18">
        <v>8.4</v>
      </c>
      <c r="AY42" s="18">
        <v>2.15</v>
      </c>
      <c r="AZ42" s="18">
        <v>3.5</v>
      </c>
      <c r="BA42" s="18">
        <v>1.95</v>
      </c>
      <c r="BB42" s="18">
        <v>3.32</v>
      </c>
      <c r="BC42" s="18">
        <v>5.14</v>
      </c>
      <c r="BD42" s="18">
        <v>2.2000000000000002</v>
      </c>
      <c r="BE42" s="18">
        <v>1.9</v>
      </c>
      <c r="BF42" s="18">
        <v>1.19</v>
      </c>
      <c r="BG42" s="18">
        <v>1.4</v>
      </c>
      <c r="BH42" s="18">
        <v>15.07</v>
      </c>
      <c r="BI42" s="18">
        <v>14.8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48.38</v>
      </c>
      <c r="BV42" s="18">
        <v>23.1</v>
      </c>
      <c r="BW42" s="18">
        <v>20.78</v>
      </c>
      <c r="BX42" s="18">
        <v>17.899999999999999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56.75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435">
        <v>23.01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434">
        <v>30.32</v>
      </c>
      <c r="DF42" s="18">
        <v>132.6</v>
      </c>
      <c r="DG42" s="18">
        <v>15.74</v>
      </c>
      <c r="DH42" s="18">
        <v>70.900000000000006</v>
      </c>
      <c r="DI42" s="337">
        <v>0</v>
      </c>
      <c r="DJ42" s="337">
        <v>43.36</v>
      </c>
      <c r="DK42" s="337">
        <v>133.46</v>
      </c>
      <c r="DL42" s="337">
        <v>0</v>
      </c>
      <c r="DM42" s="337">
        <v>0</v>
      </c>
      <c r="DN42" s="337">
        <v>0</v>
      </c>
      <c r="DO42" s="337">
        <v>0</v>
      </c>
      <c r="DP42" s="337">
        <v>0</v>
      </c>
      <c r="DQ42" s="337">
        <v>0</v>
      </c>
      <c r="DR42" s="337">
        <v>0</v>
      </c>
      <c r="DS42" s="337">
        <v>0</v>
      </c>
      <c r="DT42" s="337">
        <v>0</v>
      </c>
      <c r="DU42" s="337">
        <v>0</v>
      </c>
      <c r="DV42" s="337">
        <v>0</v>
      </c>
      <c r="DW42" s="436">
        <v>4.95</v>
      </c>
      <c r="DX42" s="436">
        <v>4.3899999999999997</v>
      </c>
      <c r="DY42" s="436">
        <v>4.09</v>
      </c>
      <c r="DZ42" s="337">
        <v>0</v>
      </c>
      <c r="EA42" s="337">
        <v>0</v>
      </c>
      <c r="EB42" s="337">
        <v>0</v>
      </c>
      <c r="EC42" s="337">
        <v>0</v>
      </c>
      <c r="ED42" s="337">
        <v>0</v>
      </c>
      <c r="EE42" s="337">
        <v>0</v>
      </c>
      <c r="EF42" s="337">
        <v>0</v>
      </c>
      <c r="EG42" s="337">
        <v>0</v>
      </c>
      <c r="EH42" s="436">
        <v>32.200000000000003</v>
      </c>
      <c r="EI42" s="436">
        <v>3.78</v>
      </c>
      <c r="EJ42" s="436">
        <v>5.54</v>
      </c>
      <c r="EK42" s="337">
        <v>0</v>
      </c>
      <c r="EL42" s="337">
        <v>0</v>
      </c>
      <c r="EM42" s="337">
        <v>0</v>
      </c>
      <c r="EN42" s="337">
        <v>0</v>
      </c>
      <c r="EO42" s="337">
        <v>0.3</v>
      </c>
      <c r="EP42" s="337">
        <v>0</v>
      </c>
      <c r="EQ42" s="337">
        <v>0</v>
      </c>
      <c r="ER42" s="337">
        <v>11.69</v>
      </c>
      <c r="ES42" s="337">
        <v>8.83</v>
      </c>
      <c r="ET42" s="337">
        <v>12.86</v>
      </c>
      <c r="EU42" s="337">
        <v>0</v>
      </c>
      <c r="EV42" s="337">
        <v>0</v>
      </c>
      <c r="EW42" s="337">
        <v>0</v>
      </c>
      <c r="EX42" s="337">
        <v>0</v>
      </c>
      <c r="EY42" s="337">
        <v>0</v>
      </c>
      <c r="EZ42" s="337">
        <v>0</v>
      </c>
      <c r="FA42" s="337">
        <v>61</v>
      </c>
      <c r="FB42" s="337">
        <v>-256.3</v>
      </c>
      <c r="FC42" s="337">
        <v>1937.65</v>
      </c>
      <c r="FD42" s="337">
        <v>2132.9499999999998</v>
      </c>
      <c r="FE42" s="19">
        <v>20</v>
      </c>
    </row>
    <row r="43" spans="1:161" s="20" customFormat="1" ht="19.5" customHeight="1">
      <c r="A43" s="19">
        <v>20.149999999999999</v>
      </c>
      <c r="B43" s="18">
        <v>265.86</v>
      </c>
      <c r="C43" s="18">
        <v>78.09</v>
      </c>
      <c r="D43" s="18">
        <v>33.450000000000003</v>
      </c>
      <c r="E43" s="18">
        <v>0</v>
      </c>
      <c r="F43" s="18">
        <v>4</v>
      </c>
      <c r="G43" s="18">
        <v>0</v>
      </c>
      <c r="H43" s="18">
        <v>3.51</v>
      </c>
      <c r="I43" s="18">
        <v>9.85</v>
      </c>
      <c r="J43" s="18">
        <v>15.83</v>
      </c>
      <c r="K43" s="18">
        <v>0</v>
      </c>
      <c r="L43" s="18">
        <v>9.8699999999999992</v>
      </c>
      <c r="M43" s="18">
        <v>3.18</v>
      </c>
      <c r="N43" s="18">
        <v>9</v>
      </c>
      <c r="O43" s="18">
        <v>5.03</v>
      </c>
      <c r="P43" s="18">
        <v>39.75</v>
      </c>
      <c r="Q43" s="18">
        <v>12.02</v>
      </c>
      <c r="R43" s="18">
        <v>51.06</v>
      </c>
      <c r="S43" s="18">
        <v>103.05</v>
      </c>
      <c r="T43" s="18">
        <v>66.37</v>
      </c>
      <c r="U43" s="18">
        <v>41.73</v>
      </c>
      <c r="V43" s="18">
        <v>4.0199999999999996</v>
      </c>
      <c r="W43" s="18">
        <v>4.38</v>
      </c>
      <c r="X43" s="18">
        <v>22.38</v>
      </c>
      <c r="Y43" s="18">
        <v>20.36</v>
      </c>
      <c r="Z43" s="18">
        <v>77.37</v>
      </c>
      <c r="AA43" s="18">
        <v>57.78</v>
      </c>
      <c r="AB43" s="18">
        <v>3.63</v>
      </c>
      <c r="AC43" s="18">
        <v>14.06</v>
      </c>
      <c r="AD43" s="18">
        <v>8.11</v>
      </c>
      <c r="AE43" s="18">
        <v>81.08</v>
      </c>
      <c r="AF43" s="18">
        <v>3.67</v>
      </c>
      <c r="AG43" s="18">
        <v>2</v>
      </c>
      <c r="AH43" s="18">
        <v>2.04</v>
      </c>
      <c r="AI43" s="18">
        <v>0</v>
      </c>
      <c r="AJ43" s="18">
        <v>2.0299999999999998</v>
      </c>
      <c r="AK43" s="18">
        <v>1.69</v>
      </c>
      <c r="AL43" s="18">
        <v>3.28</v>
      </c>
      <c r="AM43" s="18">
        <v>4.1100000000000003</v>
      </c>
      <c r="AN43" s="18">
        <v>0.39</v>
      </c>
      <c r="AO43" s="18">
        <v>1.23</v>
      </c>
      <c r="AP43" s="18">
        <v>0.54</v>
      </c>
      <c r="AQ43" s="18">
        <v>9.23</v>
      </c>
      <c r="AR43" s="18">
        <v>0</v>
      </c>
      <c r="AS43" s="18">
        <v>24.81</v>
      </c>
      <c r="AT43" s="18">
        <v>47.48</v>
      </c>
      <c r="AU43" s="18">
        <v>1.02</v>
      </c>
      <c r="AV43" s="18">
        <v>9.2200000000000006</v>
      </c>
      <c r="AW43" s="18">
        <v>7.7</v>
      </c>
      <c r="AX43" s="18">
        <v>8.3000000000000007</v>
      </c>
      <c r="AY43" s="18">
        <v>2.23</v>
      </c>
      <c r="AZ43" s="18">
        <v>3.52</v>
      </c>
      <c r="BA43" s="18">
        <v>1.93</v>
      </c>
      <c r="BB43" s="18">
        <v>3.3</v>
      </c>
      <c r="BC43" s="18">
        <v>5.12</v>
      </c>
      <c r="BD43" s="18">
        <v>2.2000000000000002</v>
      </c>
      <c r="BE43" s="18">
        <v>1.9</v>
      </c>
      <c r="BF43" s="18">
        <v>1.18</v>
      </c>
      <c r="BG43" s="18">
        <v>1.39</v>
      </c>
      <c r="BH43" s="18">
        <v>15.48</v>
      </c>
      <c r="BI43" s="18">
        <v>15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52.72</v>
      </c>
      <c r="BV43" s="18">
        <v>23.2</v>
      </c>
      <c r="BW43" s="18">
        <v>23.14</v>
      </c>
      <c r="BX43" s="18">
        <v>17.3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56.78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434">
        <v>22.01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434">
        <v>30.42</v>
      </c>
      <c r="DF43" s="18">
        <v>132.30000000000001</v>
      </c>
      <c r="DG43" s="435">
        <v>13.85</v>
      </c>
      <c r="DH43" s="18">
        <v>70.72</v>
      </c>
      <c r="DI43" s="337">
        <v>0</v>
      </c>
      <c r="DJ43" s="436">
        <v>39.880000000000003</v>
      </c>
      <c r="DK43" s="337">
        <v>133.6</v>
      </c>
      <c r="DL43" s="337">
        <v>0</v>
      </c>
      <c r="DM43" s="337">
        <v>0</v>
      </c>
      <c r="DN43" s="337">
        <v>0</v>
      </c>
      <c r="DO43" s="337">
        <v>0</v>
      </c>
      <c r="DP43" s="337">
        <v>0</v>
      </c>
      <c r="DQ43" s="337">
        <v>0</v>
      </c>
      <c r="DR43" s="337">
        <v>0</v>
      </c>
      <c r="DS43" s="337">
        <v>0</v>
      </c>
      <c r="DT43" s="337">
        <v>0</v>
      </c>
      <c r="DU43" s="337">
        <v>0</v>
      </c>
      <c r="DV43" s="337">
        <v>0</v>
      </c>
      <c r="DW43" s="436">
        <v>4.37</v>
      </c>
      <c r="DX43" s="436">
        <v>4.5</v>
      </c>
      <c r="DY43" s="436">
        <v>4.0999999999999996</v>
      </c>
      <c r="DZ43" s="337">
        <v>0</v>
      </c>
      <c r="EA43" s="337">
        <v>0</v>
      </c>
      <c r="EB43" s="337">
        <v>0</v>
      </c>
      <c r="EC43" s="337">
        <v>0</v>
      </c>
      <c r="ED43" s="337">
        <v>0</v>
      </c>
      <c r="EE43" s="337">
        <v>0</v>
      </c>
      <c r="EF43" s="337">
        <v>0</v>
      </c>
      <c r="EG43" s="337">
        <v>0</v>
      </c>
      <c r="EH43" s="436">
        <v>19.41</v>
      </c>
      <c r="EI43" s="436">
        <v>4.1399999999999997</v>
      </c>
      <c r="EJ43" s="436">
        <v>5.93</v>
      </c>
      <c r="EK43" s="337">
        <v>0</v>
      </c>
      <c r="EL43" s="337">
        <v>0</v>
      </c>
      <c r="EM43" s="337">
        <v>0</v>
      </c>
      <c r="EN43" s="337">
        <v>0</v>
      </c>
      <c r="EO43" s="337">
        <v>0.3</v>
      </c>
      <c r="EP43" s="337">
        <v>0</v>
      </c>
      <c r="EQ43" s="337">
        <v>0</v>
      </c>
      <c r="ER43" s="337">
        <v>11.67</v>
      </c>
      <c r="ES43" s="337">
        <v>8.83</v>
      </c>
      <c r="ET43" s="337">
        <v>12.83</v>
      </c>
      <c r="EU43" s="337">
        <v>0</v>
      </c>
      <c r="EV43" s="337">
        <v>0</v>
      </c>
      <c r="EW43" s="337">
        <v>0</v>
      </c>
      <c r="EX43" s="337">
        <v>0</v>
      </c>
      <c r="EY43" s="337">
        <v>0</v>
      </c>
      <c r="EZ43" s="337">
        <v>0</v>
      </c>
      <c r="FA43" s="337">
        <v>51.56</v>
      </c>
      <c r="FB43" s="337">
        <v>-255</v>
      </c>
      <c r="FC43" s="337">
        <v>1918.81</v>
      </c>
      <c r="FD43" s="337">
        <v>2122.25</v>
      </c>
      <c r="FE43" s="19">
        <v>20.149999999999999</v>
      </c>
    </row>
    <row r="44" spans="1:161" s="20" customFormat="1" ht="19.5" customHeight="1">
      <c r="A44" s="19">
        <v>20.3</v>
      </c>
      <c r="B44" s="18">
        <v>265.52</v>
      </c>
      <c r="C44" s="18">
        <v>78.36</v>
      </c>
      <c r="D44" s="18">
        <v>32.26</v>
      </c>
      <c r="E44" s="18">
        <v>0</v>
      </c>
      <c r="F44" s="18">
        <v>4</v>
      </c>
      <c r="G44" s="18">
        <v>0</v>
      </c>
      <c r="H44" s="18">
        <v>3.5</v>
      </c>
      <c r="I44" s="18">
        <v>9.7899999999999991</v>
      </c>
      <c r="J44" s="18">
        <v>15.94</v>
      </c>
      <c r="K44" s="18">
        <v>0</v>
      </c>
      <c r="L44" s="18">
        <v>9.8699999999999992</v>
      </c>
      <c r="M44" s="18">
        <v>3.2</v>
      </c>
      <c r="N44" s="18">
        <v>8.61</v>
      </c>
      <c r="O44" s="18">
        <v>5.05</v>
      </c>
      <c r="P44" s="18">
        <v>39.799999999999997</v>
      </c>
      <c r="Q44" s="18">
        <v>12.03</v>
      </c>
      <c r="R44" s="18">
        <v>50.93</v>
      </c>
      <c r="S44" s="18">
        <v>103.4</v>
      </c>
      <c r="T44" s="18">
        <v>66.67</v>
      </c>
      <c r="U44" s="18">
        <v>40.229999999999997</v>
      </c>
      <c r="V44" s="18">
        <v>4.05</v>
      </c>
      <c r="W44" s="18">
        <v>4.1100000000000003</v>
      </c>
      <c r="X44" s="18">
        <v>22.4</v>
      </c>
      <c r="Y44" s="18">
        <v>20.39</v>
      </c>
      <c r="Z44" s="18">
        <v>71.78</v>
      </c>
      <c r="AA44" s="18">
        <v>57.94</v>
      </c>
      <c r="AB44" s="18">
        <v>3.61</v>
      </c>
      <c r="AC44" s="18">
        <v>13.6</v>
      </c>
      <c r="AD44" s="18">
        <v>8.0399999999999991</v>
      </c>
      <c r="AE44" s="18">
        <v>81.180000000000007</v>
      </c>
      <c r="AF44" s="18">
        <v>3.7</v>
      </c>
      <c r="AG44" s="18">
        <v>2</v>
      </c>
      <c r="AH44" s="18">
        <v>2.04</v>
      </c>
      <c r="AI44" s="18">
        <v>0</v>
      </c>
      <c r="AJ44" s="18">
        <v>2.0299999999999998</v>
      </c>
      <c r="AK44" s="18">
        <v>1.69</v>
      </c>
      <c r="AL44" s="18">
        <v>3.3</v>
      </c>
      <c r="AM44" s="18">
        <v>4.03</v>
      </c>
      <c r="AN44" s="18">
        <v>0.39</v>
      </c>
      <c r="AO44" s="18">
        <v>1.24</v>
      </c>
      <c r="AP44" s="18">
        <v>0.55000000000000004</v>
      </c>
      <c r="AQ44" s="18">
        <v>9.25</v>
      </c>
      <c r="AR44" s="18">
        <v>0</v>
      </c>
      <c r="AS44" s="18">
        <v>24.84</v>
      </c>
      <c r="AT44" s="18">
        <v>45.73</v>
      </c>
      <c r="AU44" s="18">
        <v>1</v>
      </c>
      <c r="AV44" s="18">
        <v>9.1999999999999993</v>
      </c>
      <c r="AW44" s="18">
        <v>8.2100000000000009</v>
      </c>
      <c r="AX44" s="18">
        <v>8.3000000000000007</v>
      </c>
      <c r="AY44" s="18">
        <v>2.2400000000000002</v>
      </c>
      <c r="AZ44" s="18">
        <v>3.44</v>
      </c>
      <c r="BA44" s="18">
        <v>1.95</v>
      </c>
      <c r="BB44" s="18">
        <v>3.04</v>
      </c>
      <c r="BC44" s="18">
        <v>5.1100000000000003</v>
      </c>
      <c r="BD44" s="18">
        <v>2.2000000000000002</v>
      </c>
      <c r="BE44" s="18">
        <v>1.9</v>
      </c>
      <c r="BF44" s="18">
        <v>1.17</v>
      </c>
      <c r="BG44" s="18">
        <v>1.39</v>
      </c>
      <c r="BH44" s="18">
        <v>14.57</v>
      </c>
      <c r="BI44" s="18">
        <v>15.1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50.63</v>
      </c>
      <c r="BV44" s="18">
        <v>22.4</v>
      </c>
      <c r="BW44" s="18">
        <v>23.92</v>
      </c>
      <c r="BX44" s="18">
        <v>17.3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56.78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434">
        <v>23.01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434">
        <v>30.51</v>
      </c>
      <c r="DF44" s="18">
        <v>132.5</v>
      </c>
      <c r="DG44" s="435">
        <v>11.35</v>
      </c>
      <c r="DH44" s="18">
        <v>70.760000000000005</v>
      </c>
      <c r="DI44" s="337">
        <v>0</v>
      </c>
      <c r="DJ44" s="436">
        <v>35.229999999999997</v>
      </c>
      <c r="DK44" s="337">
        <v>133.74</v>
      </c>
      <c r="DL44" s="337">
        <v>0</v>
      </c>
      <c r="DM44" s="337">
        <v>0</v>
      </c>
      <c r="DN44" s="337">
        <v>0</v>
      </c>
      <c r="DO44" s="337">
        <v>0</v>
      </c>
      <c r="DP44" s="337">
        <v>0</v>
      </c>
      <c r="DQ44" s="337">
        <v>0</v>
      </c>
      <c r="DR44" s="337">
        <v>0</v>
      </c>
      <c r="DS44" s="337">
        <v>0</v>
      </c>
      <c r="DT44" s="337">
        <v>0</v>
      </c>
      <c r="DU44" s="337">
        <v>0</v>
      </c>
      <c r="DV44" s="337">
        <v>0</v>
      </c>
      <c r="DW44" s="436">
        <v>4.3099999999999996</v>
      </c>
      <c r="DX44" s="436">
        <v>4.38</v>
      </c>
      <c r="DY44" s="436">
        <v>4.22</v>
      </c>
      <c r="DZ44" s="337">
        <v>0</v>
      </c>
      <c r="EA44" s="337">
        <v>0</v>
      </c>
      <c r="EB44" s="337">
        <v>0</v>
      </c>
      <c r="EC44" s="337">
        <v>0</v>
      </c>
      <c r="ED44" s="337">
        <v>0</v>
      </c>
      <c r="EE44" s="337">
        <v>0</v>
      </c>
      <c r="EF44" s="337">
        <v>0</v>
      </c>
      <c r="EG44" s="337">
        <v>0</v>
      </c>
      <c r="EH44" s="436">
        <v>19.399999999999999</v>
      </c>
      <c r="EI44" s="436">
        <v>4.63</v>
      </c>
      <c r="EJ44" s="436">
        <v>5.77</v>
      </c>
      <c r="EK44" s="337">
        <v>0</v>
      </c>
      <c r="EL44" s="337">
        <v>0</v>
      </c>
      <c r="EM44" s="337">
        <v>0</v>
      </c>
      <c r="EN44" s="337">
        <v>0</v>
      </c>
      <c r="EO44" s="337">
        <v>0.3</v>
      </c>
      <c r="EP44" s="337">
        <v>0</v>
      </c>
      <c r="EQ44" s="337">
        <v>0</v>
      </c>
      <c r="ER44" s="337">
        <v>11.7</v>
      </c>
      <c r="ES44" s="337">
        <v>8.84</v>
      </c>
      <c r="ET44" s="337">
        <v>12.96</v>
      </c>
      <c r="EU44" s="337">
        <v>0</v>
      </c>
      <c r="EV44" s="337">
        <v>0</v>
      </c>
      <c r="EW44" s="337">
        <v>0</v>
      </c>
      <c r="EX44" s="337">
        <v>0</v>
      </c>
      <c r="EY44" s="337">
        <v>0</v>
      </c>
      <c r="EZ44" s="337">
        <v>0</v>
      </c>
      <c r="FA44" s="337">
        <v>13.46</v>
      </c>
      <c r="FB44" s="337">
        <v>-205.1</v>
      </c>
      <c r="FC44" s="337">
        <v>1900.51</v>
      </c>
      <c r="FD44" s="337">
        <v>2092.15</v>
      </c>
      <c r="FE44" s="19">
        <v>20.3</v>
      </c>
    </row>
    <row r="45" spans="1:161" s="20" customFormat="1" ht="19.5" customHeight="1">
      <c r="A45" s="19">
        <v>20.45</v>
      </c>
      <c r="B45" s="18">
        <v>262.86</v>
      </c>
      <c r="C45" s="18">
        <v>77.98</v>
      </c>
      <c r="D45" s="18">
        <v>29.69</v>
      </c>
      <c r="E45" s="18">
        <v>0</v>
      </c>
      <c r="F45" s="18">
        <v>4</v>
      </c>
      <c r="G45" s="18">
        <v>0</v>
      </c>
      <c r="H45" s="18">
        <v>3.48</v>
      </c>
      <c r="I45" s="18">
        <v>9.86</v>
      </c>
      <c r="J45" s="18">
        <v>15.91</v>
      </c>
      <c r="K45" s="18">
        <v>0</v>
      </c>
      <c r="L45" s="18">
        <v>9.8800000000000008</v>
      </c>
      <c r="M45" s="18">
        <v>3.15</v>
      </c>
      <c r="N45" s="18">
        <v>8.73</v>
      </c>
      <c r="O45" s="18">
        <v>5.04</v>
      </c>
      <c r="P45" s="18">
        <v>39.799999999999997</v>
      </c>
      <c r="Q45" s="18">
        <v>12.03</v>
      </c>
      <c r="R45" s="18">
        <v>50.99</v>
      </c>
      <c r="S45" s="18">
        <v>103.65</v>
      </c>
      <c r="T45" s="18">
        <v>66.13</v>
      </c>
      <c r="U45" s="18">
        <v>35.07</v>
      </c>
      <c r="V45" s="18">
        <v>4.04</v>
      </c>
      <c r="W45" s="18">
        <v>4.25</v>
      </c>
      <c r="X45" s="18">
        <v>22.42</v>
      </c>
      <c r="Y45" s="18">
        <v>20.39</v>
      </c>
      <c r="Z45" s="18">
        <v>61.96</v>
      </c>
      <c r="AA45" s="18">
        <v>57.69</v>
      </c>
      <c r="AB45" s="18">
        <v>3.62</v>
      </c>
      <c r="AC45" s="18">
        <v>12.52</v>
      </c>
      <c r="AD45" s="18">
        <v>8.14</v>
      </c>
      <c r="AE45" s="18">
        <v>81.19</v>
      </c>
      <c r="AF45" s="18">
        <v>3.69</v>
      </c>
      <c r="AG45" s="18">
        <v>2</v>
      </c>
      <c r="AH45" s="18">
        <v>2.04</v>
      </c>
      <c r="AI45" s="18">
        <v>0</v>
      </c>
      <c r="AJ45" s="18">
        <v>2.02</v>
      </c>
      <c r="AK45" s="18">
        <v>1.69</v>
      </c>
      <c r="AL45" s="18">
        <v>3.3</v>
      </c>
      <c r="AM45" s="18">
        <v>3.6</v>
      </c>
      <c r="AN45" s="18">
        <v>0.39</v>
      </c>
      <c r="AO45" s="18">
        <v>1.23</v>
      </c>
      <c r="AP45" s="18">
        <v>0.55000000000000004</v>
      </c>
      <c r="AQ45" s="18">
        <v>9.23</v>
      </c>
      <c r="AR45" s="18">
        <v>0</v>
      </c>
      <c r="AS45" s="18">
        <v>24.84</v>
      </c>
      <c r="AT45" s="18">
        <v>40.619999999999997</v>
      </c>
      <c r="AU45" s="18">
        <v>0.98</v>
      </c>
      <c r="AV45" s="18">
        <v>9.2100000000000009</v>
      </c>
      <c r="AW45" s="18">
        <v>7.81</v>
      </c>
      <c r="AX45" s="18">
        <v>8.3000000000000007</v>
      </c>
      <c r="AY45" s="18">
        <v>2.23</v>
      </c>
      <c r="AZ45" s="18">
        <v>3.35</v>
      </c>
      <c r="BA45" s="18">
        <v>1.95</v>
      </c>
      <c r="BB45" s="18">
        <v>3.1</v>
      </c>
      <c r="BC45" s="18">
        <v>5.13</v>
      </c>
      <c r="BD45" s="18">
        <v>2.2000000000000002</v>
      </c>
      <c r="BE45" s="18">
        <v>1.91</v>
      </c>
      <c r="BF45" s="18">
        <v>0</v>
      </c>
      <c r="BG45" s="18">
        <v>1.39</v>
      </c>
      <c r="BH45" s="18">
        <v>15.75</v>
      </c>
      <c r="BI45" s="18">
        <v>15.2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54.57</v>
      </c>
      <c r="BV45" s="18">
        <v>22.8</v>
      </c>
      <c r="BW45" s="18">
        <v>23.96</v>
      </c>
      <c r="BX45" s="18">
        <v>17.8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55.17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434">
        <v>23.01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434">
        <v>30.62</v>
      </c>
      <c r="DF45" s="18">
        <v>132.6</v>
      </c>
      <c r="DG45" s="435">
        <v>10.38</v>
      </c>
      <c r="DH45" s="18">
        <v>71.510000000000005</v>
      </c>
      <c r="DI45" s="337">
        <v>0</v>
      </c>
      <c r="DJ45" s="436">
        <v>31.59</v>
      </c>
      <c r="DK45" s="337">
        <v>133.6</v>
      </c>
      <c r="DL45" s="337">
        <v>0</v>
      </c>
      <c r="DM45" s="337">
        <v>0</v>
      </c>
      <c r="DN45" s="337">
        <v>0</v>
      </c>
      <c r="DO45" s="337">
        <v>0</v>
      </c>
      <c r="DP45" s="337">
        <v>0</v>
      </c>
      <c r="DQ45" s="337">
        <v>0</v>
      </c>
      <c r="DR45" s="337">
        <v>0</v>
      </c>
      <c r="DS45" s="337">
        <v>0</v>
      </c>
      <c r="DT45" s="337">
        <v>0</v>
      </c>
      <c r="DU45" s="337">
        <v>0</v>
      </c>
      <c r="DV45" s="337">
        <v>0</v>
      </c>
      <c r="DW45" s="436">
        <v>4.38</v>
      </c>
      <c r="DX45" s="436">
        <v>4.42</v>
      </c>
      <c r="DY45" s="436">
        <v>4.25</v>
      </c>
      <c r="DZ45" s="337">
        <v>0</v>
      </c>
      <c r="EA45" s="337">
        <v>0</v>
      </c>
      <c r="EB45" s="337">
        <v>0</v>
      </c>
      <c r="EC45" s="337">
        <v>0</v>
      </c>
      <c r="ED45" s="337">
        <v>0</v>
      </c>
      <c r="EE45" s="337">
        <v>0</v>
      </c>
      <c r="EF45" s="337">
        <v>0</v>
      </c>
      <c r="EG45" s="337">
        <v>0</v>
      </c>
      <c r="EH45" s="436">
        <v>19.420000000000002</v>
      </c>
      <c r="EI45" s="436">
        <v>4.01</v>
      </c>
      <c r="EJ45" s="436">
        <v>5.73</v>
      </c>
      <c r="EK45" s="337">
        <v>0</v>
      </c>
      <c r="EL45" s="337">
        <v>0</v>
      </c>
      <c r="EM45" s="337">
        <v>0</v>
      </c>
      <c r="EN45" s="337">
        <v>0</v>
      </c>
      <c r="EO45" s="337">
        <v>0.3</v>
      </c>
      <c r="EP45" s="337">
        <v>0</v>
      </c>
      <c r="EQ45" s="337">
        <v>0</v>
      </c>
      <c r="ER45" s="337">
        <v>11.7</v>
      </c>
      <c r="ES45" s="337">
        <v>8.85</v>
      </c>
      <c r="ET45" s="337">
        <v>11.67</v>
      </c>
      <c r="EU45" s="337">
        <v>0</v>
      </c>
      <c r="EV45" s="337">
        <v>0</v>
      </c>
      <c r="EW45" s="337">
        <v>0</v>
      </c>
      <c r="EX45" s="337">
        <v>0</v>
      </c>
      <c r="EY45" s="337">
        <v>0</v>
      </c>
      <c r="EZ45" s="337">
        <v>0</v>
      </c>
      <c r="FA45" s="337">
        <v>84.7</v>
      </c>
      <c r="FB45" s="337">
        <v>-262.2</v>
      </c>
      <c r="FC45" s="337">
        <v>1870.52</v>
      </c>
      <c r="FD45" s="337">
        <v>2048.02</v>
      </c>
      <c r="FE45" s="19">
        <v>20.45</v>
      </c>
    </row>
    <row r="46" spans="1:161" s="20" customFormat="1" ht="19.5" customHeight="1">
      <c r="A46" s="21">
        <v>21</v>
      </c>
      <c r="B46" s="18">
        <v>261.19</v>
      </c>
      <c r="C46" s="18">
        <v>77.989999999999995</v>
      </c>
      <c r="D46" s="18">
        <v>29.5</v>
      </c>
      <c r="E46" s="18">
        <v>0</v>
      </c>
      <c r="F46" s="18">
        <v>3.99</v>
      </c>
      <c r="G46" s="18">
        <v>0</v>
      </c>
      <c r="H46" s="18">
        <v>3.49</v>
      </c>
      <c r="I46" s="18">
        <v>9.86</v>
      </c>
      <c r="J46" s="18">
        <v>15.95</v>
      </c>
      <c r="K46" s="18">
        <v>0</v>
      </c>
      <c r="L46" s="18">
        <v>9.8699999999999992</v>
      </c>
      <c r="M46" s="18">
        <v>3.18</v>
      </c>
      <c r="N46" s="18">
        <v>7.96</v>
      </c>
      <c r="O46" s="18">
        <v>5.03</v>
      </c>
      <c r="P46" s="18">
        <v>39.799999999999997</v>
      </c>
      <c r="Q46" s="18">
        <v>12.03</v>
      </c>
      <c r="R46" s="18">
        <v>50.92</v>
      </c>
      <c r="S46" s="18">
        <v>103.15</v>
      </c>
      <c r="T46" s="18">
        <v>66.47</v>
      </c>
      <c r="U46" s="18">
        <v>34.83</v>
      </c>
      <c r="V46" s="18">
        <v>4.04</v>
      </c>
      <c r="W46" s="18">
        <v>4.21</v>
      </c>
      <c r="X46" s="18">
        <v>22.39</v>
      </c>
      <c r="Y46" s="18">
        <v>20.350000000000001</v>
      </c>
      <c r="Z46" s="18">
        <v>60.75</v>
      </c>
      <c r="AA46" s="18">
        <v>57.81</v>
      </c>
      <c r="AB46" s="18">
        <v>3.57</v>
      </c>
      <c r="AC46" s="18">
        <v>11.38</v>
      </c>
      <c r="AD46" s="18">
        <v>6.69</v>
      </c>
      <c r="AE46" s="18">
        <v>81.13</v>
      </c>
      <c r="AF46" s="18">
        <v>3.66</v>
      </c>
      <c r="AG46" s="18">
        <v>2</v>
      </c>
      <c r="AH46" s="18">
        <v>2.04</v>
      </c>
      <c r="AI46" s="18">
        <v>0</v>
      </c>
      <c r="AJ46" s="18">
        <v>2.0299999999999998</v>
      </c>
      <c r="AK46" s="18">
        <v>1.69</v>
      </c>
      <c r="AL46" s="18">
        <v>3.28</v>
      </c>
      <c r="AM46" s="18">
        <v>3.4</v>
      </c>
      <c r="AN46" s="18">
        <v>0.38</v>
      </c>
      <c r="AO46" s="18">
        <v>1.23</v>
      </c>
      <c r="AP46" s="18">
        <v>0.54</v>
      </c>
      <c r="AQ46" s="18">
        <v>9.2100000000000009</v>
      </c>
      <c r="AR46" s="18">
        <v>0</v>
      </c>
      <c r="AS46" s="18">
        <v>24.89</v>
      </c>
      <c r="AT46" s="18">
        <v>39.35</v>
      </c>
      <c r="AU46" s="18">
        <v>0.97</v>
      </c>
      <c r="AV46" s="18">
        <v>9.2100000000000009</v>
      </c>
      <c r="AW46" s="18">
        <v>8.2899999999999991</v>
      </c>
      <c r="AX46" s="18">
        <v>8.3000000000000007</v>
      </c>
      <c r="AY46" s="18">
        <v>2.2000000000000002</v>
      </c>
      <c r="AZ46" s="18">
        <v>3.07</v>
      </c>
      <c r="BA46" s="18">
        <v>1.97</v>
      </c>
      <c r="BB46" s="18">
        <v>3.06</v>
      </c>
      <c r="BC46" s="18">
        <v>5.0999999999999996</v>
      </c>
      <c r="BD46" s="18">
        <v>2.2000000000000002</v>
      </c>
      <c r="BE46" s="18">
        <v>1.91</v>
      </c>
      <c r="BF46" s="18">
        <v>0</v>
      </c>
      <c r="BG46" s="18">
        <v>1.65</v>
      </c>
      <c r="BH46" s="18">
        <v>15.04</v>
      </c>
      <c r="BI46" s="18">
        <v>15.1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53.22</v>
      </c>
      <c r="BV46" s="18">
        <v>23</v>
      </c>
      <c r="BW46" s="18">
        <v>26.69</v>
      </c>
      <c r="BX46" s="18">
        <v>17.8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45.26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434">
        <v>22.01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434">
        <v>30.86</v>
      </c>
      <c r="DF46" s="18">
        <v>131.19999999999999</v>
      </c>
      <c r="DG46" s="435">
        <v>10.41</v>
      </c>
      <c r="DH46" s="18">
        <v>59.9</v>
      </c>
      <c r="DI46" s="337">
        <v>0</v>
      </c>
      <c r="DJ46" s="436">
        <v>30.49</v>
      </c>
      <c r="DK46" s="337">
        <v>133.94999999999999</v>
      </c>
      <c r="DL46" s="337">
        <v>0</v>
      </c>
      <c r="DM46" s="337">
        <v>0</v>
      </c>
      <c r="DN46" s="337">
        <v>0</v>
      </c>
      <c r="DO46" s="337">
        <v>0</v>
      </c>
      <c r="DP46" s="337">
        <v>0</v>
      </c>
      <c r="DQ46" s="337">
        <v>0</v>
      </c>
      <c r="DR46" s="337">
        <v>0</v>
      </c>
      <c r="DS46" s="337">
        <v>0</v>
      </c>
      <c r="DT46" s="337">
        <v>0</v>
      </c>
      <c r="DU46" s="337">
        <v>0</v>
      </c>
      <c r="DV46" s="337">
        <v>0</v>
      </c>
      <c r="DW46" s="436">
        <v>4.3</v>
      </c>
      <c r="DX46" s="436">
        <v>4.49</v>
      </c>
      <c r="DY46" s="436">
        <v>4.21</v>
      </c>
      <c r="DZ46" s="337">
        <v>0</v>
      </c>
      <c r="EA46" s="337">
        <v>0</v>
      </c>
      <c r="EB46" s="337">
        <v>0</v>
      </c>
      <c r="EC46" s="337">
        <v>0</v>
      </c>
      <c r="ED46" s="337">
        <v>0</v>
      </c>
      <c r="EE46" s="337">
        <v>0</v>
      </c>
      <c r="EF46" s="337">
        <v>0</v>
      </c>
      <c r="EG46" s="337">
        <v>0</v>
      </c>
      <c r="EH46" s="436">
        <v>19.399999999999999</v>
      </c>
      <c r="EI46" s="436">
        <v>4.1900000000000004</v>
      </c>
      <c r="EJ46" s="436">
        <v>5.77</v>
      </c>
      <c r="EK46" s="337">
        <v>0</v>
      </c>
      <c r="EL46" s="337">
        <v>0</v>
      </c>
      <c r="EM46" s="337">
        <v>0</v>
      </c>
      <c r="EN46" s="337">
        <v>0</v>
      </c>
      <c r="EO46" s="337">
        <v>0.3</v>
      </c>
      <c r="EP46" s="337">
        <v>0</v>
      </c>
      <c r="EQ46" s="337">
        <v>0</v>
      </c>
      <c r="ER46" s="337">
        <v>11.69</v>
      </c>
      <c r="ES46" s="337">
        <v>8.84</v>
      </c>
      <c r="ET46" s="337">
        <v>9.0299999999999994</v>
      </c>
      <c r="EU46" s="337">
        <v>0</v>
      </c>
      <c r="EV46" s="337">
        <v>0</v>
      </c>
      <c r="EW46" s="337">
        <v>0</v>
      </c>
      <c r="EX46" s="337">
        <v>0</v>
      </c>
      <c r="EY46" s="337">
        <v>0</v>
      </c>
      <c r="EZ46" s="337">
        <v>0</v>
      </c>
      <c r="FA46" s="337">
        <v>47.54</v>
      </c>
      <c r="FB46" s="337">
        <v>-239.7</v>
      </c>
      <c r="FC46" s="337">
        <v>1836.31</v>
      </c>
      <c r="FD46" s="337">
        <v>2028.47</v>
      </c>
      <c r="FE46" s="21">
        <v>21</v>
      </c>
    </row>
    <row r="47" spans="1:161" s="20" customFormat="1" ht="19.5" customHeight="1">
      <c r="A47" s="433">
        <v>22</v>
      </c>
      <c r="B47" s="18">
        <v>258.86</v>
      </c>
      <c r="C47" s="18">
        <v>78.09</v>
      </c>
      <c r="D47" s="18">
        <v>31.87</v>
      </c>
      <c r="E47" s="18">
        <v>0</v>
      </c>
      <c r="F47" s="18">
        <v>4</v>
      </c>
      <c r="G47" s="18">
        <v>0</v>
      </c>
      <c r="H47" s="18">
        <v>0</v>
      </c>
      <c r="I47" s="18">
        <v>9.85</v>
      </c>
      <c r="J47" s="18">
        <v>15.93</v>
      </c>
      <c r="K47" s="18">
        <v>0</v>
      </c>
      <c r="L47" s="18">
        <v>9.8699999999999992</v>
      </c>
      <c r="M47" s="18">
        <v>3.22</v>
      </c>
      <c r="N47" s="18">
        <v>1.2</v>
      </c>
      <c r="O47" s="18">
        <v>22.07</v>
      </c>
      <c r="P47" s="18">
        <v>15.22</v>
      </c>
      <c r="Q47" s="18">
        <v>3.89</v>
      </c>
      <c r="R47" s="18">
        <v>51.01</v>
      </c>
      <c r="S47" s="18">
        <v>103.17</v>
      </c>
      <c r="T47" s="18">
        <v>66.27</v>
      </c>
      <c r="U47" s="18">
        <v>37.880000000000003</v>
      </c>
      <c r="V47" s="18">
        <v>4.04</v>
      </c>
      <c r="W47" s="18">
        <v>4.12</v>
      </c>
      <c r="X47" s="18">
        <v>11.5</v>
      </c>
      <c r="Y47" s="18">
        <v>12.64</v>
      </c>
      <c r="Z47" s="18">
        <v>83.65</v>
      </c>
      <c r="AA47" s="18">
        <v>40.07</v>
      </c>
      <c r="AB47" s="18">
        <v>3.66</v>
      </c>
      <c r="AC47" s="18">
        <v>11.32</v>
      </c>
      <c r="AD47" s="18">
        <v>6.2</v>
      </c>
      <c r="AE47" s="18">
        <v>81.180000000000007</v>
      </c>
      <c r="AF47" s="18">
        <v>3.67</v>
      </c>
      <c r="AG47" s="18">
        <v>2</v>
      </c>
      <c r="AH47" s="18">
        <v>2.04</v>
      </c>
      <c r="AI47" s="18">
        <v>0</v>
      </c>
      <c r="AJ47" s="18">
        <v>2.04</v>
      </c>
      <c r="AK47" s="18">
        <v>1.68</v>
      </c>
      <c r="AL47" s="18">
        <v>3.27</v>
      </c>
      <c r="AM47" s="18">
        <v>3.79</v>
      </c>
      <c r="AN47" s="18">
        <v>0.38</v>
      </c>
      <c r="AO47" s="18">
        <v>1.22</v>
      </c>
      <c r="AP47" s="18">
        <v>0.55000000000000004</v>
      </c>
      <c r="AQ47" s="18">
        <v>9.16</v>
      </c>
      <c r="AR47" s="18">
        <v>0</v>
      </c>
      <c r="AS47" s="18">
        <v>24.81</v>
      </c>
      <c r="AT47" s="18">
        <v>43.55</v>
      </c>
      <c r="AU47" s="18">
        <v>0.9</v>
      </c>
      <c r="AV47" s="18">
        <v>9.23</v>
      </c>
      <c r="AW47" s="18">
        <v>7.75</v>
      </c>
      <c r="AX47" s="18">
        <v>8.3000000000000007</v>
      </c>
      <c r="AY47" s="18">
        <v>2.19</v>
      </c>
      <c r="AZ47" s="18">
        <v>3.17</v>
      </c>
      <c r="BA47" s="18">
        <v>1.92</v>
      </c>
      <c r="BB47" s="18">
        <v>2.48</v>
      </c>
      <c r="BC47" s="18">
        <v>5.0999999999999996</v>
      </c>
      <c r="BD47" s="18">
        <v>2.2000000000000002</v>
      </c>
      <c r="BE47" s="18">
        <v>1.89</v>
      </c>
      <c r="BF47" s="18">
        <v>0</v>
      </c>
      <c r="BG47" s="18">
        <v>1.65</v>
      </c>
      <c r="BH47" s="18">
        <v>15.21</v>
      </c>
      <c r="BI47" s="18">
        <v>15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53.98</v>
      </c>
      <c r="BV47" s="18">
        <v>19.7</v>
      </c>
      <c r="BW47" s="18">
        <v>25.85</v>
      </c>
      <c r="BX47" s="18">
        <v>16.8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434">
        <v>30.33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434">
        <v>22.01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434">
        <v>30.77</v>
      </c>
      <c r="DF47" s="435">
        <v>116.2</v>
      </c>
      <c r="DG47" s="434">
        <v>10.43</v>
      </c>
      <c r="DH47" s="434">
        <v>57.23</v>
      </c>
      <c r="DI47" s="337">
        <v>0</v>
      </c>
      <c r="DJ47" s="436">
        <v>18.61</v>
      </c>
      <c r="DK47" s="337">
        <v>133.66999999999999</v>
      </c>
      <c r="DL47" s="337">
        <v>0</v>
      </c>
      <c r="DM47" s="337">
        <v>0</v>
      </c>
      <c r="DN47" s="337">
        <v>0</v>
      </c>
      <c r="DO47" s="337">
        <v>0</v>
      </c>
      <c r="DP47" s="337">
        <v>0</v>
      </c>
      <c r="DQ47" s="337">
        <v>0</v>
      </c>
      <c r="DR47" s="337">
        <v>0</v>
      </c>
      <c r="DS47" s="337">
        <v>0</v>
      </c>
      <c r="DT47" s="337">
        <v>0</v>
      </c>
      <c r="DU47" s="337">
        <v>0</v>
      </c>
      <c r="DV47" s="337">
        <v>0</v>
      </c>
      <c r="DW47" s="436">
        <v>4.3099999999999996</v>
      </c>
      <c r="DX47" s="436">
        <v>4.41</v>
      </c>
      <c r="DY47" s="436">
        <v>4.0199999999999996</v>
      </c>
      <c r="DZ47" s="337">
        <v>0</v>
      </c>
      <c r="EA47" s="337">
        <v>0</v>
      </c>
      <c r="EB47" s="337">
        <v>0</v>
      </c>
      <c r="EC47" s="337">
        <v>0</v>
      </c>
      <c r="ED47" s="337">
        <v>0</v>
      </c>
      <c r="EE47" s="337">
        <v>0</v>
      </c>
      <c r="EF47" s="337">
        <v>0</v>
      </c>
      <c r="EG47" s="337">
        <v>0</v>
      </c>
      <c r="EH47" s="337">
        <v>0</v>
      </c>
      <c r="EI47" s="337">
        <v>0</v>
      </c>
      <c r="EJ47" s="337">
        <v>0</v>
      </c>
      <c r="EK47" s="337">
        <v>0</v>
      </c>
      <c r="EL47" s="337">
        <v>0</v>
      </c>
      <c r="EM47" s="337">
        <v>0</v>
      </c>
      <c r="EN47" s="337">
        <v>0</v>
      </c>
      <c r="EO47" s="337">
        <v>0.3</v>
      </c>
      <c r="EP47" s="337">
        <v>0</v>
      </c>
      <c r="EQ47" s="337">
        <v>0</v>
      </c>
      <c r="ER47" s="337">
        <v>11.71</v>
      </c>
      <c r="ES47" s="337">
        <v>8.84</v>
      </c>
      <c r="ET47" s="337">
        <v>6.21</v>
      </c>
      <c r="EU47" s="337">
        <v>0</v>
      </c>
      <c r="EV47" s="337">
        <v>0</v>
      </c>
      <c r="EW47" s="337">
        <v>0</v>
      </c>
      <c r="EX47" s="337">
        <v>0</v>
      </c>
      <c r="EY47" s="337">
        <v>0</v>
      </c>
      <c r="EZ47" s="337">
        <v>0</v>
      </c>
      <c r="FA47" s="337">
        <v>121.96</v>
      </c>
      <c r="FB47" s="337">
        <v>-218.5</v>
      </c>
      <c r="FC47" s="337">
        <v>1721.31</v>
      </c>
      <c r="FD47" s="337">
        <v>1817.85</v>
      </c>
      <c r="FE47" s="21">
        <v>22</v>
      </c>
    </row>
    <row r="48" spans="1:161" s="20" customFormat="1" ht="19.5" customHeight="1">
      <c r="A48" s="21">
        <v>23</v>
      </c>
      <c r="B48" s="18">
        <v>271.83999999999997</v>
      </c>
      <c r="C48" s="18">
        <v>28.68</v>
      </c>
      <c r="D48" s="18">
        <v>34.729999999999997</v>
      </c>
      <c r="E48" s="18">
        <v>0</v>
      </c>
      <c r="F48" s="18">
        <v>4.01</v>
      </c>
      <c r="G48" s="18">
        <v>0</v>
      </c>
      <c r="H48" s="18">
        <v>0</v>
      </c>
      <c r="I48" s="18">
        <v>9.85</v>
      </c>
      <c r="J48" s="18">
        <v>15.81</v>
      </c>
      <c r="K48" s="18">
        <v>0</v>
      </c>
      <c r="L48" s="18">
        <v>9.86</v>
      </c>
      <c r="M48" s="18">
        <v>3.22</v>
      </c>
      <c r="N48" s="18">
        <v>1.23</v>
      </c>
      <c r="O48" s="18">
        <v>15.34</v>
      </c>
      <c r="P48" s="18">
        <v>17.989999999999998</v>
      </c>
      <c r="Q48" s="18">
        <v>3.2</v>
      </c>
      <c r="R48" s="18">
        <v>51.11</v>
      </c>
      <c r="S48" s="18">
        <v>102.97</v>
      </c>
      <c r="T48" s="18">
        <v>66.5</v>
      </c>
      <c r="U48" s="18">
        <v>45.1</v>
      </c>
      <c r="V48" s="18">
        <v>4.03</v>
      </c>
      <c r="W48" s="18">
        <v>4.29</v>
      </c>
      <c r="X48" s="18">
        <v>8.08</v>
      </c>
      <c r="Y48" s="18">
        <v>6.8</v>
      </c>
      <c r="Z48" s="18">
        <v>92.96</v>
      </c>
      <c r="AA48" s="18">
        <v>57.17</v>
      </c>
      <c r="AB48" s="18">
        <v>3.56</v>
      </c>
      <c r="AC48" s="18">
        <v>11.52</v>
      </c>
      <c r="AD48" s="18">
        <v>6.7</v>
      </c>
      <c r="AE48" s="18">
        <v>81.11</v>
      </c>
      <c r="AF48" s="18">
        <v>0</v>
      </c>
      <c r="AG48" s="18">
        <v>1.99</v>
      </c>
      <c r="AH48" s="18">
        <v>2.0299999999999998</v>
      </c>
      <c r="AI48" s="18">
        <v>0</v>
      </c>
      <c r="AJ48" s="18">
        <v>2.0499999999999998</v>
      </c>
      <c r="AK48" s="18">
        <v>1.1399999999999999</v>
      </c>
      <c r="AL48" s="18">
        <v>3.28</v>
      </c>
      <c r="AM48" s="18">
        <v>5.32</v>
      </c>
      <c r="AN48" s="18">
        <v>0</v>
      </c>
      <c r="AO48" s="18">
        <v>2.19</v>
      </c>
      <c r="AP48" s="18">
        <v>0.54</v>
      </c>
      <c r="AQ48" s="18">
        <v>9.0299999999999994</v>
      </c>
      <c r="AR48" s="18">
        <v>0</v>
      </c>
      <c r="AS48" s="18">
        <v>24.77</v>
      </c>
      <c r="AT48" s="18">
        <v>54.47</v>
      </c>
      <c r="AU48" s="18">
        <v>0.9</v>
      </c>
      <c r="AV48" s="18">
        <v>0</v>
      </c>
      <c r="AW48" s="18">
        <v>0</v>
      </c>
      <c r="AX48" s="18">
        <v>8.3000000000000007</v>
      </c>
      <c r="AY48" s="18">
        <v>2.23</v>
      </c>
      <c r="AZ48" s="18">
        <v>3.09</v>
      </c>
      <c r="BA48" s="18">
        <v>1.01</v>
      </c>
      <c r="BB48" s="18">
        <v>3.29</v>
      </c>
      <c r="BC48" s="18">
        <v>5.07</v>
      </c>
      <c r="BD48" s="18">
        <v>2.2000000000000002</v>
      </c>
      <c r="BE48" s="18">
        <v>0</v>
      </c>
      <c r="BF48" s="18">
        <v>0</v>
      </c>
      <c r="BG48" s="18">
        <v>1.64</v>
      </c>
      <c r="BH48" s="18">
        <v>14.99</v>
      </c>
      <c r="BI48" s="18">
        <v>15.2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54.23</v>
      </c>
      <c r="BV48" s="18">
        <v>23</v>
      </c>
      <c r="BW48" s="18">
        <v>23.09</v>
      </c>
      <c r="BX48" s="18">
        <v>17.8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434">
        <v>31.14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434">
        <v>23.01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434">
        <v>30.34</v>
      </c>
      <c r="DF48" s="435">
        <v>102</v>
      </c>
      <c r="DG48" s="434">
        <v>10.37</v>
      </c>
      <c r="DH48" s="434">
        <v>57.65</v>
      </c>
      <c r="DI48" s="337">
        <v>0</v>
      </c>
      <c r="DJ48" s="436">
        <v>19.239999999999998</v>
      </c>
      <c r="DK48" s="337">
        <v>133.74</v>
      </c>
      <c r="DL48" s="337">
        <v>0</v>
      </c>
      <c r="DM48" s="337">
        <v>0</v>
      </c>
      <c r="DN48" s="337">
        <v>0</v>
      </c>
      <c r="DO48" s="337">
        <v>0</v>
      </c>
      <c r="DP48" s="337">
        <v>0</v>
      </c>
      <c r="DQ48" s="337">
        <v>0</v>
      </c>
      <c r="DR48" s="337">
        <v>0</v>
      </c>
      <c r="DS48" s="337">
        <v>0</v>
      </c>
      <c r="DT48" s="337">
        <v>0</v>
      </c>
      <c r="DU48" s="337">
        <v>0</v>
      </c>
      <c r="DV48" s="337">
        <v>0</v>
      </c>
      <c r="DW48" s="436">
        <v>4.92</v>
      </c>
      <c r="DX48" s="436">
        <v>5.0199999999999996</v>
      </c>
      <c r="DY48" s="436">
        <v>4.88</v>
      </c>
      <c r="DZ48" s="337">
        <v>0</v>
      </c>
      <c r="EA48" s="337">
        <v>0</v>
      </c>
      <c r="EB48" s="337">
        <v>0</v>
      </c>
      <c r="EC48" s="337">
        <v>0</v>
      </c>
      <c r="ED48" s="337">
        <v>0</v>
      </c>
      <c r="EE48" s="337">
        <v>0</v>
      </c>
      <c r="EF48" s="337">
        <v>0</v>
      </c>
      <c r="EG48" s="337">
        <v>0</v>
      </c>
      <c r="EH48" s="436">
        <v>4.5999999999999996</v>
      </c>
      <c r="EI48" s="337">
        <v>0</v>
      </c>
      <c r="EJ48" s="337">
        <v>0</v>
      </c>
      <c r="EK48" s="337">
        <v>0</v>
      </c>
      <c r="EL48" s="337">
        <v>0</v>
      </c>
      <c r="EM48" s="337">
        <v>0</v>
      </c>
      <c r="EN48" s="337">
        <v>0</v>
      </c>
      <c r="EO48" s="337">
        <v>0.3</v>
      </c>
      <c r="EP48" s="337">
        <v>0</v>
      </c>
      <c r="EQ48" s="337">
        <v>0</v>
      </c>
      <c r="ER48" s="337">
        <v>11.71</v>
      </c>
      <c r="ES48" s="337">
        <v>8.85</v>
      </c>
      <c r="ET48" s="337">
        <v>6.4</v>
      </c>
      <c r="EU48" s="337">
        <v>0</v>
      </c>
      <c r="EV48" s="337">
        <v>0</v>
      </c>
      <c r="EW48" s="337">
        <v>0</v>
      </c>
      <c r="EX48" s="337">
        <v>0</v>
      </c>
      <c r="EY48" s="337">
        <v>0</v>
      </c>
      <c r="EZ48" s="337">
        <v>0</v>
      </c>
      <c r="FA48" s="337">
        <v>180.91</v>
      </c>
      <c r="FB48" s="337">
        <v>-189.2</v>
      </c>
      <c r="FC48" s="337">
        <v>1694.68</v>
      </c>
      <c r="FD48" s="337">
        <v>1702.97</v>
      </c>
      <c r="FE48" s="433">
        <v>23</v>
      </c>
    </row>
    <row r="49" spans="1:169" s="20" customFormat="1" ht="19.5" customHeight="1">
      <c r="A49" s="19">
        <v>24</v>
      </c>
      <c r="B49" s="18">
        <v>255.54</v>
      </c>
      <c r="C49" s="18">
        <v>28.87</v>
      </c>
      <c r="D49" s="18">
        <v>32.46</v>
      </c>
      <c r="E49" s="18">
        <v>0</v>
      </c>
      <c r="F49" s="18">
        <v>4.01</v>
      </c>
      <c r="G49" s="18">
        <v>0</v>
      </c>
      <c r="H49" s="18">
        <v>0</v>
      </c>
      <c r="I49" s="18">
        <v>9.85</v>
      </c>
      <c r="J49" s="18">
        <v>15.96</v>
      </c>
      <c r="K49" s="18">
        <v>0</v>
      </c>
      <c r="L49" s="18">
        <v>9.8699999999999992</v>
      </c>
      <c r="M49" s="18">
        <v>3.18</v>
      </c>
      <c r="N49" s="18">
        <v>1.19</v>
      </c>
      <c r="O49" s="18">
        <v>5.08</v>
      </c>
      <c r="P49" s="18">
        <v>23.18</v>
      </c>
      <c r="Q49" s="18">
        <v>7.29</v>
      </c>
      <c r="R49" s="18">
        <v>50.99</v>
      </c>
      <c r="S49" s="18">
        <v>103.13</v>
      </c>
      <c r="T49" s="18">
        <v>66.709999999999994</v>
      </c>
      <c r="U49" s="18">
        <v>35.99</v>
      </c>
      <c r="V49" s="18">
        <v>4.03</v>
      </c>
      <c r="W49" s="18">
        <v>4.0599999999999996</v>
      </c>
      <c r="X49" s="18">
        <v>14.74</v>
      </c>
      <c r="Y49" s="18">
        <v>11.83</v>
      </c>
      <c r="Z49" s="18">
        <v>69.55</v>
      </c>
      <c r="AA49" s="18">
        <v>56.98</v>
      </c>
      <c r="AB49" s="18">
        <v>3.56</v>
      </c>
      <c r="AC49" s="18">
        <v>11.51</v>
      </c>
      <c r="AD49" s="18">
        <v>8.2100000000000009</v>
      </c>
      <c r="AE49" s="18">
        <v>65.760000000000005</v>
      </c>
      <c r="AF49" s="18">
        <v>0</v>
      </c>
      <c r="AG49" s="18">
        <v>1.98</v>
      </c>
      <c r="AH49" s="18">
        <v>1.99</v>
      </c>
      <c r="AI49" s="18">
        <v>0</v>
      </c>
      <c r="AJ49" s="18">
        <v>2.04</v>
      </c>
      <c r="AK49" s="18">
        <v>0.97</v>
      </c>
      <c r="AL49" s="18">
        <v>3.26</v>
      </c>
      <c r="AM49" s="18">
        <v>5.47</v>
      </c>
      <c r="AN49" s="18">
        <v>0</v>
      </c>
      <c r="AO49" s="18">
        <v>1.42</v>
      </c>
      <c r="AP49" s="18">
        <v>0.54</v>
      </c>
      <c r="AQ49" s="18">
        <v>0</v>
      </c>
      <c r="AR49" s="18">
        <v>0</v>
      </c>
      <c r="AS49" s="18">
        <v>24.76</v>
      </c>
      <c r="AT49" s="18">
        <v>43.01</v>
      </c>
      <c r="AU49" s="18">
        <v>0.85</v>
      </c>
      <c r="AV49" s="18">
        <v>0</v>
      </c>
      <c r="AW49" s="18">
        <v>0</v>
      </c>
      <c r="AX49" s="18">
        <v>8.3000000000000007</v>
      </c>
      <c r="AY49" s="18">
        <v>2.34</v>
      </c>
      <c r="AZ49" s="18">
        <v>2.95</v>
      </c>
      <c r="BA49" s="18">
        <v>1.02</v>
      </c>
      <c r="BB49" s="18">
        <v>2.44</v>
      </c>
      <c r="BC49" s="18">
        <v>5.03</v>
      </c>
      <c r="BD49" s="18">
        <v>2.2000000000000002</v>
      </c>
      <c r="BE49" s="18">
        <v>0</v>
      </c>
      <c r="BF49" s="18">
        <v>0</v>
      </c>
      <c r="BG49" s="18">
        <v>1.65</v>
      </c>
      <c r="BH49" s="18">
        <v>15.36</v>
      </c>
      <c r="BI49" s="18">
        <v>15.1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54.14</v>
      </c>
      <c r="BV49" s="18">
        <v>23.1</v>
      </c>
      <c r="BW49" s="18">
        <v>24.64</v>
      </c>
      <c r="BX49" s="18">
        <v>17.8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434">
        <v>30.27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434">
        <v>19.010000000000002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4">
        <v>30.84</v>
      </c>
      <c r="DF49" s="435">
        <v>87.7</v>
      </c>
      <c r="DG49" s="434">
        <v>10.31</v>
      </c>
      <c r="DH49" s="434">
        <v>58.66</v>
      </c>
      <c r="DI49" s="337">
        <v>0</v>
      </c>
      <c r="DJ49" s="436">
        <v>19.46</v>
      </c>
      <c r="DK49" s="337">
        <v>126.74</v>
      </c>
      <c r="DL49" s="337">
        <v>0</v>
      </c>
      <c r="DM49" s="337">
        <v>0</v>
      </c>
      <c r="DN49" s="337">
        <v>0</v>
      </c>
      <c r="DO49" s="337">
        <v>0</v>
      </c>
      <c r="DP49" s="337">
        <v>0</v>
      </c>
      <c r="DQ49" s="337">
        <v>0</v>
      </c>
      <c r="DR49" s="337">
        <v>0</v>
      </c>
      <c r="DS49" s="337">
        <v>0</v>
      </c>
      <c r="DT49" s="337">
        <v>0</v>
      </c>
      <c r="DU49" s="337">
        <v>0</v>
      </c>
      <c r="DV49" s="337">
        <v>0</v>
      </c>
      <c r="DW49" s="436">
        <v>4.05</v>
      </c>
      <c r="DX49" s="436">
        <v>4.26</v>
      </c>
      <c r="DY49" s="436">
        <v>4.41</v>
      </c>
      <c r="DZ49" s="337">
        <v>0</v>
      </c>
      <c r="EA49" s="337">
        <v>0</v>
      </c>
      <c r="EB49" s="337">
        <v>0</v>
      </c>
      <c r="EC49" s="337">
        <v>0</v>
      </c>
      <c r="ED49" s="337">
        <v>0</v>
      </c>
      <c r="EE49" s="337">
        <v>0</v>
      </c>
      <c r="EF49" s="337">
        <v>0</v>
      </c>
      <c r="EG49" s="337">
        <v>0</v>
      </c>
      <c r="EH49" s="337">
        <v>0</v>
      </c>
      <c r="EI49" s="337">
        <v>0</v>
      </c>
      <c r="EJ49" s="337">
        <v>0</v>
      </c>
      <c r="EK49" s="337">
        <v>0</v>
      </c>
      <c r="EL49" s="337">
        <v>0</v>
      </c>
      <c r="EM49" s="337">
        <v>0</v>
      </c>
      <c r="EN49" s="337">
        <v>0</v>
      </c>
      <c r="EO49" s="337">
        <v>0.3</v>
      </c>
      <c r="EP49" s="337">
        <v>0</v>
      </c>
      <c r="EQ49" s="337">
        <v>0</v>
      </c>
      <c r="ER49" s="337">
        <v>0</v>
      </c>
      <c r="ES49" s="337">
        <v>8.84</v>
      </c>
      <c r="ET49" s="337">
        <v>0</v>
      </c>
      <c r="EU49" s="337">
        <v>0</v>
      </c>
      <c r="EV49" s="337">
        <v>0</v>
      </c>
      <c r="EW49" s="337">
        <v>0</v>
      </c>
      <c r="EX49" s="337">
        <v>0</v>
      </c>
      <c r="EY49" s="337">
        <v>0</v>
      </c>
      <c r="EZ49" s="337">
        <v>0</v>
      </c>
      <c r="FA49" s="337">
        <v>164.36</v>
      </c>
      <c r="FB49" s="337">
        <v>-185.8</v>
      </c>
      <c r="FC49" s="337">
        <v>1570.74</v>
      </c>
      <c r="FD49" s="337">
        <v>1592.18</v>
      </c>
      <c r="FE49" s="19">
        <v>24</v>
      </c>
    </row>
    <row r="50" spans="1:169" s="20" customFormat="1">
      <c r="A50" s="318" t="s">
        <v>86</v>
      </c>
      <c r="B50" s="9"/>
      <c r="C50" s="9"/>
      <c r="D50" s="319" t="s">
        <v>87</v>
      </c>
      <c r="E50" s="319"/>
      <c r="F50" s="319"/>
      <c r="G50" s="320"/>
      <c r="H50" s="321" t="s">
        <v>88</v>
      </c>
      <c r="I50" s="321"/>
      <c r="J50" s="322"/>
      <c r="K50" s="321"/>
      <c r="L50" s="323" t="s">
        <v>89</v>
      </c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4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8"/>
    </row>
    <row r="51" spans="1:169" s="20" customFormat="1">
      <c r="A51" s="318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8"/>
    </row>
    <row r="52" spans="1:169" s="20" customFormat="1">
      <c r="A52"/>
      <c r="B52" s="9"/>
      <c r="C52" s="9"/>
      <c r="D52" s="9"/>
      <c r="E52" s="619"/>
      <c r="F52" s="619"/>
      <c r="G52" s="61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19"/>
      <c r="DT52" s="619"/>
      <c r="DU52" s="619"/>
      <c r="DV52" s="619"/>
      <c r="DW52" s="619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23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8"/>
      <c r="B1" s="208"/>
      <c r="H1" s="208"/>
    </row>
    <row r="2" spans="1:13" ht="66" customHeight="1">
      <c r="A2" s="627" t="s">
        <v>28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</row>
    <row r="3" spans="1:13">
      <c r="A3" s="628"/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</row>
    <row r="5" spans="1:13" ht="13.5" customHeight="1">
      <c r="A5" s="382"/>
      <c r="B5" s="382"/>
      <c r="C5" s="620" t="s">
        <v>31</v>
      </c>
      <c r="D5" s="621"/>
      <c r="E5" s="622" t="s">
        <v>32</v>
      </c>
      <c r="F5" s="623"/>
      <c r="G5" s="383"/>
      <c r="H5" s="382"/>
      <c r="I5" s="624" t="s">
        <v>35</v>
      </c>
      <c r="J5" s="625"/>
      <c r="K5" s="625"/>
      <c r="L5" s="625"/>
      <c r="M5" s="626"/>
    </row>
    <row r="6" spans="1:13" ht="31.5">
      <c r="A6" s="384" t="s">
        <v>29</v>
      </c>
      <c r="B6" s="384" t="s">
        <v>30</v>
      </c>
      <c r="C6" s="385" t="s">
        <v>36</v>
      </c>
      <c r="D6" s="386" t="s">
        <v>24</v>
      </c>
      <c r="E6" s="385" t="s">
        <v>296</v>
      </c>
      <c r="F6" s="386" t="s">
        <v>295</v>
      </c>
      <c r="G6" s="387" t="s">
        <v>33</v>
      </c>
      <c r="H6" s="384" t="s">
        <v>34</v>
      </c>
      <c r="I6" s="388" t="s">
        <v>37</v>
      </c>
      <c r="J6" s="388" t="s">
        <v>38</v>
      </c>
      <c r="K6" s="388" t="s">
        <v>39</v>
      </c>
      <c r="L6" s="388" t="s">
        <v>40</v>
      </c>
      <c r="M6" s="389" t="s">
        <v>41</v>
      </c>
    </row>
    <row r="7" spans="1:13">
      <c r="A7" s="366" t="s">
        <v>375</v>
      </c>
      <c r="B7" s="367" t="s">
        <v>376</v>
      </c>
      <c r="C7" s="368">
        <v>45432</v>
      </c>
      <c r="D7" s="369">
        <v>0.49583333333333335</v>
      </c>
      <c r="E7" s="370"/>
      <c r="F7" s="370"/>
      <c r="G7" s="370"/>
      <c r="H7" s="367" t="s">
        <v>377</v>
      </c>
      <c r="I7" s="370">
        <v>0</v>
      </c>
      <c r="J7" s="370">
        <v>886</v>
      </c>
      <c r="K7" s="370">
        <v>21</v>
      </c>
      <c r="L7" s="370">
        <v>1.4666669999999999</v>
      </c>
      <c r="M7" s="371">
        <v>21285.024000000001</v>
      </c>
    </row>
    <row r="8" spans="1:13" ht="51">
      <c r="A8" s="364" t="s">
        <v>371</v>
      </c>
      <c r="B8" s="209" t="s">
        <v>378</v>
      </c>
      <c r="C8" s="215">
        <v>46319</v>
      </c>
      <c r="D8" s="216">
        <v>6.9444444444444447E-4</v>
      </c>
      <c r="E8" s="215"/>
      <c r="F8" s="216"/>
      <c r="G8" s="126"/>
      <c r="H8" s="209" t="s">
        <v>379</v>
      </c>
      <c r="I8" s="126">
        <v>0</v>
      </c>
      <c r="J8" s="126">
        <v>0</v>
      </c>
      <c r="K8" s="126">
        <v>8</v>
      </c>
      <c r="L8" s="126">
        <v>54.466667000000001</v>
      </c>
      <c r="M8" s="365">
        <v>8.907</v>
      </c>
    </row>
    <row r="9" spans="1:13" ht="51">
      <c r="A9" s="364" t="s">
        <v>380</v>
      </c>
      <c r="B9" s="209" t="s">
        <v>378</v>
      </c>
      <c r="C9" s="215">
        <v>46319</v>
      </c>
      <c r="D9" s="216">
        <v>6.9444444444444447E-4</v>
      </c>
      <c r="E9" s="126"/>
      <c r="F9" s="126"/>
      <c r="G9" s="126"/>
      <c r="H9" s="209" t="s">
        <v>379</v>
      </c>
      <c r="I9" s="126">
        <v>0</v>
      </c>
      <c r="J9" s="126">
        <v>0</v>
      </c>
      <c r="K9" s="126">
        <v>8</v>
      </c>
      <c r="L9" s="126">
        <v>54.466667000000001</v>
      </c>
      <c r="M9" s="365">
        <v>8.907</v>
      </c>
    </row>
    <row r="10" spans="1:13" ht="51">
      <c r="A10" s="438" t="s">
        <v>381</v>
      </c>
      <c r="B10" s="439" t="s">
        <v>378</v>
      </c>
      <c r="C10" s="440">
        <v>46319</v>
      </c>
      <c r="D10" s="441">
        <v>6.9444444444444447E-4</v>
      </c>
      <c r="E10" s="442"/>
      <c r="F10" s="442"/>
      <c r="G10" s="442"/>
      <c r="H10" s="439" t="s">
        <v>379</v>
      </c>
      <c r="I10" s="442">
        <v>0</v>
      </c>
      <c r="J10" s="442">
        <v>0</v>
      </c>
      <c r="K10" s="442">
        <v>8</v>
      </c>
      <c r="L10" s="442">
        <v>54.466667000000001</v>
      </c>
      <c r="M10" s="443">
        <v>8.907</v>
      </c>
    </row>
    <row r="11" spans="1:13" ht="25.5">
      <c r="A11" s="438" t="s">
        <v>337</v>
      </c>
      <c r="B11" s="439" t="s">
        <v>378</v>
      </c>
      <c r="C11" s="440">
        <v>46318</v>
      </c>
      <c r="D11" s="441">
        <v>0.25</v>
      </c>
      <c r="E11" s="444">
        <v>46318</v>
      </c>
      <c r="F11" s="441">
        <v>0.65069444444444446</v>
      </c>
      <c r="G11" s="442"/>
      <c r="H11" s="439" t="s">
        <v>382</v>
      </c>
      <c r="I11" s="442">
        <v>0</v>
      </c>
      <c r="J11" s="442">
        <v>0</v>
      </c>
      <c r="K11" s="442">
        <v>9</v>
      </c>
      <c r="L11" s="442">
        <v>37</v>
      </c>
      <c r="M11" s="443">
        <v>9.6159999999999997</v>
      </c>
    </row>
    <row r="12" spans="1:13" ht="25.5">
      <c r="A12" s="438" t="s">
        <v>339</v>
      </c>
      <c r="B12" s="439" t="s">
        <v>378</v>
      </c>
      <c r="C12" s="440">
        <v>46319</v>
      </c>
      <c r="D12" s="441">
        <v>0.25</v>
      </c>
      <c r="E12" s="442"/>
      <c r="F12" s="442"/>
      <c r="G12" s="442"/>
      <c r="H12" s="439" t="s">
        <v>383</v>
      </c>
      <c r="I12" s="442">
        <v>0</v>
      </c>
      <c r="J12" s="442">
        <v>0</v>
      </c>
      <c r="K12" s="442">
        <v>2</v>
      </c>
      <c r="L12" s="442">
        <v>55.466667000000001</v>
      </c>
      <c r="M12" s="443">
        <v>2.9239999999999999</v>
      </c>
    </row>
    <row r="13" spans="1:13">
      <c r="A13" s="438" t="s">
        <v>384</v>
      </c>
      <c r="B13" s="439" t="s">
        <v>376</v>
      </c>
      <c r="C13" s="440">
        <v>44349</v>
      </c>
      <c r="D13" s="441">
        <v>0.41041666666666665</v>
      </c>
      <c r="E13" s="442"/>
      <c r="F13" s="442"/>
      <c r="G13" s="442"/>
      <c r="H13" s="439" t="s">
        <v>385</v>
      </c>
      <c r="I13" s="442">
        <v>0</v>
      </c>
      <c r="J13" s="442">
        <v>1969</v>
      </c>
      <c r="K13" s="442">
        <v>23</v>
      </c>
      <c r="L13" s="442">
        <v>4.4666670000000002</v>
      </c>
      <c r="M13" s="443">
        <v>47279.074000000001</v>
      </c>
    </row>
    <row r="14" spans="1:13">
      <c r="A14" s="438" t="s">
        <v>386</v>
      </c>
      <c r="B14" s="439" t="s">
        <v>376</v>
      </c>
      <c r="C14" s="440">
        <v>46022</v>
      </c>
      <c r="D14" s="441">
        <v>0.91666666666666663</v>
      </c>
      <c r="E14" s="442"/>
      <c r="F14" s="442"/>
      <c r="G14" s="442"/>
      <c r="H14" s="439" t="s">
        <v>387</v>
      </c>
      <c r="I14" s="442">
        <v>0</v>
      </c>
      <c r="J14" s="442">
        <v>296</v>
      </c>
      <c r="K14" s="442">
        <v>10</v>
      </c>
      <c r="L14" s="442">
        <v>55.466667000000001</v>
      </c>
      <c r="M14" s="443">
        <v>7114.924</v>
      </c>
    </row>
    <row r="15" spans="1:13">
      <c r="A15" s="438" t="s">
        <v>388</v>
      </c>
      <c r="B15" s="439" t="s">
        <v>376</v>
      </c>
      <c r="C15" s="440">
        <v>46022</v>
      </c>
      <c r="D15" s="441">
        <v>0.91666666666666663</v>
      </c>
      <c r="E15" s="442"/>
      <c r="F15" s="442"/>
      <c r="G15" s="442"/>
      <c r="H15" s="439" t="s">
        <v>387</v>
      </c>
      <c r="I15" s="442">
        <v>0</v>
      </c>
      <c r="J15" s="442">
        <v>296</v>
      </c>
      <c r="K15" s="442">
        <v>10</v>
      </c>
      <c r="L15" s="442">
        <v>55.466667000000001</v>
      </c>
      <c r="M15" s="443">
        <v>7114.924</v>
      </c>
    </row>
    <row r="16" spans="1:13">
      <c r="A16" s="438" t="s">
        <v>389</v>
      </c>
      <c r="B16" s="439" t="s">
        <v>376</v>
      </c>
      <c r="C16" s="440">
        <v>46022</v>
      </c>
      <c r="D16" s="441">
        <v>0.91666666666666663</v>
      </c>
      <c r="E16" s="442"/>
      <c r="F16" s="442"/>
      <c r="G16" s="442"/>
      <c r="H16" s="439" t="s">
        <v>387</v>
      </c>
      <c r="I16" s="442">
        <v>0</v>
      </c>
      <c r="J16" s="442">
        <v>296</v>
      </c>
      <c r="K16" s="442">
        <v>10</v>
      </c>
      <c r="L16" s="442">
        <v>55.466667000000001</v>
      </c>
      <c r="M16" s="443">
        <v>7114.924</v>
      </c>
    </row>
    <row r="17" spans="1:13">
      <c r="A17" s="438" t="s">
        <v>390</v>
      </c>
      <c r="B17" s="439" t="s">
        <v>376</v>
      </c>
      <c r="C17" s="440">
        <v>46022</v>
      </c>
      <c r="D17" s="441">
        <v>0.91666666666666663</v>
      </c>
      <c r="E17" s="442"/>
      <c r="F17" s="442"/>
      <c r="G17" s="442"/>
      <c r="H17" s="439" t="s">
        <v>387</v>
      </c>
      <c r="I17" s="442">
        <v>0</v>
      </c>
      <c r="J17" s="442">
        <v>296</v>
      </c>
      <c r="K17" s="442">
        <v>10</v>
      </c>
      <c r="L17" s="442">
        <v>55.466667000000001</v>
      </c>
      <c r="M17" s="443">
        <v>7114.924</v>
      </c>
    </row>
    <row r="18" spans="1:13">
      <c r="A18" s="438" t="s">
        <v>391</v>
      </c>
      <c r="B18" s="439" t="s">
        <v>376</v>
      </c>
      <c r="C18" s="440">
        <v>46143</v>
      </c>
      <c r="D18" s="441">
        <v>0</v>
      </c>
      <c r="E18" s="442"/>
      <c r="F18" s="442"/>
      <c r="G18" s="442"/>
      <c r="H18" s="439" t="s">
        <v>387</v>
      </c>
      <c r="I18" s="442">
        <v>0</v>
      </c>
      <c r="J18" s="442">
        <v>176</v>
      </c>
      <c r="K18" s="442">
        <v>8</v>
      </c>
      <c r="L18" s="442">
        <v>55.466667000000001</v>
      </c>
      <c r="M18" s="443">
        <v>4232.924</v>
      </c>
    </row>
    <row r="19" spans="1:13">
      <c r="A19" s="438" t="s">
        <v>392</v>
      </c>
      <c r="B19" s="439" t="s">
        <v>376</v>
      </c>
      <c r="C19" s="440">
        <v>46143</v>
      </c>
      <c r="D19" s="441">
        <v>0</v>
      </c>
      <c r="E19" s="442"/>
      <c r="F19" s="442"/>
      <c r="G19" s="442"/>
      <c r="H19" s="439" t="s">
        <v>387</v>
      </c>
      <c r="I19" s="442">
        <v>0</v>
      </c>
      <c r="J19" s="442">
        <v>176</v>
      </c>
      <c r="K19" s="442">
        <v>8</v>
      </c>
      <c r="L19" s="442">
        <v>55.466667000000001</v>
      </c>
      <c r="M19" s="443">
        <v>4232.924</v>
      </c>
    </row>
    <row r="20" spans="1:13">
      <c r="A20" s="438" t="s">
        <v>393</v>
      </c>
      <c r="B20" s="439" t="s">
        <v>376</v>
      </c>
      <c r="C20" s="440">
        <v>46143</v>
      </c>
      <c r="D20" s="441">
        <v>0</v>
      </c>
      <c r="E20" s="442"/>
      <c r="F20" s="442"/>
      <c r="G20" s="442"/>
      <c r="H20" s="439" t="s">
        <v>387</v>
      </c>
      <c r="I20" s="442">
        <v>0</v>
      </c>
      <c r="J20" s="442">
        <v>176</v>
      </c>
      <c r="K20" s="442">
        <v>8</v>
      </c>
      <c r="L20" s="442">
        <v>55.466667000000001</v>
      </c>
      <c r="M20" s="443">
        <v>4232.924</v>
      </c>
    </row>
    <row r="21" spans="1:13">
      <c r="A21" s="438" t="s">
        <v>394</v>
      </c>
      <c r="B21" s="439" t="s">
        <v>376</v>
      </c>
      <c r="C21" s="440">
        <v>46143</v>
      </c>
      <c r="D21" s="441">
        <v>0</v>
      </c>
      <c r="E21" s="442"/>
      <c r="F21" s="442"/>
      <c r="G21" s="442"/>
      <c r="H21" s="439" t="s">
        <v>387</v>
      </c>
      <c r="I21" s="442">
        <v>0</v>
      </c>
      <c r="J21" s="442">
        <v>176</v>
      </c>
      <c r="K21" s="442">
        <v>8</v>
      </c>
      <c r="L21" s="442">
        <v>55.466667000000001</v>
      </c>
      <c r="M21" s="443">
        <v>4232.924</v>
      </c>
    </row>
    <row r="22" spans="1:13" ht="25.5">
      <c r="A22" s="438" t="s">
        <v>395</v>
      </c>
      <c r="B22" s="439" t="s">
        <v>376</v>
      </c>
      <c r="C22" s="440">
        <v>45200</v>
      </c>
      <c r="D22" s="441">
        <v>0</v>
      </c>
      <c r="E22" s="442"/>
      <c r="F22" s="442"/>
      <c r="G22" s="442"/>
      <c r="H22" s="439" t="s">
        <v>396</v>
      </c>
      <c r="I22" s="442">
        <v>0</v>
      </c>
      <c r="J22" s="442">
        <v>1119</v>
      </c>
      <c r="K22" s="442">
        <v>8</v>
      </c>
      <c r="L22" s="442">
        <v>55.466667000000001</v>
      </c>
      <c r="M22" s="443">
        <v>26864.923999999999</v>
      </c>
    </row>
    <row r="23" spans="1:13">
      <c r="A23" s="438" t="s">
        <v>397</v>
      </c>
      <c r="B23" s="439" t="s">
        <v>376</v>
      </c>
      <c r="C23" s="440">
        <v>43595</v>
      </c>
      <c r="D23" s="441">
        <v>6.9444444444444447E-4</v>
      </c>
      <c r="E23" s="442"/>
      <c r="F23" s="442"/>
      <c r="G23" s="442"/>
      <c r="H23" s="439" t="s">
        <v>398</v>
      </c>
      <c r="I23" s="442">
        <v>0</v>
      </c>
      <c r="J23" s="442">
        <v>2724</v>
      </c>
      <c r="K23" s="442">
        <v>8</v>
      </c>
      <c r="L23" s="442">
        <v>54.466667000000001</v>
      </c>
      <c r="M23" s="443">
        <v>65384.906999999999</v>
      </c>
    </row>
    <row r="24" spans="1:13">
      <c r="A24" s="438" t="s">
        <v>399</v>
      </c>
      <c r="B24" s="439" t="s">
        <v>376</v>
      </c>
      <c r="C24" s="440">
        <v>43595</v>
      </c>
      <c r="D24" s="441">
        <v>6.9444444444444447E-4</v>
      </c>
      <c r="E24" s="442"/>
      <c r="F24" s="442"/>
      <c r="G24" s="442"/>
      <c r="H24" s="439" t="s">
        <v>398</v>
      </c>
      <c r="I24" s="442">
        <v>0</v>
      </c>
      <c r="J24" s="442">
        <v>2724</v>
      </c>
      <c r="K24" s="442">
        <v>8</v>
      </c>
      <c r="L24" s="442">
        <v>54.466667000000001</v>
      </c>
      <c r="M24" s="443">
        <v>65384.906999999999</v>
      </c>
    </row>
    <row r="25" spans="1:13">
      <c r="A25" s="438" t="s">
        <v>400</v>
      </c>
      <c r="B25" s="439" t="s">
        <v>376</v>
      </c>
      <c r="C25" s="440">
        <v>43583</v>
      </c>
      <c r="D25" s="441">
        <v>0.16458333333333333</v>
      </c>
      <c r="E25" s="442"/>
      <c r="F25" s="442"/>
      <c r="G25" s="442"/>
      <c r="H25" s="439" t="s">
        <v>401</v>
      </c>
      <c r="I25" s="442">
        <v>0</v>
      </c>
      <c r="J25" s="442">
        <v>2736</v>
      </c>
      <c r="K25" s="442">
        <v>4</v>
      </c>
      <c r="L25" s="442">
        <v>58.466667000000001</v>
      </c>
      <c r="M25" s="443">
        <v>65668.974000000002</v>
      </c>
    </row>
    <row r="26" spans="1:13">
      <c r="A26" s="438" t="s">
        <v>402</v>
      </c>
      <c r="B26" s="439" t="s">
        <v>376</v>
      </c>
      <c r="C26" s="440">
        <v>39050</v>
      </c>
      <c r="D26" s="441">
        <v>0.33263888888888887</v>
      </c>
      <c r="E26" s="442"/>
      <c r="F26" s="442"/>
      <c r="G26" s="442"/>
      <c r="H26" s="439" t="s">
        <v>403</v>
      </c>
      <c r="I26" s="442">
        <v>0</v>
      </c>
      <c r="J26" s="442">
        <v>7269</v>
      </c>
      <c r="K26" s="442">
        <v>0</v>
      </c>
      <c r="L26" s="442">
        <v>56.466667000000001</v>
      </c>
      <c r="M26" s="443">
        <v>174456.94099999999</v>
      </c>
    </row>
    <row r="27" spans="1:13">
      <c r="A27" s="438" t="s">
        <v>404</v>
      </c>
      <c r="B27" s="439" t="s">
        <v>376</v>
      </c>
      <c r="C27" s="440">
        <v>46318</v>
      </c>
      <c r="D27" s="441">
        <v>0.98958333333333337</v>
      </c>
      <c r="E27" s="442"/>
      <c r="F27" s="442"/>
      <c r="G27" s="442"/>
      <c r="H27" s="439" t="s">
        <v>405</v>
      </c>
      <c r="I27" s="442">
        <v>0</v>
      </c>
      <c r="J27" s="442">
        <v>0</v>
      </c>
      <c r="K27" s="442">
        <v>9</v>
      </c>
      <c r="L27" s="442">
        <v>10.466666999999999</v>
      </c>
      <c r="M27" s="443">
        <v>9.1739999999999995</v>
      </c>
    </row>
    <row r="28" spans="1:13">
      <c r="A28" s="438" t="s">
        <v>406</v>
      </c>
      <c r="B28" s="439" t="s">
        <v>376</v>
      </c>
      <c r="C28" s="440">
        <v>46318</v>
      </c>
      <c r="D28" s="441">
        <v>0.98958333333333337</v>
      </c>
      <c r="E28" s="442"/>
      <c r="F28" s="442"/>
      <c r="G28" s="442"/>
      <c r="H28" s="439" t="s">
        <v>405</v>
      </c>
      <c r="I28" s="442">
        <v>0</v>
      </c>
      <c r="J28" s="442">
        <v>0</v>
      </c>
      <c r="K28" s="442">
        <v>9</v>
      </c>
      <c r="L28" s="442">
        <v>10.466666999999999</v>
      </c>
      <c r="M28" s="443">
        <v>9.1739999999999995</v>
      </c>
    </row>
    <row r="29" spans="1:13">
      <c r="A29" s="438" t="s">
        <v>407</v>
      </c>
      <c r="B29" s="439" t="s">
        <v>376</v>
      </c>
      <c r="C29" s="440">
        <v>46022</v>
      </c>
      <c r="D29" s="441">
        <v>0.91666666666666663</v>
      </c>
      <c r="E29" s="442"/>
      <c r="F29" s="442"/>
      <c r="G29" s="442"/>
      <c r="H29" s="439" t="s">
        <v>387</v>
      </c>
      <c r="I29" s="442">
        <v>0</v>
      </c>
      <c r="J29" s="442">
        <v>296</v>
      </c>
      <c r="K29" s="442">
        <v>10</v>
      </c>
      <c r="L29" s="442">
        <v>55.466667000000001</v>
      </c>
      <c r="M29" s="443">
        <v>7114.924</v>
      </c>
    </row>
    <row r="30" spans="1:13">
      <c r="A30" s="438" t="s">
        <v>408</v>
      </c>
      <c r="B30" s="439" t="s">
        <v>376</v>
      </c>
      <c r="C30" s="440">
        <v>41760</v>
      </c>
      <c r="D30" s="441">
        <v>0</v>
      </c>
      <c r="E30" s="442"/>
      <c r="F30" s="442"/>
      <c r="G30" s="442"/>
      <c r="H30" s="439" t="s">
        <v>409</v>
      </c>
      <c r="I30" s="442">
        <v>0</v>
      </c>
      <c r="J30" s="442">
        <v>4559</v>
      </c>
      <c r="K30" s="442">
        <v>8</v>
      </c>
      <c r="L30" s="442">
        <v>55.466667000000001</v>
      </c>
      <c r="M30" s="443">
        <v>109424.924</v>
      </c>
    </row>
    <row r="31" spans="1:13">
      <c r="A31" s="438" t="s">
        <v>410</v>
      </c>
      <c r="B31" s="439" t="s">
        <v>376</v>
      </c>
      <c r="C31" s="440">
        <v>41760</v>
      </c>
      <c r="D31" s="441">
        <v>0</v>
      </c>
      <c r="E31" s="442"/>
      <c r="F31" s="442"/>
      <c r="G31" s="442"/>
      <c r="H31" s="439" t="s">
        <v>409</v>
      </c>
      <c r="I31" s="442">
        <v>0</v>
      </c>
      <c r="J31" s="442">
        <v>4559</v>
      </c>
      <c r="K31" s="442">
        <v>8</v>
      </c>
      <c r="L31" s="442">
        <v>55.466667000000001</v>
      </c>
      <c r="M31" s="443">
        <v>109424.924</v>
      </c>
    </row>
    <row r="32" spans="1:13">
      <c r="A32" s="438" t="s">
        <v>411</v>
      </c>
      <c r="B32" s="439" t="s">
        <v>376</v>
      </c>
      <c r="C32" s="440">
        <v>41760</v>
      </c>
      <c r="D32" s="441">
        <v>0</v>
      </c>
      <c r="E32" s="442"/>
      <c r="F32" s="442"/>
      <c r="G32" s="442"/>
      <c r="H32" s="439" t="s">
        <v>409</v>
      </c>
      <c r="I32" s="442">
        <v>0</v>
      </c>
      <c r="J32" s="442">
        <v>4559</v>
      </c>
      <c r="K32" s="442">
        <v>8</v>
      </c>
      <c r="L32" s="442">
        <v>55.466667000000001</v>
      </c>
      <c r="M32" s="443">
        <v>109424.924</v>
      </c>
    </row>
    <row r="33" spans="1:13">
      <c r="A33" s="438" t="s">
        <v>412</v>
      </c>
      <c r="B33" s="439" t="s">
        <v>376</v>
      </c>
      <c r="C33" s="440">
        <v>41760</v>
      </c>
      <c r="D33" s="441">
        <v>0</v>
      </c>
      <c r="E33" s="442"/>
      <c r="F33" s="442"/>
      <c r="G33" s="442"/>
      <c r="H33" s="439" t="s">
        <v>409</v>
      </c>
      <c r="I33" s="442">
        <v>0</v>
      </c>
      <c r="J33" s="442">
        <v>4559</v>
      </c>
      <c r="K33" s="442">
        <v>8</v>
      </c>
      <c r="L33" s="442">
        <v>55.466667000000001</v>
      </c>
      <c r="M33" s="443">
        <v>109424.924</v>
      </c>
    </row>
    <row r="34" spans="1:13">
      <c r="A34" s="438" t="s">
        <v>413</v>
      </c>
      <c r="B34" s="439" t="s">
        <v>376</v>
      </c>
      <c r="C34" s="440">
        <v>41760</v>
      </c>
      <c r="D34" s="441">
        <v>0</v>
      </c>
      <c r="E34" s="442"/>
      <c r="F34" s="442"/>
      <c r="G34" s="442"/>
      <c r="H34" s="439" t="s">
        <v>409</v>
      </c>
      <c r="I34" s="442">
        <v>0</v>
      </c>
      <c r="J34" s="442">
        <v>4559</v>
      </c>
      <c r="K34" s="442">
        <v>8</v>
      </c>
      <c r="L34" s="442">
        <v>55.466667000000001</v>
      </c>
      <c r="M34" s="443">
        <v>109424.924</v>
      </c>
    </row>
    <row r="35" spans="1:13">
      <c r="A35" s="438" t="s">
        <v>414</v>
      </c>
      <c r="B35" s="439" t="s">
        <v>376</v>
      </c>
      <c r="C35" s="440">
        <v>41760</v>
      </c>
      <c r="D35" s="441">
        <v>0</v>
      </c>
      <c r="E35" s="442"/>
      <c r="F35" s="442"/>
      <c r="G35" s="442"/>
      <c r="H35" s="439" t="s">
        <v>409</v>
      </c>
      <c r="I35" s="442">
        <v>0</v>
      </c>
      <c r="J35" s="442">
        <v>4559</v>
      </c>
      <c r="K35" s="442">
        <v>8</v>
      </c>
      <c r="L35" s="442">
        <v>55.466667000000001</v>
      </c>
      <c r="M35" s="443">
        <v>109424.924</v>
      </c>
    </row>
    <row r="36" spans="1:13" ht="38.25">
      <c r="A36" s="438" t="s">
        <v>415</v>
      </c>
      <c r="B36" s="439" t="s">
        <v>376</v>
      </c>
      <c r="C36" s="440">
        <v>43125</v>
      </c>
      <c r="D36" s="441">
        <v>0.92013888888888884</v>
      </c>
      <c r="E36" s="442"/>
      <c r="F36" s="442"/>
      <c r="G36" s="442"/>
      <c r="H36" s="439" t="s">
        <v>416</v>
      </c>
      <c r="I36" s="442">
        <v>0</v>
      </c>
      <c r="J36" s="442">
        <v>3193</v>
      </c>
      <c r="K36" s="442">
        <v>10</v>
      </c>
      <c r="L36" s="442">
        <v>50.466667000000001</v>
      </c>
      <c r="M36" s="443">
        <v>76642.841</v>
      </c>
    </row>
    <row r="37" spans="1:13" ht="38.25">
      <c r="A37" s="438" t="s">
        <v>417</v>
      </c>
      <c r="B37" s="439" t="s">
        <v>376</v>
      </c>
      <c r="C37" s="440">
        <v>43125</v>
      </c>
      <c r="D37" s="441">
        <v>0.92013888888888884</v>
      </c>
      <c r="E37" s="442"/>
      <c r="F37" s="442"/>
      <c r="G37" s="442"/>
      <c r="H37" s="439" t="s">
        <v>416</v>
      </c>
      <c r="I37" s="442">
        <v>0</v>
      </c>
      <c r="J37" s="442">
        <v>3193</v>
      </c>
      <c r="K37" s="442">
        <v>10</v>
      </c>
      <c r="L37" s="442">
        <v>50.466667000000001</v>
      </c>
      <c r="M37" s="443">
        <v>76642.841</v>
      </c>
    </row>
    <row r="38" spans="1:13" ht="25.5">
      <c r="A38" s="438" t="s">
        <v>418</v>
      </c>
      <c r="B38" s="439" t="s">
        <v>376</v>
      </c>
      <c r="C38" s="440">
        <v>43125</v>
      </c>
      <c r="D38" s="441">
        <v>0.88749999999999996</v>
      </c>
      <c r="E38" s="442"/>
      <c r="F38" s="442"/>
      <c r="G38" s="442"/>
      <c r="H38" s="439" t="s">
        <v>419</v>
      </c>
      <c r="I38" s="442">
        <v>0</v>
      </c>
      <c r="J38" s="442">
        <v>3193</v>
      </c>
      <c r="K38" s="442">
        <v>11</v>
      </c>
      <c r="L38" s="442">
        <v>37.466667000000001</v>
      </c>
      <c r="M38" s="443">
        <v>76643.623999999996</v>
      </c>
    </row>
    <row r="39" spans="1:13" ht="38.25">
      <c r="A39" s="438" t="s">
        <v>420</v>
      </c>
      <c r="B39" s="439" t="s">
        <v>376</v>
      </c>
      <c r="C39" s="440">
        <v>43125</v>
      </c>
      <c r="D39" s="441">
        <v>0.92152777777777772</v>
      </c>
      <c r="E39" s="442"/>
      <c r="F39" s="442"/>
      <c r="G39" s="442"/>
      <c r="H39" s="439" t="s">
        <v>416</v>
      </c>
      <c r="I39" s="442">
        <v>0</v>
      </c>
      <c r="J39" s="442">
        <v>3193</v>
      </c>
      <c r="K39" s="442">
        <v>10</v>
      </c>
      <c r="L39" s="442">
        <v>48.466667000000001</v>
      </c>
      <c r="M39" s="443">
        <v>76642.807000000001</v>
      </c>
    </row>
    <row r="40" spans="1:13" ht="25.5">
      <c r="A40" s="438" t="s">
        <v>421</v>
      </c>
      <c r="B40" s="439" t="s">
        <v>376</v>
      </c>
      <c r="C40" s="440">
        <v>43125</v>
      </c>
      <c r="D40" s="441">
        <v>0.89375000000000004</v>
      </c>
      <c r="E40" s="442"/>
      <c r="F40" s="442"/>
      <c r="G40" s="442"/>
      <c r="H40" s="439" t="s">
        <v>419</v>
      </c>
      <c r="I40" s="442">
        <v>0</v>
      </c>
      <c r="J40" s="442">
        <v>3193</v>
      </c>
      <c r="K40" s="442">
        <v>11</v>
      </c>
      <c r="L40" s="442">
        <v>28.466667000000001</v>
      </c>
      <c r="M40" s="443">
        <v>76643.474000000002</v>
      </c>
    </row>
    <row r="41" spans="1:13" ht="25.5">
      <c r="A41" s="438" t="s">
        <v>422</v>
      </c>
      <c r="B41" s="439" t="s">
        <v>376</v>
      </c>
      <c r="C41" s="440">
        <v>44255</v>
      </c>
      <c r="D41" s="441">
        <v>0.35625000000000001</v>
      </c>
      <c r="E41" s="442"/>
      <c r="F41" s="442"/>
      <c r="G41" s="442"/>
      <c r="H41" s="439" t="s">
        <v>423</v>
      </c>
      <c r="I41" s="442">
        <v>0</v>
      </c>
      <c r="J41" s="442">
        <v>2064</v>
      </c>
      <c r="K41" s="442">
        <v>0</v>
      </c>
      <c r="L41" s="442">
        <v>22.466667000000001</v>
      </c>
      <c r="M41" s="443">
        <v>49536.374000000003</v>
      </c>
    </row>
    <row r="42" spans="1:13" ht="25.5">
      <c r="A42" s="438" t="s">
        <v>424</v>
      </c>
      <c r="B42" s="439" t="s">
        <v>376</v>
      </c>
      <c r="C42" s="440">
        <v>41556</v>
      </c>
      <c r="D42" s="441">
        <v>0.45833333333333331</v>
      </c>
      <c r="E42" s="442"/>
      <c r="F42" s="442"/>
      <c r="G42" s="442"/>
      <c r="H42" s="439" t="s">
        <v>425</v>
      </c>
      <c r="I42" s="442">
        <v>0</v>
      </c>
      <c r="J42" s="442">
        <v>4762</v>
      </c>
      <c r="K42" s="442">
        <v>21</v>
      </c>
      <c r="L42" s="442">
        <v>55.466667000000001</v>
      </c>
      <c r="M42" s="443">
        <v>114309.924</v>
      </c>
    </row>
    <row r="43" spans="1:13">
      <c r="A43" s="438" t="s">
        <v>426</v>
      </c>
      <c r="B43" s="439" t="s">
        <v>376</v>
      </c>
      <c r="C43" s="440">
        <v>39356</v>
      </c>
      <c r="D43" s="441">
        <v>0.47847222222222224</v>
      </c>
      <c r="E43" s="442"/>
      <c r="F43" s="442"/>
      <c r="G43" s="442"/>
      <c r="H43" s="439" t="s">
        <v>427</v>
      </c>
      <c r="I43" s="442">
        <v>0</v>
      </c>
      <c r="J43" s="442">
        <v>6962</v>
      </c>
      <c r="K43" s="442">
        <v>21</v>
      </c>
      <c r="L43" s="442">
        <v>26.466667000000001</v>
      </c>
      <c r="M43" s="443">
        <v>167109.44099999999</v>
      </c>
    </row>
    <row r="44" spans="1:13">
      <c r="A44" s="438" t="s">
        <v>428</v>
      </c>
      <c r="B44" s="439" t="s">
        <v>376</v>
      </c>
      <c r="C44" s="440">
        <v>46266</v>
      </c>
      <c r="D44" s="441">
        <v>0</v>
      </c>
      <c r="E44" s="442"/>
      <c r="F44" s="442"/>
      <c r="G44" s="442"/>
      <c r="H44" s="439" t="s">
        <v>387</v>
      </c>
      <c r="I44" s="442">
        <v>0</v>
      </c>
      <c r="J44" s="442">
        <v>53</v>
      </c>
      <c r="K44" s="442">
        <v>8</v>
      </c>
      <c r="L44" s="442">
        <v>55.466667000000001</v>
      </c>
      <c r="M44" s="443">
        <v>1280.924</v>
      </c>
    </row>
    <row r="45" spans="1:13">
      <c r="A45" s="438" t="s">
        <v>429</v>
      </c>
      <c r="B45" s="439" t="s">
        <v>376</v>
      </c>
      <c r="C45" s="440">
        <v>46201</v>
      </c>
      <c r="D45" s="441">
        <v>0</v>
      </c>
      <c r="E45" s="442"/>
      <c r="F45" s="442"/>
      <c r="G45" s="442"/>
      <c r="H45" s="439" t="s">
        <v>387</v>
      </c>
      <c r="I45" s="442">
        <v>0</v>
      </c>
      <c r="J45" s="442">
        <v>118</v>
      </c>
      <c r="K45" s="442">
        <v>8</v>
      </c>
      <c r="L45" s="442">
        <v>55.466667000000001</v>
      </c>
      <c r="M45" s="443">
        <v>2840.924</v>
      </c>
    </row>
    <row r="46" spans="1:13" ht="25.5">
      <c r="A46" s="438" t="s">
        <v>430</v>
      </c>
      <c r="B46" s="439" t="s">
        <v>376</v>
      </c>
      <c r="C46" s="440">
        <v>40451</v>
      </c>
      <c r="D46" s="441">
        <v>0.86458333333333337</v>
      </c>
      <c r="E46" s="442"/>
      <c r="F46" s="442"/>
      <c r="G46" s="442"/>
      <c r="H46" s="439" t="s">
        <v>431</v>
      </c>
      <c r="I46" s="442">
        <v>0</v>
      </c>
      <c r="J46" s="442">
        <v>5867</v>
      </c>
      <c r="K46" s="442">
        <v>12</v>
      </c>
      <c r="L46" s="442">
        <v>10.466666999999999</v>
      </c>
      <c r="M46" s="443">
        <v>140820.174</v>
      </c>
    </row>
    <row r="47" spans="1:13">
      <c r="A47" s="438" t="s">
        <v>432</v>
      </c>
      <c r="B47" s="439" t="s">
        <v>376</v>
      </c>
      <c r="C47" s="440">
        <v>44379</v>
      </c>
      <c r="D47" s="441">
        <v>0.95902777777777781</v>
      </c>
      <c r="E47" s="442"/>
      <c r="F47" s="442"/>
      <c r="G47" s="442"/>
      <c r="H47" s="439" t="s">
        <v>433</v>
      </c>
      <c r="I47" s="442">
        <v>0</v>
      </c>
      <c r="J47" s="442">
        <v>1939</v>
      </c>
      <c r="K47" s="442">
        <v>9</v>
      </c>
      <c r="L47" s="442">
        <v>54.466667000000001</v>
      </c>
      <c r="M47" s="443">
        <v>46545.906999999999</v>
      </c>
    </row>
    <row r="48" spans="1:13">
      <c r="A48" s="438" t="s">
        <v>434</v>
      </c>
      <c r="B48" s="439" t="s">
        <v>435</v>
      </c>
      <c r="C48" s="440">
        <v>46318</v>
      </c>
      <c r="D48" s="441">
        <v>0.58333333333333337</v>
      </c>
      <c r="E48" s="444">
        <v>46318</v>
      </c>
      <c r="F48" s="441">
        <v>0.99930555555555556</v>
      </c>
      <c r="G48" s="442">
        <v>1.7749999999999999</v>
      </c>
      <c r="H48" s="439" t="s">
        <v>436</v>
      </c>
      <c r="I48" s="442">
        <v>0</v>
      </c>
      <c r="J48" s="442">
        <v>0</v>
      </c>
      <c r="K48" s="442">
        <v>9</v>
      </c>
      <c r="L48" s="442">
        <v>59</v>
      </c>
      <c r="M48" s="443">
        <v>9.9830000000000005</v>
      </c>
    </row>
    <row r="49" spans="1:13">
      <c r="A49" s="438" t="s">
        <v>434</v>
      </c>
      <c r="B49" s="439" t="s">
        <v>435</v>
      </c>
      <c r="C49" s="440">
        <v>46318</v>
      </c>
      <c r="D49" s="441">
        <v>0.54166666666666663</v>
      </c>
      <c r="E49" s="444">
        <v>46318</v>
      </c>
      <c r="F49" s="441">
        <v>0.58263888888888893</v>
      </c>
      <c r="G49" s="442">
        <v>1.972</v>
      </c>
      <c r="H49" s="439" t="s">
        <v>436</v>
      </c>
      <c r="I49" s="442">
        <v>0</v>
      </c>
      <c r="J49" s="442">
        <v>0</v>
      </c>
      <c r="K49" s="442">
        <v>0</v>
      </c>
      <c r="L49" s="442">
        <v>59</v>
      </c>
      <c r="M49" s="443">
        <v>0.98299999999999998</v>
      </c>
    </row>
    <row r="50" spans="1:13">
      <c r="A50" s="438" t="s">
        <v>434</v>
      </c>
      <c r="B50" s="439" t="s">
        <v>435</v>
      </c>
      <c r="C50" s="440">
        <v>46318</v>
      </c>
      <c r="D50" s="441">
        <v>0.29166666666666669</v>
      </c>
      <c r="E50" s="444">
        <v>46318</v>
      </c>
      <c r="F50" s="441">
        <v>0.54097222222222219</v>
      </c>
      <c r="G50" s="442">
        <v>2.367</v>
      </c>
      <c r="H50" s="439" t="s">
        <v>436</v>
      </c>
      <c r="I50" s="442">
        <v>0</v>
      </c>
      <c r="J50" s="442">
        <v>0</v>
      </c>
      <c r="K50" s="442">
        <v>5</v>
      </c>
      <c r="L50" s="442">
        <v>59</v>
      </c>
      <c r="M50" s="443">
        <v>5.9829999999999997</v>
      </c>
    </row>
    <row r="51" spans="1:13">
      <c r="A51" s="438" t="s">
        <v>434</v>
      </c>
      <c r="B51" s="439" t="s">
        <v>435</v>
      </c>
      <c r="C51" s="440">
        <v>46318</v>
      </c>
      <c r="D51" s="441">
        <v>0.25</v>
      </c>
      <c r="E51" s="444">
        <v>46318</v>
      </c>
      <c r="F51" s="441">
        <v>0.29097222222222224</v>
      </c>
      <c r="G51" s="442">
        <v>2.1520000000000001</v>
      </c>
      <c r="H51" s="439" t="s">
        <v>436</v>
      </c>
      <c r="I51" s="442">
        <v>0</v>
      </c>
      <c r="J51" s="442">
        <v>0</v>
      </c>
      <c r="K51" s="442">
        <v>0</v>
      </c>
      <c r="L51" s="442">
        <v>59</v>
      </c>
      <c r="M51" s="443">
        <v>0.98299999999999998</v>
      </c>
    </row>
    <row r="52" spans="1:13">
      <c r="A52" s="438" t="s">
        <v>434</v>
      </c>
      <c r="B52" s="439" t="s">
        <v>435</v>
      </c>
      <c r="C52" s="440">
        <v>46318</v>
      </c>
      <c r="D52" s="441">
        <v>0.20833333333333334</v>
      </c>
      <c r="E52" s="444">
        <v>46318</v>
      </c>
      <c r="F52" s="441">
        <v>0.24930555555555556</v>
      </c>
      <c r="G52" s="442">
        <v>1.83</v>
      </c>
      <c r="H52" s="439" t="s">
        <v>436</v>
      </c>
      <c r="I52" s="442">
        <v>0</v>
      </c>
      <c r="J52" s="442">
        <v>0</v>
      </c>
      <c r="K52" s="442">
        <v>0</v>
      </c>
      <c r="L52" s="442">
        <v>59</v>
      </c>
      <c r="M52" s="443">
        <v>0.98299999999999998</v>
      </c>
    </row>
    <row r="53" spans="1:13">
      <c r="A53" s="438" t="s">
        <v>434</v>
      </c>
      <c r="B53" s="439" t="s">
        <v>435</v>
      </c>
      <c r="C53" s="440">
        <v>46318</v>
      </c>
      <c r="D53" s="441">
        <v>8.3333333333333329E-2</v>
      </c>
      <c r="E53" s="444">
        <v>46318</v>
      </c>
      <c r="F53" s="441">
        <v>0.2076388888888889</v>
      </c>
      <c r="G53" s="442">
        <v>2.367</v>
      </c>
      <c r="H53" s="439" t="s">
        <v>436</v>
      </c>
      <c r="I53" s="442">
        <v>0</v>
      </c>
      <c r="J53" s="442">
        <v>0</v>
      </c>
      <c r="K53" s="442">
        <v>2</v>
      </c>
      <c r="L53" s="442">
        <v>59</v>
      </c>
      <c r="M53" s="443">
        <v>2.9830000000000001</v>
      </c>
    </row>
    <row r="54" spans="1:13">
      <c r="A54" s="438" t="s">
        <v>434</v>
      </c>
      <c r="B54" s="439" t="s">
        <v>435</v>
      </c>
      <c r="C54" s="440">
        <v>46318</v>
      </c>
      <c r="D54" s="441">
        <v>4.1666666666666664E-2</v>
      </c>
      <c r="E54" s="444">
        <v>46318</v>
      </c>
      <c r="F54" s="441">
        <v>8.2638888888888887E-2</v>
      </c>
      <c r="G54" s="442">
        <v>1.8129999999999999</v>
      </c>
      <c r="H54" s="439" t="s">
        <v>436</v>
      </c>
      <c r="I54" s="442">
        <v>0</v>
      </c>
      <c r="J54" s="442">
        <v>0</v>
      </c>
      <c r="K54" s="442">
        <v>0</v>
      </c>
      <c r="L54" s="442">
        <v>59</v>
      </c>
      <c r="M54" s="443">
        <v>0.98299999999999998</v>
      </c>
    </row>
    <row r="55" spans="1:13">
      <c r="A55" s="438" t="s">
        <v>434</v>
      </c>
      <c r="B55" s="439" t="s">
        <v>435</v>
      </c>
      <c r="C55" s="440">
        <v>46317</v>
      </c>
      <c r="D55" s="441">
        <v>0.625</v>
      </c>
      <c r="E55" s="444">
        <v>46318</v>
      </c>
      <c r="F55" s="441">
        <v>4.0972222222222222E-2</v>
      </c>
      <c r="G55" s="442">
        <v>1.7749999999999999</v>
      </c>
      <c r="H55" s="439" t="s">
        <v>436</v>
      </c>
      <c r="I55" s="442">
        <v>0</v>
      </c>
      <c r="J55" s="442">
        <v>0</v>
      </c>
      <c r="K55" s="442">
        <v>9</v>
      </c>
      <c r="L55" s="442">
        <v>59</v>
      </c>
      <c r="M55" s="443">
        <v>9.9830000000000005</v>
      </c>
    </row>
    <row r="56" spans="1:13">
      <c r="A56" s="438" t="s">
        <v>437</v>
      </c>
      <c r="B56" s="439" t="s">
        <v>435</v>
      </c>
      <c r="C56" s="440">
        <v>46318</v>
      </c>
      <c r="D56" s="441">
        <v>0.58333333333333337</v>
      </c>
      <c r="E56" s="444">
        <v>46318</v>
      </c>
      <c r="F56" s="441">
        <v>0.99930555555555556</v>
      </c>
      <c r="G56" s="442">
        <v>1.7749999999999999</v>
      </c>
      <c r="H56" s="439" t="s">
        <v>436</v>
      </c>
      <c r="I56" s="442">
        <v>0</v>
      </c>
      <c r="J56" s="442">
        <v>0</v>
      </c>
      <c r="K56" s="442">
        <v>9</v>
      </c>
      <c r="L56" s="442">
        <v>59</v>
      </c>
      <c r="M56" s="443">
        <v>9.9830000000000005</v>
      </c>
    </row>
    <row r="57" spans="1:13">
      <c r="A57" s="438" t="s">
        <v>437</v>
      </c>
      <c r="B57" s="439" t="s">
        <v>435</v>
      </c>
      <c r="C57" s="440">
        <v>46318</v>
      </c>
      <c r="D57" s="441">
        <v>0.54166666666666663</v>
      </c>
      <c r="E57" s="444">
        <v>46318</v>
      </c>
      <c r="F57" s="441">
        <v>0.58263888888888893</v>
      </c>
      <c r="G57" s="442">
        <v>1.972</v>
      </c>
      <c r="H57" s="439" t="s">
        <v>436</v>
      </c>
      <c r="I57" s="442">
        <v>0</v>
      </c>
      <c r="J57" s="442">
        <v>0</v>
      </c>
      <c r="K57" s="442">
        <v>0</v>
      </c>
      <c r="L57" s="442">
        <v>59</v>
      </c>
      <c r="M57" s="443">
        <v>0.98299999999999998</v>
      </c>
    </row>
    <row r="58" spans="1:13">
      <c r="A58" s="438" t="s">
        <v>437</v>
      </c>
      <c r="B58" s="439" t="s">
        <v>435</v>
      </c>
      <c r="C58" s="440">
        <v>46318</v>
      </c>
      <c r="D58" s="441">
        <v>0.29166666666666669</v>
      </c>
      <c r="E58" s="444">
        <v>46318</v>
      </c>
      <c r="F58" s="441">
        <v>0.54097222222222219</v>
      </c>
      <c r="G58" s="442">
        <v>2.367</v>
      </c>
      <c r="H58" s="439" t="s">
        <v>436</v>
      </c>
      <c r="I58" s="442">
        <v>0</v>
      </c>
      <c r="J58" s="442">
        <v>0</v>
      </c>
      <c r="K58" s="442">
        <v>5</v>
      </c>
      <c r="L58" s="442">
        <v>59</v>
      </c>
      <c r="M58" s="443">
        <v>5.9829999999999997</v>
      </c>
    </row>
    <row r="59" spans="1:13">
      <c r="A59" s="438" t="s">
        <v>437</v>
      </c>
      <c r="B59" s="439" t="s">
        <v>435</v>
      </c>
      <c r="C59" s="440">
        <v>46318</v>
      </c>
      <c r="D59" s="441">
        <v>0.25</v>
      </c>
      <c r="E59" s="444">
        <v>46318</v>
      </c>
      <c r="F59" s="441">
        <v>0.29097222222222224</v>
      </c>
      <c r="G59" s="442">
        <v>2.1520000000000001</v>
      </c>
      <c r="H59" s="439" t="s">
        <v>436</v>
      </c>
      <c r="I59" s="442">
        <v>0</v>
      </c>
      <c r="J59" s="442">
        <v>0</v>
      </c>
      <c r="K59" s="442">
        <v>0</v>
      </c>
      <c r="L59" s="442">
        <v>59</v>
      </c>
      <c r="M59" s="443">
        <v>0.98299999999999998</v>
      </c>
    </row>
    <row r="60" spans="1:13">
      <c r="A60" s="438" t="s">
        <v>437</v>
      </c>
      <c r="B60" s="439" t="s">
        <v>435</v>
      </c>
      <c r="C60" s="440">
        <v>46318</v>
      </c>
      <c r="D60" s="441">
        <v>0.20833333333333334</v>
      </c>
      <c r="E60" s="444">
        <v>46318</v>
      </c>
      <c r="F60" s="441">
        <v>0.24930555555555556</v>
      </c>
      <c r="G60" s="442">
        <v>1.83</v>
      </c>
      <c r="H60" s="439" t="s">
        <v>436</v>
      </c>
      <c r="I60" s="442">
        <v>0</v>
      </c>
      <c r="J60" s="442">
        <v>0</v>
      </c>
      <c r="K60" s="442">
        <v>0</v>
      </c>
      <c r="L60" s="442">
        <v>59</v>
      </c>
      <c r="M60" s="443">
        <v>0.98299999999999998</v>
      </c>
    </row>
    <row r="61" spans="1:13">
      <c r="A61" s="438" t="s">
        <v>437</v>
      </c>
      <c r="B61" s="439" t="s">
        <v>435</v>
      </c>
      <c r="C61" s="440">
        <v>46318</v>
      </c>
      <c r="D61" s="441">
        <v>8.3333333333333329E-2</v>
      </c>
      <c r="E61" s="444">
        <v>46318</v>
      </c>
      <c r="F61" s="441">
        <v>0.2076388888888889</v>
      </c>
      <c r="G61" s="442">
        <v>2.367</v>
      </c>
      <c r="H61" s="439" t="s">
        <v>436</v>
      </c>
      <c r="I61" s="442">
        <v>0</v>
      </c>
      <c r="J61" s="442">
        <v>0</v>
      </c>
      <c r="K61" s="442">
        <v>2</v>
      </c>
      <c r="L61" s="442">
        <v>59</v>
      </c>
      <c r="M61" s="443">
        <v>2.9830000000000001</v>
      </c>
    </row>
    <row r="62" spans="1:13">
      <c r="A62" s="438" t="s">
        <v>437</v>
      </c>
      <c r="B62" s="439" t="s">
        <v>435</v>
      </c>
      <c r="C62" s="440">
        <v>46318</v>
      </c>
      <c r="D62" s="441">
        <v>4.1666666666666664E-2</v>
      </c>
      <c r="E62" s="444">
        <v>46318</v>
      </c>
      <c r="F62" s="441">
        <v>8.2638888888888887E-2</v>
      </c>
      <c r="G62" s="442">
        <v>1.8129999999999999</v>
      </c>
      <c r="H62" s="439" t="s">
        <v>436</v>
      </c>
      <c r="I62" s="442">
        <v>0</v>
      </c>
      <c r="J62" s="442">
        <v>0</v>
      </c>
      <c r="K62" s="442">
        <v>0</v>
      </c>
      <c r="L62" s="442">
        <v>59</v>
      </c>
      <c r="M62" s="443">
        <v>0.98299999999999998</v>
      </c>
    </row>
    <row r="63" spans="1:13">
      <c r="A63" s="438" t="s">
        <v>437</v>
      </c>
      <c r="B63" s="439" t="s">
        <v>435</v>
      </c>
      <c r="C63" s="440">
        <v>46317</v>
      </c>
      <c r="D63" s="441">
        <v>0.625</v>
      </c>
      <c r="E63" s="444">
        <v>46318</v>
      </c>
      <c r="F63" s="441">
        <v>4.0972222222222222E-2</v>
      </c>
      <c r="G63" s="442">
        <v>1.7749999999999999</v>
      </c>
      <c r="H63" s="439" t="s">
        <v>436</v>
      </c>
      <c r="I63" s="442">
        <v>0</v>
      </c>
      <c r="J63" s="442">
        <v>0</v>
      </c>
      <c r="K63" s="442">
        <v>9</v>
      </c>
      <c r="L63" s="442">
        <v>59</v>
      </c>
      <c r="M63" s="443">
        <v>9.9830000000000005</v>
      </c>
    </row>
    <row r="64" spans="1:13">
      <c r="A64" s="438" t="s">
        <v>438</v>
      </c>
      <c r="B64" s="439" t="s">
        <v>376</v>
      </c>
      <c r="C64" s="440">
        <v>46201</v>
      </c>
      <c r="D64" s="441">
        <v>0</v>
      </c>
      <c r="E64" s="442"/>
      <c r="F64" s="442"/>
      <c r="G64" s="442"/>
      <c r="H64" s="439" t="s">
        <v>387</v>
      </c>
      <c r="I64" s="442">
        <v>0</v>
      </c>
      <c r="J64" s="442">
        <v>118</v>
      </c>
      <c r="K64" s="442">
        <v>8</v>
      </c>
      <c r="L64" s="442">
        <v>55.466667000000001</v>
      </c>
      <c r="M64" s="443">
        <v>2840.924</v>
      </c>
    </row>
    <row r="65" spans="1:13">
      <c r="A65" s="438" t="s">
        <v>439</v>
      </c>
      <c r="B65" s="439" t="s">
        <v>435</v>
      </c>
      <c r="C65" s="440">
        <v>46318</v>
      </c>
      <c r="D65" s="441">
        <v>0.58333333333333337</v>
      </c>
      <c r="E65" s="444">
        <v>46318</v>
      </c>
      <c r="F65" s="441">
        <v>0.99930555555555556</v>
      </c>
      <c r="G65" s="442">
        <v>1.4790000000000001</v>
      </c>
      <c r="H65" s="439" t="s">
        <v>436</v>
      </c>
      <c r="I65" s="442">
        <v>0</v>
      </c>
      <c r="J65" s="442">
        <v>0</v>
      </c>
      <c r="K65" s="442">
        <v>9</v>
      </c>
      <c r="L65" s="442">
        <v>59</v>
      </c>
      <c r="M65" s="443">
        <v>9.9830000000000005</v>
      </c>
    </row>
    <row r="66" spans="1:13">
      <c r="A66" s="438" t="s">
        <v>439</v>
      </c>
      <c r="B66" s="439" t="s">
        <v>435</v>
      </c>
      <c r="C66" s="440">
        <v>46318</v>
      </c>
      <c r="D66" s="441">
        <v>0.54166666666666663</v>
      </c>
      <c r="E66" s="444">
        <v>46318</v>
      </c>
      <c r="F66" s="441">
        <v>0.58263888888888893</v>
      </c>
      <c r="G66" s="442">
        <v>1.643</v>
      </c>
      <c r="H66" s="439" t="s">
        <v>436</v>
      </c>
      <c r="I66" s="442">
        <v>0</v>
      </c>
      <c r="J66" s="442">
        <v>0</v>
      </c>
      <c r="K66" s="442">
        <v>0</v>
      </c>
      <c r="L66" s="442">
        <v>59</v>
      </c>
      <c r="M66" s="443">
        <v>0.98299999999999998</v>
      </c>
    </row>
    <row r="67" spans="1:13">
      <c r="A67" s="438" t="s">
        <v>439</v>
      </c>
      <c r="B67" s="439" t="s">
        <v>435</v>
      </c>
      <c r="C67" s="440">
        <v>46318</v>
      </c>
      <c r="D67" s="441">
        <v>0.29166666666666669</v>
      </c>
      <c r="E67" s="444">
        <v>46318</v>
      </c>
      <c r="F67" s="441">
        <v>0.54097222222222219</v>
      </c>
      <c r="G67" s="442">
        <v>1.972</v>
      </c>
      <c r="H67" s="439" t="s">
        <v>436</v>
      </c>
      <c r="I67" s="442">
        <v>0</v>
      </c>
      <c r="J67" s="442">
        <v>0</v>
      </c>
      <c r="K67" s="442">
        <v>5</v>
      </c>
      <c r="L67" s="442">
        <v>59</v>
      </c>
      <c r="M67" s="443">
        <v>5.9829999999999997</v>
      </c>
    </row>
    <row r="68" spans="1:13">
      <c r="A68" s="438" t="s">
        <v>439</v>
      </c>
      <c r="B68" s="439" t="s">
        <v>435</v>
      </c>
      <c r="C68" s="440">
        <v>46318</v>
      </c>
      <c r="D68" s="441">
        <v>0.25</v>
      </c>
      <c r="E68" s="444">
        <v>46318</v>
      </c>
      <c r="F68" s="441">
        <v>0.29097222222222224</v>
      </c>
      <c r="G68" s="442">
        <v>1.7929999999999999</v>
      </c>
      <c r="H68" s="439" t="s">
        <v>436</v>
      </c>
      <c r="I68" s="442">
        <v>0</v>
      </c>
      <c r="J68" s="442">
        <v>0</v>
      </c>
      <c r="K68" s="442">
        <v>0</v>
      </c>
      <c r="L68" s="442">
        <v>59</v>
      </c>
      <c r="M68" s="443">
        <v>0.98299999999999998</v>
      </c>
    </row>
    <row r="69" spans="1:13">
      <c r="A69" s="438" t="s">
        <v>439</v>
      </c>
      <c r="B69" s="439" t="s">
        <v>435</v>
      </c>
      <c r="C69" s="440">
        <v>46318</v>
      </c>
      <c r="D69" s="441">
        <v>0.20833333333333334</v>
      </c>
      <c r="E69" s="444">
        <v>46318</v>
      </c>
      <c r="F69" s="441">
        <v>0.24930555555555556</v>
      </c>
      <c r="G69" s="442">
        <v>1.5249999999999999</v>
      </c>
      <c r="H69" s="439" t="s">
        <v>436</v>
      </c>
      <c r="I69" s="442">
        <v>0</v>
      </c>
      <c r="J69" s="442">
        <v>0</v>
      </c>
      <c r="K69" s="442">
        <v>0</v>
      </c>
      <c r="L69" s="442">
        <v>59</v>
      </c>
      <c r="M69" s="443">
        <v>0.98299999999999998</v>
      </c>
    </row>
    <row r="70" spans="1:13">
      <c r="A70" s="438" t="s">
        <v>439</v>
      </c>
      <c r="B70" s="439" t="s">
        <v>435</v>
      </c>
      <c r="C70" s="440">
        <v>46318</v>
      </c>
      <c r="D70" s="441">
        <v>8.3333333333333329E-2</v>
      </c>
      <c r="E70" s="444">
        <v>46318</v>
      </c>
      <c r="F70" s="441">
        <v>0.2076388888888889</v>
      </c>
      <c r="G70" s="442">
        <v>1.972</v>
      </c>
      <c r="H70" s="439" t="s">
        <v>436</v>
      </c>
      <c r="I70" s="442">
        <v>0</v>
      </c>
      <c r="J70" s="442">
        <v>0</v>
      </c>
      <c r="K70" s="442">
        <v>2</v>
      </c>
      <c r="L70" s="442">
        <v>59</v>
      </c>
      <c r="M70" s="443">
        <v>2.9830000000000001</v>
      </c>
    </row>
    <row r="71" spans="1:13">
      <c r="A71" s="438" t="s">
        <v>439</v>
      </c>
      <c r="B71" s="439" t="s">
        <v>435</v>
      </c>
      <c r="C71" s="440">
        <v>46318</v>
      </c>
      <c r="D71" s="441">
        <v>4.1666666666666664E-2</v>
      </c>
      <c r="E71" s="444">
        <v>46318</v>
      </c>
      <c r="F71" s="441">
        <v>8.2638888888888887E-2</v>
      </c>
      <c r="G71" s="442">
        <v>1.5109999999999999</v>
      </c>
      <c r="H71" s="439" t="s">
        <v>436</v>
      </c>
      <c r="I71" s="442">
        <v>0</v>
      </c>
      <c r="J71" s="442">
        <v>0</v>
      </c>
      <c r="K71" s="442">
        <v>0</v>
      </c>
      <c r="L71" s="442">
        <v>59</v>
      </c>
      <c r="M71" s="443">
        <v>0.98299999999999998</v>
      </c>
    </row>
    <row r="72" spans="1:13">
      <c r="A72" s="438" t="s">
        <v>439</v>
      </c>
      <c r="B72" s="439" t="s">
        <v>435</v>
      </c>
      <c r="C72" s="440">
        <v>46317</v>
      </c>
      <c r="D72" s="441">
        <v>0.625</v>
      </c>
      <c r="E72" s="444">
        <v>46318</v>
      </c>
      <c r="F72" s="441">
        <v>4.0972222222222222E-2</v>
      </c>
      <c r="G72" s="442">
        <v>1.4790000000000001</v>
      </c>
      <c r="H72" s="439" t="s">
        <v>436</v>
      </c>
      <c r="I72" s="442">
        <v>0</v>
      </c>
      <c r="J72" s="442">
        <v>0</v>
      </c>
      <c r="K72" s="442">
        <v>9</v>
      </c>
      <c r="L72" s="442">
        <v>59</v>
      </c>
      <c r="M72" s="443">
        <v>9.9830000000000005</v>
      </c>
    </row>
    <row r="73" spans="1:13">
      <c r="A73" s="438" t="s">
        <v>202</v>
      </c>
      <c r="B73" s="439" t="s">
        <v>376</v>
      </c>
      <c r="C73" s="440">
        <v>41362</v>
      </c>
      <c r="D73" s="441">
        <v>0.11944444444444445</v>
      </c>
      <c r="E73" s="442"/>
      <c r="F73" s="442"/>
      <c r="G73" s="442"/>
      <c r="H73" s="439"/>
      <c r="I73" s="442">
        <v>0</v>
      </c>
      <c r="J73" s="442">
        <v>4957</v>
      </c>
      <c r="K73" s="442">
        <v>6</v>
      </c>
      <c r="L73" s="442">
        <v>3.4666670000000002</v>
      </c>
      <c r="M73" s="443">
        <v>118974.057</v>
      </c>
    </row>
    <row r="74" spans="1:13">
      <c r="A74" s="438" t="s">
        <v>203</v>
      </c>
      <c r="B74" s="439" t="s">
        <v>376</v>
      </c>
      <c r="C74" s="440">
        <v>41372</v>
      </c>
      <c r="D74" s="441">
        <v>0.37777777777777777</v>
      </c>
      <c r="E74" s="442"/>
      <c r="F74" s="442"/>
      <c r="G74" s="442"/>
      <c r="H74" s="439" t="s">
        <v>440</v>
      </c>
      <c r="I74" s="442">
        <v>0</v>
      </c>
      <c r="J74" s="442">
        <v>4946</v>
      </c>
      <c r="K74" s="442">
        <v>23</v>
      </c>
      <c r="L74" s="442">
        <v>51.466667000000001</v>
      </c>
      <c r="M74" s="443">
        <v>118727.857</v>
      </c>
    </row>
    <row r="75" spans="1:13">
      <c r="A75" s="438" t="s">
        <v>204</v>
      </c>
      <c r="B75" s="439" t="s">
        <v>376</v>
      </c>
      <c r="C75" s="440">
        <v>46098</v>
      </c>
      <c r="D75" s="441">
        <v>0.05</v>
      </c>
      <c r="E75" s="442"/>
      <c r="F75" s="442"/>
      <c r="G75" s="442"/>
      <c r="H75" s="439" t="s">
        <v>441</v>
      </c>
      <c r="I75" s="442">
        <v>0</v>
      </c>
      <c r="J75" s="442">
        <v>221</v>
      </c>
      <c r="K75" s="442">
        <v>7</v>
      </c>
      <c r="L75" s="442">
        <v>43.466667000000001</v>
      </c>
      <c r="M75" s="443">
        <v>5311.7240000000002</v>
      </c>
    </row>
    <row r="76" spans="1:13">
      <c r="A76" s="438" t="s">
        <v>442</v>
      </c>
      <c r="B76" s="439" t="s">
        <v>376</v>
      </c>
      <c r="C76" s="440">
        <v>46161</v>
      </c>
      <c r="D76" s="441">
        <v>0.66666666666666663</v>
      </c>
      <c r="E76" s="442"/>
      <c r="F76" s="442"/>
      <c r="G76" s="442"/>
      <c r="H76" s="439" t="s">
        <v>387</v>
      </c>
      <c r="I76" s="442">
        <v>0</v>
      </c>
      <c r="J76" s="442">
        <v>157</v>
      </c>
      <c r="K76" s="442">
        <v>16</v>
      </c>
      <c r="L76" s="442">
        <v>55.466667000000001</v>
      </c>
      <c r="M76" s="443">
        <v>3784.924</v>
      </c>
    </row>
    <row r="77" spans="1:13">
      <c r="A77" s="438" t="s">
        <v>443</v>
      </c>
      <c r="B77" s="439" t="s">
        <v>376</v>
      </c>
      <c r="C77" s="440">
        <v>46161</v>
      </c>
      <c r="D77" s="441">
        <v>0.66666666666666663</v>
      </c>
      <c r="E77" s="442"/>
      <c r="F77" s="442"/>
      <c r="G77" s="442"/>
      <c r="H77" s="439" t="s">
        <v>387</v>
      </c>
      <c r="I77" s="442">
        <v>0</v>
      </c>
      <c r="J77" s="442">
        <v>157</v>
      </c>
      <c r="K77" s="442">
        <v>16</v>
      </c>
      <c r="L77" s="442">
        <v>55.466667000000001</v>
      </c>
      <c r="M77" s="443">
        <v>3784.924</v>
      </c>
    </row>
    <row r="78" spans="1:13">
      <c r="A78" s="438" t="s">
        <v>218</v>
      </c>
      <c r="B78" s="439" t="s">
        <v>376</v>
      </c>
      <c r="C78" s="440">
        <v>40577</v>
      </c>
      <c r="D78" s="441">
        <v>0.32569444444444445</v>
      </c>
      <c r="E78" s="442"/>
      <c r="F78" s="442"/>
      <c r="G78" s="442"/>
      <c r="H78" s="439" t="s">
        <v>444</v>
      </c>
      <c r="I78" s="442">
        <v>0</v>
      </c>
      <c r="J78" s="442">
        <v>5742</v>
      </c>
      <c r="K78" s="442">
        <v>1</v>
      </c>
      <c r="L78" s="442">
        <v>6.4666670000000002</v>
      </c>
      <c r="M78" s="443">
        <v>137809.10699999999</v>
      </c>
    </row>
    <row r="79" spans="1:13" ht="114.75">
      <c r="A79" s="438" t="s">
        <v>219</v>
      </c>
      <c r="B79" s="439" t="s">
        <v>376</v>
      </c>
      <c r="C79" s="440">
        <v>46163</v>
      </c>
      <c r="D79" s="441">
        <v>0.50972222222222219</v>
      </c>
      <c r="E79" s="442"/>
      <c r="F79" s="442"/>
      <c r="G79" s="442"/>
      <c r="H79" s="439" t="s">
        <v>445</v>
      </c>
      <c r="I79" s="442">
        <v>0</v>
      </c>
      <c r="J79" s="442">
        <v>155</v>
      </c>
      <c r="K79" s="442">
        <v>20</v>
      </c>
      <c r="L79" s="442">
        <v>41.466667000000001</v>
      </c>
      <c r="M79" s="443">
        <v>3740.6909999999998</v>
      </c>
    </row>
    <row r="80" spans="1:13" ht="25.5">
      <c r="A80" s="438" t="s">
        <v>446</v>
      </c>
      <c r="B80" s="439" t="s">
        <v>376</v>
      </c>
      <c r="C80" s="440">
        <v>38353</v>
      </c>
      <c r="D80" s="441">
        <v>0</v>
      </c>
      <c r="E80" s="442"/>
      <c r="F80" s="442"/>
      <c r="G80" s="442"/>
      <c r="H80" s="439" t="s">
        <v>447</v>
      </c>
      <c r="I80" s="442">
        <v>0</v>
      </c>
      <c r="J80" s="442">
        <v>7966</v>
      </c>
      <c r="K80" s="442">
        <v>8</v>
      </c>
      <c r="L80" s="442">
        <v>55.466667000000001</v>
      </c>
      <c r="M80" s="443">
        <v>191192.924</v>
      </c>
    </row>
    <row r="81" spans="1:13">
      <c r="A81" s="438" t="s">
        <v>448</v>
      </c>
      <c r="B81" s="439" t="s">
        <v>376</v>
      </c>
      <c r="C81" s="440">
        <v>44790</v>
      </c>
      <c r="D81" s="441">
        <v>0.56319444444444444</v>
      </c>
      <c r="E81" s="442"/>
      <c r="F81" s="442"/>
      <c r="G81" s="442"/>
      <c r="H81" s="439" t="s">
        <v>449</v>
      </c>
      <c r="I81" s="442">
        <v>0</v>
      </c>
      <c r="J81" s="442">
        <v>1528</v>
      </c>
      <c r="K81" s="442">
        <v>19</v>
      </c>
      <c r="L81" s="442">
        <v>24.466667000000001</v>
      </c>
      <c r="M81" s="443">
        <v>36691.406999999999</v>
      </c>
    </row>
    <row r="82" spans="1:13">
      <c r="A82" s="438" t="s">
        <v>450</v>
      </c>
      <c r="B82" s="439" t="s">
        <v>376</v>
      </c>
      <c r="C82" s="440">
        <v>45371</v>
      </c>
      <c r="D82" s="441">
        <v>0.11736111111111111</v>
      </c>
      <c r="E82" s="442"/>
      <c r="F82" s="442"/>
      <c r="G82" s="442"/>
      <c r="H82" s="439" t="s">
        <v>451</v>
      </c>
      <c r="I82" s="442">
        <v>0</v>
      </c>
      <c r="J82" s="442">
        <v>948</v>
      </c>
      <c r="K82" s="442">
        <v>6</v>
      </c>
      <c r="L82" s="442">
        <v>6.4666670000000002</v>
      </c>
      <c r="M82" s="443">
        <v>22758.107</v>
      </c>
    </row>
    <row r="83" spans="1:13">
      <c r="A83" s="438" t="s">
        <v>452</v>
      </c>
      <c r="B83" s="439" t="s">
        <v>376</v>
      </c>
      <c r="C83" s="440">
        <v>46318</v>
      </c>
      <c r="D83" s="441">
        <v>0.35625000000000001</v>
      </c>
      <c r="E83" s="444">
        <v>46318</v>
      </c>
      <c r="F83" s="441">
        <v>0.50486111111111109</v>
      </c>
      <c r="G83" s="442"/>
      <c r="H83" s="439" t="s">
        <v>453</v>
      </c>
      <c r="I83" s="442">
        <v>0</v>
      </c>
      <c r="J83" s="442">
        <v>0</v>
      </c>
      <c r="K83" s="442">
        <v>3</v>
      </c>
      <c r="L83" s="442">
        <v>34</v>
      </c>
      <c r="M83" s="443">
        <v>3.5659999999999998</v>
      </c>
    </row>
    <row r="84" spans="1:13">
      <c r="A84" s="438" t="s">
        <v>452</v>
      </c>
      <c r="B84" s="439" t="s">
        <v>454</v>
      </c>
      <c r="C84" s="440">
        <v>46318</v>
      </c>
      <c r="D84" s="441">
        <v>3.7499999999999999E-2</v>
      </c>
      <c r="E84" s="444">
        <v>46318</v>
      </c>
      <c r="F84" s="441">
        <v>4.583333333333333E-2</v>
      </c>
      <c r="G84" s="442"/>
      <c r="H84" s="439" t="s">
        <v>455</v>
      </c>
      <c r="I84" s="442">
        <v>0</v>
      </c>
      <c r="J84" s="442">
        <v>0</v>
      </c>
      <c r="K84" s="442">
        <v>0</v>
      </c>
      <c r="L84" s="442">
        <v>12</v>
      </c>
      <c r="M84" s="443">
        <v>0.2</v>
      </c>
    </row>
    <row r="85" spans="1:13">
      <c r="A85" s="438" t="s">
        <v>217</v>
      </c>
      <c r="B85" s="439" t="s">
        <v>376</v>
      </c>
      <c r="C85" s="440">
        <v>44128</v>
      </c>
      <c r="D85" s="441">
        <v>9.7222222222222224E-3</v>
      </c>
      <c r="E85" s="442"/>
      <c r="F85" s="442"/>
      <c r="G85" s="442"/>
      <c r="H85" s="439" t="s">
        <v>456</v>
      </c>
      <c r="I85" s="442">
        <v>0</v>
      </c>
      <c r="J85" s="442">
        <v>2191</v>
      </c>
      <c r="K85" s="442">
        <v>8</v>
      </c>
      <c r="L85" s="442">
        <v>41.466667000000001</v>
      </c>
      <c r="M85" s="443">
        <v>52592.690999999999</v>
      </c>
    </row>
    <row r="86" spans="1:13" ht="25.5">
      <c r="A86" s="438" t="s">
        <v>457</v>
      </c>
      <c r="B86" s="439" t="s">
        <v>378</v>
      </c>
      <c r="C86" s="440">
        <v>46300</v>
      </c>
      <c r="D86" s="441">
        <v>0</v>
      </c>
      <c r="E86" s="442"/>
      <c r="F86" s="442"/>
      <c r="G86" s="442"/>
      <c r="H86" s="439" t="s">
        <v>458</v>
      </c>
      <c r="I86" s="442">
        <v>0</v>
      </c>
      <c r="J86" s="442">
        <v>19</v>
      </c>
      <c r="K86" s="442">
        <v>8</v>
      </c>
      <c r="L86" s="442">
        <v>55.466667000000001</v>
      </c>
      <c r="M86" s="443">
        <v>464.92399999999998</v>
      </c>
    </row>
    <row r="87" spans="1:13">
      <c r="A87" s="438" t="s">
        <v>459</v>
      </c>
      <c r="B87" s="439" t="s">
        <v>376</v>
      </c>
      <c r="C87" s="440">
        <v>40498</v>
      </c>
      <c r="D87" s="441">
        <v>0.77222222222222225</v>
      </c>
      <c r="E87" s="442"/>
      <c r="F87" s="442"/>
      <c r="G87" s="442"/>
      <c r="H87" s="439" t="s">
        <v>460</v>
      </c>
      <c r="I87" s="442">
        <v>0</v>
      </c>
      <c r="J87" s="442">
        <v>5820</v>
      </c>
      <c r="K87" s="442">
        <v>14</v>
      </c>
      <c r="L87" s="442">
        <v>23.466667000000001</v>
      </c>
      <c r="M87" s="443">
        <v>139694.391</v>
      </c>
    </row>
    <row r="88" spans="1:13">
      <c r="A88" s="438" t="s">
        <v>461</v>
      </c>
      <c r="B88" s="439" t="s">
        <v>376</v>
      </c>
      <c r="C88" s="440">
        <v>40498</v>
      </c>
      <c r="D88" s="441">
        <v>0.74652777777777779</v>
      </c>
      <c r="E88" s="442"/>
      <c r="F88" s="442"/>
      <c r="G88" s="442"/>
      <c r="H88" s="439" t="s">
        <v>460</v>
      </c>
      <c r="I88" s="442">
        <v>0</v>
      </c>
      <c r="J88" s="442">
        <v>5820</v>
      </c>
      <c r="K88" s="442">
        <v>15</v>
      </c>
      <c r="L88" s="442">
        <v>0.466667</v>
      </c>
      <c r="M88" s="443">
        <v>139695.00700000001</v>
      </c>
    </row>
    <row r="89" spans="1:13">
      <c r="A89" s="438" t="s">
        <v>462</v>
      </c>
      <c r="B89" s="439" t="s">
        <v>376</v>
      </c>
      <c r="C89" s="440">
        <v>40498</v>
      </c>
      <c r="D89" s="441">
        <v>0.89236111111111116</v>
      </c>
      <c r="E89" s="442"/>
      <c r="F89" s="442"/>
      <c r="G89" s="442"/>
      <c r="H89" s="439" t="s">
        <v>463</v>
      </c>
      <c r="I89" s="442">
        <v>0</v>
      </c>
      <c r="J89" s="442">
        <v>5820</v>
      </c>
      <c r="K89" s="442">
        <v>11</v>
      </c>
      <c r="L89" s="442">
        <v>30.466667000000001</v>
      </c>
      <c r="M89" s="443">
        <v>139691.50700000001</v>
      </c>
    </row>
    <row r="90" spans="1:13">
      <c r="A90" s="438" t="s">
        <v>464</v>
      </c>
      <c r="B90" s="439" t="s">
        <v>376</v>
      </c>
      <c r="C90" s="440">
        <v>40498</v>
      </c>
      <c r="D90" s="441">
        <v>0.76111111111111107</v>
      </c>
      <c r="E90" s="442"/>
      <c r="F90" s="442"/>
      <c r="G90" s="442"/>
      <c r="H90" s="439" t="s">
        <v>465</v>
      </c>
      <c r="I90" s="442">
        <v>0</v>
      </c>
      <c r="J90" s="442">
        <v>5820</v>
      </c>
      <c r="K90" s="442">
        <v>14</v>
      </c>
      <c r="L90" s="442">
        <v>39.466667000000001</v>
      </c>
      <c r="M90" s="443">
        <v>139694.65700000001</v>
      </c>
    </row>
    <row r="91" spans="1:13" ht="178.5">
      <c r="A91" s="438" t="s">
        <v>466</v>
      </c>
      <c r="B91" s="439" t="s">
        <v>376</v>
      </c>
      <c r="C91" s="440">
        <v>45572</v>
      </c>
      <c r="D91" s="441">
        <v>0.78819444444444442</v>
      </c>
      <c r="E91" s="442"/>
      <c r="F91" s="442"/>
      <c r="G91" s="442"/>
      <c r="H91" s="439" t="s">
        <v>467</v>
      </c>
      <c r="I91" s="442">
        <v>0</v>
      </c>
      <c r="J91" s="442">
        <v>746</v>
      </c>
      <c r="K91" s="442">
        <v>14</v>
      </c>
      <c r="L91" s="442">
        <v>0.466667</v>
      </c>
      <c r="M91" s="443">
        <v>17918.007000000001</v>
      </c>
    </row>
    <row r="92" spans="1:13">
      <c r="A92" s="438" t="s">
        <v>468</v>
      </c>
      <c r="B92" s="439" t="s">
        <v>376</v>
      </c>
      <c r="C92" s="440">
        <v>46267</v>
      </c>
      <c r="D92" s="441">
        <v>0.67222222222222228</v>
      </c>
      <c r="E92" s="442"/>
      <c r="F92" s="442"/>
      <c r="G92" s="442"/>
      <c r="H92" s="439" t="s">
        <v>469</v>
      </c>
      <c r="I92" s="442">
        <v>0</v>
      </c>
      <c r="J92" s="442">
        <v>51</v>
      </c>
      <c r="K92" s="442">
        <v>16</v>
      </c>
      <c r="L92" s="442">
        <v>47.466667000000001</v>
      </c>
      <c r="M92" s="443">
        <v>1240.7909999999999</v>
      </c>
    </row>
    <row r="93" spans="1:13" ht="25.5">
      <c r="A93" s="438" t="s">
        <v>470</v>
      </c>
      <c r="B93" s="439" t="s">
        <v>376</v>
      </c>
      <c r="C93" s="440">
        <v>43221</v>
      </c>
      <c r="D93" s="441">
        <v>0</v>
      </c>
      <c r="E93" s="442"/>
      <c r="F93" s="442"/>
      <c r="G93" s="442"/>
      <c r="H93" s="439" t="s">
        <v>471</v>
      </c>
      <c r="I93" s="442">
        <v>0</v>
      </c>
      <c r="J93" s="442">
        <v>3098</v>
      </c>
      <c r="K93" s="442">
        <v>8</v>
      </c>
      <c r="L93" s="442">
        <v>55.466667000000001</v>
      </c>
      <c r="M93" s="443">
        <v>74360.923999999999</v>
      </c>
    </row>
    <row r="94" spans="1:13">
      <c r="A94" s="438" t="s">
        <v>472</v>
      </c>
      <c r="B94" s="439" t="s">
        <v>454</v>
      </c>
      <c r="C94" s="440">
        <v>46318</v>
      </c>
      <c r="D94" s="441">
        <v>0.63611111111111107</v>
      </c>
      <c r="E94" s="444">
        <v>46318</v>
      </c>
      <c r="F94" s="441">
        <v>0.64236111111111116</v>
      </c>
      <c r="G94" s="442"/>
      <c r="H94" s="439" t="s">
        <v>473</v>
      </c>
      <c r="I94" s="442">
        <v>0</v>
      </c>
      <c r="J94" s="442">
        <v>0</v>
      </c>
      <c r="K94" s="442">
        <v>0</v>
      </c>
      <c r="L94" s="442">
        <v>9</v>
      </c>
      <c r="M94" s="443">
        <v>0.15</v>
      </c>
    </row>
    <row r="95" spans="1:13">
      <c r="A95" s="438" t="s">
        <v>472</v>
      </c>
      <c r="B95" s="439" t="s">
        <v>454</v>
      </c>
      <c r="C95" s="440">
        <v>46318</v>
      </c>
      <c r="D95" s="441">
        <v>0.62638888888888888</v>
      </c>
      <c r="E95" s="444">
        <v>46318</v>
      </c>
      <c r="F95" s="441">
        <v>0.63124999999999998</v>
      </c>
      <c r="G95" s="442"/>
      <c r="H95" s="439" t="s">
        <v>455</v>
      </c>
      <c r="I95" s="442">
        <v>0</v>
      </c>
      <c r="J95" s="442">
        <v>0</v>
      </c>
      <c r="K95" s="442">
        <v>0</v>
      </c>
      <c r="L95" s="442">
        <v>7</v>
      </c>
      <c r="M95" s="443">
        <v>0.11600000000000001</v>
      </c>
    </row>
    <row r="96" spans="1:13">
      <c r="A96" s="438" t="s">
        <v>474</v>
      </c>
      <c r="B96" s="439" t="s">
        <v>454</v>
      </c>
      <c r="C96" s="440">
        <v>46318</v>
      </c>
      <c r="D96" s="441">
        <v>0.68472222222222223</v>
      </c>
      <c r="E96" s="444">
        <v>46318</v>
      </c>
      <c r="F96" s="441">
        <v>0.875</v>
      </c>
      <c r="G96" s="442"/>
      <c r="H96" s="439" t="s">
        <v>475</v>
      </c>
      <c r="I96" s="442">
        <v>0</v>
      </c>
      <c r="J96" s="442">
        <v>0</v>
      </c>
      <c r="K96" s="442">
        <v>4</v>
      </c>
      <c r="L96" s="442">
        <v>34</v>
      </c>
      <c r="M96" s="443">
        <v>4.5659999999999998</v>
      </c>
    </row>
    <row r="97" spans="1:13" ht="140.25">
      <c r="A97" s="438" t="s">
        <v>476</v>
      </c>
      <c r="B97" s="439" t="s">
        <v>376</v>
      </c>
      <c r="C97" s="440">
        <v>45623</v>
      </c>
      <c r="D97" s="441">
        <v>0.93680555555555556</v>
      </c>
      <c r="E97" s="442"/>
      <c r="F97" s="442"/>
      <c r="G97" s="442"/>
      <c r="H97" s="439" t="s">
        <v>477</v>
      </c>
      <c r="I97" s="442">
        <v>0</v>
      </c>
      <c r="J97" s="442">
        <v>695</v>
      </c>
      <c r="K97" s="442">
        <v>10</v>
      </c>
      <c r="L97" s="442">
        <v>26.466667000000001</v>
      </c>
      <c r="M97" s="443">
        <v>16690.440999999999</v>
      </c>
    </row>
    <row r="98" spans="1:13">
      <c r="A98" s="438" t="s">
        <v>478</v>
      </c>
      <c r="B98" s="439" t="s">
        <v>376</v>
      </c>
      <c r="C98" s="440">
        <v>46318</v>
      </c>
      <c r="D98" s="441">
        <v>0.38819444444444445</v>
      </c>
      <c r="E98" s="444">
        <v>46318</v>
      </c>
      <c r="F98" s="441">
        <v>0.41944444444444445</v>
      </c>
      <c r="G98" s="442"/>
      <c r="H98" s="439" t="s">
        <v>479</v>
      </c>
      <c r="I98" s="442">
        <v>0</v>
      </c>
      <c r="J98" s="442">
        <v>0</v>
      </c>
      <c r="K98" s="442">
        <v>0</v>
      </c>
      <c r="L98" s="442">
        <v>45</v>
      </c>
      <c r="M98" s="443">
        <v>0.75</v>
      </c>
    </row>
    <row r="99" spans="1:13">
      <c r="A99" s="438" t="s">
        <v>480</v>
      </c>
      <c r="B99" s="439" t="s">
        <v>454</v>
      </c>
      <c r="C99" s="440">
        <v>46318</v>
      </c>
      <c r="D99" s="441">
        <v>0.85416666666666663</v>
      </c>
      <c r="E99" s="444">
        <v>46318</v>
      </c>
      <c r="F99" s="441">
        <v>0.85972222222222228</v>
      </c>
      <c r="G99" s="442"/>
      <c r="H99" s="439" t="s">
        <v>481</v>
      </c>
      <c r="I99" s="442">
        <v>0</v>
      </c>
      <c r="J99" s="442">
        <v>0</v>
      </c>
      <c r="K99" s="442">
        <v>0</v>
      </c>
      <c r="L99" s="442">
        <v>8</v>
      </c>
      <c r="M99" s="443">
        <v>0.13300000000000001</v>
      </c>
    </row>
    <row r="100" spans="1:13">
      <c r="A100" s="438" t="s">
        <v>480</v>
      </c>
      <c r="B100" s="439" t="s">
        <v>376</v>
      </c>
      <c r="C100" s="440">
        <v>46318</v>
      </c>
      <c r="D100" s="441">
        <v>0.74722222222222223</v>
      </c>
      <c r="E100" s="444">
        <v>46318</v>
      </c>
      <c r="F100" s="441">
        <v>0.75</v>
      </c>
      <c r="G100" s="442"/>
      <c r="H100" s="439" t="s">
        <v>482</v>
      </c>
      <c r="I100" s="442">
        <v>0</v>
      </c>
      <c r="J100" s="442">
        <v>0</v>
      </c>
      <c r="K100" s="442">
        <v>0</v>
      </c>
      <c r="L100" s="442">
        <v>4</v>
      </c>
      <c r="M100" s="443">
        <v>6.6000000000000003E-2</v>
      </c>
    </row>
    <row r="101" spans="1:13">
      <c r="A101" s="438" t="s">
        <v>480</v>
      </c>
      <c r="B101" s="439" t="s">
        <v>454</v>
      </c>
      <c r="C101" s="440">
        <v>46318</v>
      </c>
      <c r="D101" s="441">
        <v>0.48819444444444443</v>
      </c>
      <c r="E101" s="444">
        <v>46318</v>
      </c>
      <c r="F101" s="441">
        <v>0.49444444444444446</v>
      </c>
      <c r="G101" s="442"/>
      <c r="H101" s="439" t="s">
        <v>483</v>
      </c>
      <c r="I101" s="442">
        <v>0</v>
      </c>
      <c r="J101" s="442">
        <v>0</v>
      </c>
      <c r="K101" s="442">
        <v>0</v>
      </c>
      <c r="L101" s="442">
        <v>9</v>
      </c>
      <c r="M101" s="443">
        <v>0.15</v>
      </c>
    </row>
    <row r="102" spans="1:13">
      <c r="A102" s="438" t="s">
        <v>480</v>
      </c>
      <c r="B102" s="439" t="s">
        <v>454</v>
      </c>
      <c r="C102" s="440">
        <v>46318</v>
      </c>
      <c r="D102" s="441">
        <v>0.4465277777777778</v>
      </c>
      <c r="E102" s="444">
        <v>46318</v>
      </c>
      <c r="F102" s="441">
        <v>0.45208333333333334</v>
      </c>
      <c r="G102" s="442"/>
      <c r="H102" s="439" t="s">
        <v>484</v>
      </c>
      <c r="I102" s="442">
        <v>0</v>
      </c>
      <c r="J102" s="442">
        <v>0</v>
      </c>
      <c r="K102" s="442">
        <v>0</v>
      </c>
      <c r="L102" s="442">
        <v>8</v>
      </c>
      <c r="M102" s="443">
        <v>0.13300000000000001</v>
      </c>
    </row>
    <row r="103" spans="1:13">
      <c r="A103" s="438" t="s">
        <v>485</v>
      </c>
      <c r="B103" s="439" t="s">
        <v>454</v>
      </c>
      <c r="C103" s="440">
        <v>46318</v>
      </c>
      <c r="D103" s="441">
        <v>0.85416666666666663</v>
      </c>
      <c r="E103" s="444">
        <v>46318</v>
      </c>
      <c r="F103" s="441">
        <v>0.86111111111111116</v>
      </c>
      <c r="G103" s="442"/>
      <c r="H103" s="439" t="s">
        <v>481</v>
      </c>
      <c r="I103" s="442">
        <v>0</v>
      </c>
      <c r="J103" s="442">
        <v>0</v>
      </c>
      <c r="K103" s="442">
        <v>0</v>
      </c>
      <c r="L103" s="442">
        <v>10</v>
      </c>
      <c r="M103" s="443">
        <v>0.16600000000000001</v>
      </c>
    </row>
    <row r="104" spans="1:13">
      <c r="A104" s="438" t="s">
        <v>486</v>
      </c>
      <c r="B104" s="439" t="s">
        <v>454</v>
      </c>
      <c r="C104" s="440">
        <v>46318</v>
      </c>
      <c r="D104" s="441">
        <v>0.48819444444444443</v>
      </c>
      <c r="E104" s="444">
        <v>46318</v>
      </c>
      <c r="F104" s="441">
        <v>0.5</v>
      </c>
      <c r="G104" s="442"/>
      <c r="H104" s="439" t="s">
        <v>483</v>
      </c>
      <c r="I104" s="442">
        <v>0</v>
      </c>
      <c r="J104" s="442">
        <v>0</v>
      </c>
      <c r="K104" s="442">
        <v>0</v>
      </c>
      <c r="L104" s="442">
        <v>17</v>
      </c>
      <c r="M104" s="443">
        <v>0.28299999999999997</v>
      </c>
    </row>
    <row r="105" spans="1:13">
      <c r="A105" s="438" t="s">
        <v>486</v>
      </c>
      <c r="B105" s="439" t="s">
        <v>454</v>
      </c>
      <c r="C105" s="440">
        <v>46318</v>
      </c>
      <c r="D105" s="441">
        <v>0.4465277777777778</v>
      </c>
      <c r="E105" s="444">
        <v>46318</v>
      </c>
      <c r="F105" s="441">
        <v>0.4513888888888889</v>
      </c>
      <c r="G105" s="442"/>
      <c r="H105" s="439" t="s">
        <v>484</v>
      </c>
      <c r="I105" s="442">
        <v>0</v>
      </c>
      <c r="J105" s="442">
        <v>0</v>
      </c>
      <c r="K105" s="442">
        <v>0</v>
      </c>
      <c r="L105" s="442">
        <v>7</v>
      </c>
      <c r="M105" s="443">
        <v>0.11600000000000001</v>
      </c>
    </row>
    <row r="106" spans="1:13">
      <c r="A106" s="438" t="s">
        <v>487</v>
      </c>
      <c r="B106" s="439" t="s">
        <v>454</v>
      </c>
      <c r="C106" s="440">
        <v>46318</v>
      </c>
      <c r="D106" s="441">
        <v>0.35</v>
      </c>
      <c r="E106" s="444">
        <v>46318</v>
      </c>
      <c r="F106" s="441">
        <v>0.36666666666666664</v>
      </c>
      <c r="G106" s="442"/>
      <c r="H106" s="439" t="s">
        <v>484</v>
      </c>
      <c r="I106" s="442">
        <v>0</v>
      </c>
      <c r="J106" s="442">
        <v>0</v>
      </c>
      <c r="K106" s="442">
        <v>0</v>
      </c>
      <c r="L106" s="442">
        <v>24</v>
      </c>
      <c r="M106" s="443">
        <v>0.4</v>
      </c>
    </row>
    <row r="107" spans="1:13">
      <c r="A107" s="438" t="s">
        <v>487</v>
      </c>
      <c r="B107" s="439" t="s">
        <v>376</v>
      </c>
      <c r="C107" s="440">
        <v>46318</v>
      </c>
      <c r="D107" s="441">
        <v>0.30902777777777779</v>
      </c>
      <c r="E107" s="444">
        <v>46318</v>
      </c>
      <c r="F107" s="441">
        <v>0.32222222222222224</v>
      </c>
      <c r="G107" s="442"/>
      <c r="H107" s="439" t="s">
        <v>488</v>
      </c>
      <c r="I107" s="442">
        <v>0</v>
      </c>
      <c r="J107" s="442">
        <v>0</v>
      </c>
      <c r="K107" s="442">
        <v>0</v>
      </c>
      <c r="L107" s="442">
        <v>19</v>
      </c>
      <c r="M107" s="443">
        <v>0.316</v>
      </c>
    </row>
    <row r="108" spans="1:13">
      <c r="A108" s="438" t="s">
        <v>489</v>
      </c>
      <c r="B108" s="439" t="s">
        <v>454</v>
      </c>
      <c r="C108" s="440">
        <v>46318</v>
      </c>
      <c r="D108" s="441">
        <v>0.68472222222222223</v>
      </c>
      <c r="E108" s="444">
        <v>46318</v>
      </c>
      <c r="F108" s="441">
        <v>0.875</v>
      </c>
      <c r="G108" s="442"/>
      <c r="H108" s="439" t="s">
        <v>475</v>
      </c>
      <c r="I108" s="442">
        <v>0</v>
      </c>
      <c r="J108" s="442">
        <v>0</v>
      </c>
      <c r="K108" s="442">
        <v>4</v>
      </c>
      <c r="L108" s="442">
        <v>34</v>
      </c>
      <c r="M108" s="443">
        <v>4.5659999999999998</v>
      </c>
    </row>
    <row r="109" spans="1:13">
      <c r="A109" s="438" t="s">
        <v>490</v>
      </c>
      <c r="B109" s="439" t="s">
        <v>376</v>
      </c>
      <c r="C109" s="440">
        <v>41394</v>
      </c>
      <c r="D109" s="441">
        <v>0.82430555555555551</v>
      </c>
      <c r="E109" s="442"/>
      <c r="F109" s="442"/>
      <c r="G109" s="442"/>
      <c r="H109" s="439" t="s">
        <v>491</v>
      </c>
      <c r="I109" s="442">
        <v>0</v>
      </c>
      <c r="J109" s="442">
        <v>4924</v>
      </c>
      <c r="K109" s="442">
        <v>13</v>
      </c>
      <c r="L109" s="442">
        <v>8.4666669999999993</v>
      </c>
      <c r="M109" s="443">
        <v>118189.141</v>
      </c>
    </row>
    <row r="110" spans="1:13">
      <c r="A110" s="438" t="s">
        <v>492</v>
      </c>
      <c r="B110" s="439" t="s">
        <v>376</v>
      </c>
      <c r="C110" s="440">
        <v>41988</v>
      </c>
      <c r="D110" s="441">
        <v>0.73124999999999996</v>
      </c>
      <c r="E110" s="442"/>
      <c r="F110" s="442"/>
      <c r="G110" s="442"/>
      <c r="H110" s="439" t="s">
        <v>493</v>
      </c>
      <c r="I110" s="442">
        <v>0</v>
      </c>
      <c r="J110" s="442">
        <v>4330</v>
      </c>
      <c r="K110" s="442">
        <v>15</v>
      </c>
      <c r="L110" s="442">
        <v>22.466667000000001</v>
      </c>
      <c r="M110" s="443">
        <v>103935.374</v>
      </c>
    </row>
    <row r="111" spans="1:13">
      <c r="A111" s="438" t="s">
        <v>494</v>
      </c>
      <c r="B111" s="439" t="s">
        <v>376</v>
      </c>
      <c r="C111" s="440">
        <v>41988</v>
      </c>
      <c r="D111" s="441">
        <v>0.73124999999999996</v>
      </c>
      <c r="E111" s="442"/>
      <c r="F111" s="442"/>
      <c r="G111" s="442"/>
      <c r="H111" s="439" t="s">
        <v>493</v>
      </c>
      <c r="I111" s="442">
        <v>0</v>
      </c>
      <c r="J111" s="442">
        <v>4330</v>
      </c>
      <c r="K111" s="442">
        <v>15</v>
      </c>
      <c r="L111" s="442">
        <v>22.466667000000001</v>
      </c>
      <c r="M111" s="443">
        <v>103935.374</v>
      </c>
    </row>
    <row r="112" spans="1:13">
      <c r="A112" s="438" t="s">
        <v>495</v>
      </c>
      <c r="B112" s="439" t="s">
        <v>376</v>
      </c>
      <c r="C112" s="440">
        <v>41505</v>
      </c>
      <c r="D112" s="441">
        <v>0.84166666666666667</v>
      </c>
      <c r="E112" s="442"/>
      <c r="F112" s="442"/>
      <c r="G112" s="442"/>
      <c r="H112" s="439" t="s">
        <v>496</v>
      </c>
      <c r="I112" s="442">
        <v>0</v>
      </c>
      <c r="J112" s="442">
        <v>4813</v>
      </c>
      <c r="K112" s="442">
        <v>12</v>
      </c>
      <c r="L112" s="442">
        <v>43.466667000000001</v>
      </c>
      <c r="M112" s="443">
        <v>115524.724</v>
      </c>
    </row>
    <row r="113" spans="1:13">
      <c r="A113" s="438" t="s">
        <v>497</v>
      </c>
      <c r="B113" s="439" t="s">
        <v>376</v>
      </c>
      <c r="C113" s="440">
        <v>41988</v>
      </c>
      <c r="D113" s="441">
        <v>0.73124999999999996</v>
      </c>
      <c r="E113" s="442"/>
      <c r="F113" s="442"/>
      <c r="G113" s="442"/>
      <c r="H113" s="439" t="s">
        <v>493</v>
      </c>
      <c r="I113" s="442">
        <v>0</v>
      </c>
      <c r="J113" s="442">
        <v>4330</v>
      </c>
      <c r="K113" s="442">
        <v>15</v>
      </c>
      <c r="L113" s="442">
        <v>22.466667000000001</v>
      </c>
      <c r="M113" s="443">
        <v>103935.374</v>
      </c>
    </row>
    <row r="114" spans="1:13" ht="51">
      <c r="A114" s="438" t="s">
        <v>498</v>
      </c>
      <c r="B114" s="439" t="s">
        <v>376</v>
      </c>
      <c r="C114" s="440">
        <v>41911</v>
      </c>
      <c r="D114" s="441">
        <v>0.92291666666666672</v>
      </c>
      <c r="E114" s="442"/>
      <c r="F114" s="442"/>
      <c r="G114" s="442"/>
      <c r="H114" s="439" t="s">
        <v>499</v>
      </c>
      <c r="I114" s="442">
        <v>0</v>
      </c>
      <c r="J114" s="442">
        <v>4407</v>
      </c>
      <c r="K114" s="442">
        <v>10</v>
      </c>
      <c r="L114" s="442">
        <v>46.466667000000001</v>
      </c>
      <c r="M114" s="443">
        <v>105778.774</v>
      </c>
    </row>
    <row r="115" spans="1:13">
      <c r="A115" s="438" t="s">
        <v>500</v>
      </c>
      <c r="B115" s="439" t="s">
        <v>435</v>
      </c>
      <c r="C115" s="440">
        <v>46318</v>
      </c>
      <c r="D115" s="441">
        <v>0</v>
      </c>
      <c r="E115" s="444">
        <v>46318</v>
      </c>
      <c r="F115" s="441">
        <v>0.28263888888888888</v>
      </c>
      <c r="G115" s="442">
        <v>30.52</v>
      </c>
      <c r="H115" s="439" t="s">
        <v>501</v>
      </c>
      <c r="I115" s="442">
        <v>0</v>
      </c>
      <c r="J115" s="442">
        <v>0</v>
      </c>
      <c r="K115" s="442">
        <v>6</v>
      </c>
      <c r="L115" s="442">
        <v>47</v>
      </c>
      <c r="M115" s="443">
        <v>6.7830000000000004</v>
      </c>
    </row>
    <row r="116" spans="1:13">
      <c r="A116" s="438" t="s">
        <v>214</v>
      </c>
      <c r="B116" s="439" t="s">
        <v>435</v>
      </c>
      <c r="C116" s="440">
        <v>46318</v>
      </c>
      <c r="D116" s="441">
        <v>0.95763888888888893</v>
      </c>
      <c r="E116" s="442"/>
      <c r="F116" s="442"/>
      <c r="G116" s="442">
        <v>133.74</v>
      </c>
      <c r="H116" s="439" t="s">
        <v>501</v>
      </c>
      <c r="I116" s="442">
        <v>0</v>
      </c>
      <c r="J116" s="442">
        <v>0</v>
      </c>
      <c r="K116" s="442">
        <v>9</v>
      </c>
      <c r="L116" s="442">
        <v>56.466667000000001</v>
      </c>
      <c r="M116" s="443">
        <v>9.9410000000000007</v>
      </c>
    </row>
    <row r="117" spans="1:13">
      <c r="A117" s="438" t="s">
        <v>214</v>
      </c>
      <c r="B117" s="439" t="s">
        <v>435</v>
      </c>
      <c r="C117" s="440">
        <v>46318</v>
      </c>
      <c r="D117" s="441">
        <v>0.91597222222222219</v>
      </c>
      <c r="E117" s="444">
        <v>46318</v>
      </c>
      <c r="F117" s="441">
        <v>0.95694444444444449</v>
      </c>
      <c r="G117" s="442">
        <v>133.66999999999999</v>
      </c>
      <c r="H117" s="439" t="s">
        <v>501</v>
      </c>
      <c r="I117" s="442">
        <v>0</v>
      </c>
      <c r="J117" s="442">
        <v>0</v>
      </c>
      <c r="K117" s="442">
        <v>0</v>
      </c>
      <c r="L117" s="442">
        <v>59</v>
      </c>
      <c r="M117" s="443">
        <v>0.98299999999999998</v>
      </c>
    </row>
    <row r="118" spans="1:13">
      <c r="A118" s="438" t="s">
        <v>214</v>
      </c>
      <c r="B118" s="439" t="s">
        <v>435</v>
      </c>
      <c r="C118" s="440">
        <v>46318</v>
      </c>
      <c r="D118" s="441">
        <v>0.87430555555555556</v>
      </c>
      <c r="E118" s="444">
        <v>46318</v>
      </c>
      <c r="F118" s="441">
        <v>0.91527777777777775</v>
      </c>
      <c r="G118" s="442">
        <v>133.94999999999999</v>
      </c>
      <c r="H118" s="439" t="s">
        <v>501</v>
      </c>
      <c r="I118" s="442">
        <v>0</v>
      </c>
      <c r="J118" s="442">
        <v>0</v>
      </c>
      <c r="K118" s="442">
        <v>0</v>
      </c>
      <c r="L118" s="442">
        <v>59</v>
      </c>
      <c r="M118" s="443">
        <v>0.98299999999999998</v>
      </c>
    </row>
    <row r="119" spans="1:13">
      <c r="A119" s="438" t="s">
        <v>214</v>
      </c>
      <c r="B119" s="439" t="s">
        <v>435</v>
      </c>
      <c r="C119" s="440">
        <v>46318</v>
      </c>
      <c r="D119" s="441">
        <v>0.86388888888888893</v>
      </c>
      <c r="E119" s="444">
        <v>46318</v>
      </c>
      <c r="F119" s="441">
        <v>0.87361111111111112</v>
      </c>
      <c r="G119" s="442">
        <v>133.6</v>
      </c>
      <c r="H119" s="439" t="s">
        <v>501</v>
      </c>
      <c r="I119" s="442">
        <v>0</v>
      </c>
      <c r="J119" s="442">
        <v>0</v>
      </c>
      <c r="K119" s="442">
        <v>0</v>
      </c>
      <c r="L119" s="442">
        <v>14</v>
      </c>
      <c r="M119" s="443">
        <v>0.23300000000000001</v>
      </c>
    </row>
    <row r="120" spans="1:13">
      <c r="A120" s="438" t="s">
        <v>214</v>
      </c>
      <c r="B120" s="439" t="s">
        <v>435</v>
      </c>
      <c r="C120" s="440">
        <v>46318</v>
      </c>
      <c r="D120" s="441">
        <v>0.85347222222222219</v>
      </c>
      <c r="E120" s="444">
        <v>46318</v>
      </c>
      <c r="F120" s="441">
        <v>0.86319444444444449</v>
      </c>
      <c r="G120" s="442">
        <v>133.74</v>
      </c>
      <c r="H120" s="439" t="s">
        <v>501</v>
      </c>
      <c r="I120" s="442">
        <v>0</v>
      </c>
      <c r="J120" s="442">
        <v>0</v>
      </c>
      <c r="K120" s="442">
        <v>0</v>
      </c>
      <c r="L120" s="442">
        <v>14</v>
      </c>
      <c r="M120" s="443">
        <v>0.23300000000000001</v>
      </c>
    </row>
    <row r="121" spans="1:13">
      <c r="A121" s="438" t="s">
        <v>214</v>
      </c>
      <c r="B121" s="439" t="s">
        <v>435</v>
      </c>
      <c r="C121" s="440">
        <v>46318</v>
      </c>
      <c r="D121" s="441">
        <v>0.84305555555555556</v>
      </c>
      <c r="E121" s="444">
        <v>46318</v>
      </c>
      <c r="F121" s="441">
        <v>0.85277777777777775</v>
      </c>
      <c r="G121" s="442">
        <v>133.6</v>
      </c>
      <c r="H121" s="439" t="s">
        <v>501</v>
      </c>
      <c r="I121" s="442">
        <v>0</v>
      </c>
      <c r="J121" s="442">
        <v>0</v>
      </c>
      <c r="K121" s="442">
        <v>0</v>
      </c>
      <c r="L121" s="442">
        <v>14</v>
      </c>
      <c r="M121" s="443">
        <v>0.23300000000000001</v>
      </c>
    </row>
    <row r="122" spans="1:13">
      <c r="A122" s="438" t="s">
        <v>214</v>
      </c>
      <c r="B122" s="439" t="s">
        <v>435</v>
      </c>
      <c r="C122" s="440">
        <v>46318</v>
      </c>
      <c r="D122" s="441">
        <v>0.83263888888888893</v>
      </c>
      <c r="E122" s="444">
        <v>46318</v>
      </c>
      <c r="F122" s="441">
        <v>0.84236111111111112</v>
      </c>
      <c r="G122" s="442">
        <v>133.46</v>
      </c>
      <c r="H122" s="439" t="s">
        <v>501</v>
      </c>
      <c r="I122" s="442">
        <v>0</v>
      </c>
      <c r="J122" s="442">
        <v>0</v>
      </c>
      <c r="K122" s="442">
        <v>0</v>
      </c>
      <c r="L122" s="442">
        <v>14</v>
      </c>
      <c r="M122" s="443">
        <v>0.23300000000000001</v>
      </c>
    </row>
    <row r="123" spans="1:13">
      <c r="A123" s="438" t="s">
        <v>214</v>
      </c>
      <c r="B123" s="439" t="s">
        <v>435</v>
      </c>
      <c r="C123" s="440">
        <v>46318</v>
      </c>
      <c r="D123" s="441">
        <v>0.82222222222222219</v>
      </c>
      <c r="E123" s="444">
        <v>46318</v>
      </c>
      <c r="F123" s="441">
        <v>0.83194444444444449</v>
      </c>
      <c r="G123" s="442">
        <v>133.66999999999999</v>
      </c>
      <c r="H123" s="439" t="s">
        <v>501</v>
      </c>
      <c r="I123" s="442">
        <v>0</v>
      </c>
      <c r="J123" s="442">
        <v>0</v>
      </c>
      <c r="K123" s="442">
        <v>0</v>
      </c>
      <c r="L123" s="442">
        <v>14</v>
      </c>
      <c r="M123" s="443">
        <v>0.23300000000000001</v>
      </c>
    </row>
    <row r="124" spans="1:13">
      <c r="A124" s="438" t="s">
        <v>214</v>
      </c>
      <c r="B124" s="439" t="s">
        <v>435</v>
      </c>
      <c r="C124" s="440">
        <v>46318</v>
      </c>
      <c r="D124" s="441">
        <v>0.81180555555555556</v>
      </c>
      <c r="E124" s="444">
        <v>46318</v>
      </c>
      <c r="F124" s="441">
        <v>0.82152777777777775</v>
      </c>
      <c r="G124" s="442">
        <v>133.46</v>
      </c>
      <c r="H124" s="439" t="s">
        <v>501</v>
      </c>
      <c r="I124" s="442">
        <v>0</v>
      </c>
      <c r="J124" s="442">
        <v>0</v>
      </c>
      <c r="K124" s="442">
        <v>0</v>
      </c>
      <c r="L124" s="442">
        <v>14</v>
      </c>
      <c r="M124" s="443">
        <v>0.23300000000000001</v>
      </c>
    </row>
    <row r="125" spans="1:13">
      <c r="A125" s="438" t="s">
        <v>214</v>
      </c>
      <c r="B125" s="439" t="s">
        <v>435</v>
      </c>
      <c r="C125" s="440">
        <v>46318</v>
      </c>
      <c r="D125" s="441">
        <v>0.80138888888888893</v>
      </c>
      <c r="E125" s="444">
        <v>46318</v>
      </c>
      <c r="F125" s="441">
        <v>0.81111111111111112</v>
      </c>
      <c r="G125" s="442">
        <v>133.18</v>
      </c>
      <c r="H125" s="439" t="s">
        <v>501</v>
      </c>
      <c r="I125" s="442">
        <v>0</v>
      </c>
      <c r="J125" s="442">
        <v>0</v>
      </c>
      <c r="K125" s="442">
        <v>0</v>
      </c>
      <c r="L125" s="442">
        <v>14</v>
      </c>
      <c r="M125" s="443">
        <v>0.23300000000000001</v>
      </c>
    </row>
    <row r="126" spans="1:13">
      <c r="A126" s="438" t="s">
        <v>214</v>
      </c>
      <c r="B126" s="439" t="s">
        <v>435</v>
      </c>
      <c r="C126" s="440">
        <v>46318</v>
      </c>
      <c r="D126" s="441">
        <v>0.79097222222222219</v>
      </c>
      <c r="E126" s="444">
        <v>46318</v>
      </c>
      <c r="F126" s="441">
        <v>0.80069444444444449</v>
      </c>
      <c r="G126" s="442">
        <v>133.66999999999999</v>
      </c>
      <c r="H126" s="439" t="s">
        <v>501</v>
      </c>
      <c r="I126" s="442">
        <v>0</v>
      </c>
      <c r="J126" s="442">
        <v>0</v>
      </c>
      <c r="K126" s="442">
        <v>0</v>
      </c>
      <c r="L126" s="442">
        <v>14</v>
      </c>
      <c r="M126" s="443">
        <v>0.23300000000000001</v>
      </c>
    </row>
    <row r="127" spans="1:13">
      <c r="A127" s="438" t="s">
        <v>214</v>
      </c>
      <c r="B127" s="439" t="s">
        <v>435</v>
      </c>
      <c r="C127" s="440">
        <v>46318</v>
      </c>
      <c r="D127" s="441">
        <v>0.78055555555555556</v>
      </c>
      <c r="E127" s="444">
        <v>46318</v>
      </c>
      <c r="F127" s="441">
        <v>0.79027777777777775</v>
      </c>
      <c r="G127" s="442">
        <v>133.88</v>
      </c>
      <c r="H127" s="439" t="s">
        <v>501</v>
      </c>
      <c r="I127" s="442">
        <v>0</v>
      </c>
      <c r="J127" s="442">
        <v>0</v>
      </c>
      <c r="K127" s="442">
        <v>0</v>
      </c>
      <c r="L127" s="442">
        <v>14</v>
      </c>
      <c r="M127" s="443">
        <v>0.23300000000000001</v>
      </c>
    </row>
    <row r="128" spans="1:13">
      <c r="A128" s="438" t="s">
        <v>214</v>
      </c>
      <c r="B128" s="439" t="s">
        <v>435</v>
      </c>
      <c r="C128" s="440">
        <v>46318</v>
      </c>
      <c r="D128" s="441">
        <v>0.77013888888888893</v>
      </c>
      <c r="E128" s="444">
        <v>46318</v>
      </c>
      <c r="F128" s="441">
        <v>0.77986111111111112</v>
      </c>
      <c r="G128" s="442">
        <v>133.6</v>
      </c>
      <c r="H128" s="439" t="s">
        <v>501</v>
      </c>
      <c r="I128" s="442">
        <v>0</v>
      </c>
      <c r="J128" s="442">
        <v>0</v>
      </c>
      <c r="K128" s="442">
        <v>0</v>
      </c>
      <c r="L128" s="442">
        <v>14</v>
      </c>
      <c r="M128" s="443">
        <v>0.23300000000000001</v>
      </c>
    </row>
    <row r="129" spans="1:13">
      <c r="A129" s="438" t="s">
        <v>214</v>
      </c>
      <c r="B129" s="439" t="s">
        <v>435</v>
      </c>
      <c r="C129" s="440">
        <v>46318</v>
      </c>
      <c r="D129" s="441">
        <v>0.75972222222222219</v>
      </c>
      <c r="E129" s="444">
        <v>46318</v>
      </c>
      <c r="F129" s="441">
        <v>0.76944444444444449</v>
      </c>
      <c r="G129" s="442">
        <v>133.94999999999999</v>
      </c>
      <c r="H129" s="439" t="s">
        <v>501</v>
      </c>
      <c r="I129" s="442">
        <v>0</v>
      </c>
      <c r="J129" s="442">
        <v>0</v>
      </c>
      <c r="K129" s="442">
        <v>0</v>
      </c>
      <c r="L129" s="442">
        <v>14</v>
      </c>
      <c r="M129" s="443">
        <v>0.23300000000000001</v>
      </c>
    </row>
    <row r="130" spans="1:13">
      <c r="A130" s="438" t="s">
        <v>214</v>
      </c>
      <c r="B130" s="439" t="s">
        <v>435</v>
      </c>
      <c r="C130" s="440">
        <v>46318</v>
      </c>
      <c r="D130" s="441">
        <v>0.74930555555555556</v>
      </c>
      <c r="E130" s="444">
        <v>46318</v>
      </c>
      <c r="F130" s="441">
        <v>0.75902777777777775</v>
      </c>
      <c r="G130" s="442">
        <v>134.16</v>
      </c>
      <c r="H130" s="439" t="s">
        <v>501</v>
      </c>
      <c r="I130" s="442">
        <v>0</v>
      </c>
      <c r="J130" s="442">
        <v>0</v>
      </c>
      <c r="K130" s="442">
        <v>0</v>
      </c>
      <c r="L130" s="442">
        <v>14</v>
      </c>
      <c r="M130" s="443">
        <v>0.23300000000000001</v>
      </c>
    </row>
    <row r="131" spans="1:13">
      <c r="A131" s="438" t="s">
        <v>214</v>
      </c>
      <c r="B131" s="439" t="s">
        <v>435</v>
      </c>
      <c r="C131" s="440">
        <v>46318</v>
      </c>
      <c r="D131" s="441">
        <v>0.70763888888888893</v>
      </c>
      <c r="E131" s="444">
        <v>46318</v>
      </c>
      <c r="F131" s="441">
        <v>0.74861111111111112</v>
      </c>
      <c r="G131" s="442">
        <v>134.09</v>
      </c>
      <c r="H131" s="439" t="s">
        <v>501</v>
      </c>
      <c r="I131" s="442">
        <v>0</v>
      </c>
      <c r="J131" s="442">
        <v>0</v>
      </c>
      <c r="K131" s="442">
        <v>0</v>
      </c>
      <c r="L131" s="442">
        <v>59</v>
      </c>
      <c r="M131" s="443">
        <v>0.98299999999999998</v>
      </c>
    </row>
    <row r="132" spans="1:13">
      <c r="A132" s="438" t="s">
        <v>214</v>
      </c>
      <c r="B132" s="439" t="s">
        <v>435</v>
      </c>
      <c r="C132" s="440">
        <v>46318</v>
      </c>
      <c r="D132" s="441">
        <v>0.66597222222222219</v>
      </c>
      <c r="E132" s="444">
        <v>46318</v>
      </c>
      <c r="F132" s="441">
        <v>0.70694444444444449</v>
      </c>
      <c r="G132" s="442">
        <v>133.66999999999999</v>
      </c>
      <c r="H132" s="439" t="s">
        <v>501</v>
      </c>
      <c r="I132" s="442">
        <v>0</v>
      </c>
      <c r="J132" s="442">
        <v>0</v>
      </c>
      <c r="K132" s="442">
        <v>0</v>
      </c>
      <c r="L132" s="442">
        <v>59</v>
      </c>
      <c r="M132" s="443">
        <v>0.98299999999999998</v>
      </c>
    </row>
    <row r="133" spans="1:13">
      <c r="A133" s="438" t="s">
        <v>214</v>
      </c>
      <c r="B133" s="439" t="s">
        <v>435</v>
      </c>
      <c r="C133" s="440">
        <v>46318</v>
      </c>
      <c r="D133" s="441">
        <v>0.66180555555555554</v>
      </c>
      <c r="E133" s="444">
        <v>46318</v>
      </c>
      <c r="F133" s="441">
        <v>0.66527777777777775</v>
      </c>
      <c r="G133" s="442">
        <v>133</v>
      </c>
      <c r="H133" s="439" t="s">
        <v>502</v>
      </c>
      <c r="I133" s="442">
        <v>0</v>
      </c>
      <c r="J133" s="442">
        <v>0</v>
      </c>
      <c r="K133" s="442">
        <v>0</v>
      </c>
      <c r="L133" s="442">
        <v>5</v>
      </c>
      <c r="M133" s="443">
        <v>8.3000000000000004E-2</v>
      </c>
    </row>
    <row r="134" spans="1:13">
      <c r="A134" s="438" t="s">
        <v>214</v>
      </c>
      <c r="B134" s="439" t="s">
        <v>435</v>
      </c>
      <c r="C134" s="440">
        <v>46317</v>
      </c>
      <c r="D134" s="441">
        <v>0.99930555555555556</v>
      </c>
      <c r="E134" s="444">
        <v>46318</v>
      </c>
      <c r="F134" s="441">
        <v>0.66111111111111109</v>
      </c>
      <c r="G134" s="442">
        <v>133.38999999999999</v>
      </c>
      <c r="H134" s="439" t="s">
        <v>501</v>
      </c>
      <c r="I134" s="442">
        <v>0</v>
      </c>
      <c r="J134" s="442">
        <v>0</v>
      </c>
      <c r="K134" s="442">
        <v>15</v>
      </c>
      <c r="L134" s="442">
        <v>53</v>
      </c>
      <c r="M134" s="443">
        <v>15.882999999999999</v>
      </c>
    </row>
    <row r="135" spans="1:13" ht="25.5">
      <c r="A135" s="438" t="s">
        <v>215</v>
      </c>
      <c r="B135" s="439" t="s">
        <v>378</v>
      </c>
      <c r="C135" s="440">
        <v>46312</v>
      </c>
      <c r="D135" s="441">
        <v>0</v>
      </c>
      <c r="E135" s="442"/>
      <c r="F135" s="442"/>
      <c r="G135" s="442"/>
      <c r="H135" s="439" t="s">
        <v>503</v>
      </c>
      <c r="I135" s="442">
        <v>0</v>
      </c>
      <c r="J135" s="442">
        <v>7</v>
      </c>
      <c r="K135" s="442">
        <v>8</v>
      </c>
      <c r="L135" s="442">
        <v>55.466667000000001</v>
      </c>
      <c r="M135" s="443">
        <v>176.92400000000001</v>
      </c>
    </row>
    <row r="136" spans="1:13">
      <c r="A136" s="438" t="s">
        <v>504</v>
      </c>
      <c r="B136" s="439" t="s">
        <v>376</v>
      </c>
      <c r="C136" s="440">
        <v>45953</v>
      </c>
      <c r="D136" s="441">
        <v>0.5</v>
      </c>
      <c r="E136" s="442"/>
      <c r="F136" s="442"/>
      <c r="G136" s="442"/>
      <c r="H136" s="439" t="s">
        <v>387</v>
      </c>
      <c r="I136" s="442">
        <v>0</v>
      </c>
      <c r="J136" s="442">
        <v>365</v>
      </c>
      <c r="K136" s="442">
        <v>20</v>
      </c>
      <c r="L136" s="442">
        <v>55.466667000000001</v>
      </c>
      <c r="M136" s="443">
        <v>8780.9240000000009</v>
      </c>
    </row>
    <row r="137" spans="1:13" ht="25.5">
      <c r="A137" s="438" t="s">
        <v>505</v>
      </c>
      <c r="B137" s="439" t="s">
        <v>376</v>
      </c>
      <c r="C137" s="440">
        <v>45115</v>
      </c>
      <c r="D137" s="441">
        <v>0.39791666666666664</v>
      </c>
      <c r="E137" s="442"/>
      <c r="F137" s="442"/>
      <c r="G137" s="442"/>
      <c r="H137" s="439" t="s">
        <v>506</v>
      </c>
      <c r="I137" s="442">
        <v>0</v>
      </c>
      <c r="J137" s="442">
        <v>1203</v>
      </c>
      <c r="K137" s="442">
        <v>23</v>
      </c>
      <c r="L137" s="442">
        <v>22.466667000000001</v>
      </c>
      <c r="M137" s="443">
        <v>28895.374</v>
      </c>
    </row>
    <row r="138" spans="1:13" ht="25.5">
      <c r="A138" s="438" t="s">
        <v>220</v>
      </c>
      <c r="B138" s="439" t="s">
        <v>376</v>
      </c>
      <c r="C138" s="440">
        <v>39943</v>
      </c>
      <c r="D138" s="441">
        <v>0.74861111111111112</v>
      </c>
      <c r="E138" s="442"/>
      <c r="F138" s="442"/>
      <c r="G138" s="442"/>
      <c r="H138" s="439" t="s">
        <v>507</v>
      </c>
      <c r="I138" s="442">
        <v>0</v>
      </c>
      <c r="J138" s="442">
        <v>6375</v>
      </c>
      <c r="K138" s="442">
        <v>14</v>
      </c>
      <c r="L138" s="442">
        <v>57.466667000000001</v>
      </c>
      <c r="M138" s="443">
        <v>153014.95699999999</v>
      </c>
    </row>
    <row r="139" spans="1:13" ht="25.5">
      <c r="A139" s="438" t="s">
        <v>221</v>
      </c>
      <c r="B139" s="439" t="s">
        <v>376</v>
      </c>
      <c r="C139" s="440">
        <v>42048</v>
      </c>
      <c r="D139" s="441">
        <v>0.58958333333333335</v>
      </c>
      <c r="E139" s="442"/>
      <c r="F139" s="442"/>
      <c r="G139" s="442"/>
      <c r="H139" s="439" t="s">
        <v>508</v>
      </c>
      <c r="I139" s="442">
        <v>0</v>
      </c>
      <c r="J139" s="442">
        <v>4270</v>
      </c>
      <c r="K139" s="442">
        <v>18</v>
      </c>
      <c r="L139" s="442">
        <v>46.466667000000001</v>
      </c>
      <c r="M139" s="443">
        <v>102498.774</v>
      </c>
    </row>
    <row r="140" spans="1:13" ht="38.25">
      <c r="A140" s="438" t="s">
        <v>509</v>
      </c>
      <c r="B140" s="439" t="s">
        <v>376</v>
      </c>
      <c r="C140" s="440">
        <v>38531</v>
      </c>
      <c r="D140" s="441">
        <v>0.85</v>
      </c>
      <c r="E140" s="442"/>
      <c r="F140" s="442"/>
      <c r="G140" s="442"/>
      <c r="H140" s="439" t="s">
        <v>510</v>
      </c>
      <c r="I140" s="442">
        <v>0</v>
      </c>
      <c r="J140" s="442">
        <v>7787</v>
      </c>
      <c r="K140" s="442">
        <v>12</v>
      </c>
      <c r="L140" s="442">
        <v>31.466667000000001</v>
      </c>
      <c r="M140" s="443">
        <v>186900.524</v>
      </c>
    </row>
    <row r="141" spans="1:13">
      <c r="A141" s="438" t="s">
        <v>511</v>
      </c>
      <c r="B141" s="439" t="s">
        <v>376</v>
      </c>
      <c r="C141" s="440">
        <v>38353</v>
      </c>
      <c r="D141" s="441">
        <v>0</v>
      </c>
      <c r="E141" s="442"/>
      <c r="F141" s="442"/>
      <c r="G141" s="442"/>
      <c r="H141" s="439" t="s">
        <v>512</v>
      </c>
      <c r="I141" s="442">
        <v>0</v>
      </c>
      <c r="J141" s="442">
        <v>7966</v>
      </c>
      <c r="K141" s="442">
        <v>8</v>
      </c>
      <c r="L141" s="442">
        <v>55.466667000000001</v>
      </c>
      <c r="M141" s="443">
        <v>191192.924</v>
      </c>
    </row>
    <row r="142" spans="1:13" ht="38.25">
      <c r="A142" s="438" t="s">
        <v>513</v>
      </c>
      <c r="B142" s="439" t="s">
        <v>376</v>
      </c>
      <c r="C142" s="440">
        <v>46143</v>
      </c>
      <c r="D142" s="441">
        <v>0</v>
      </c>
      <c r="E142" s="442"/>
      <c r="F142" s="442"/>
      <c r="G142" s="442"/>
      <c r="H142" s="439" t="s">
        <v>514</v>
      </c>
      <c r="I142" s="442">
        <v>0</v>
      </c>
      <c r="J142" s="442">
        <v>176</v>
      </c>
      <c r="K142" s="442">
        <v>8</v>
      </c>
      <c r="L142" s="442">
        <v>55.466667000000001</v>
      </c>
      <c r="M142" s="443">
        <v>4232.924</v>
      </c>
    </row>
    <row r="143" spans="1:13" ht="38.25">
      <c r="A143" s="438" t="s">
        <v>515</v>
      </c>
      <c r="B143" s="439" t="s">
        <v>376</v>
      </c>
      <c r="C143" s="440">
        <v>46143</v>
      </c>
      <c r="D143" s="441">
        <v>0</v>
      </c>
      <c r="E143" s="442"/>
      <c r="F143" s="442"/>
      <c r="G143" s="442"/>
      <c r="H143" s="439" t="s">
        <v>514</v>
      </c>
      <c r="I143" s="442">
        <v>0</v>
      </c>
      <c r="J143" s="442">
        <v>176</v>
      </c>
      <c r="K143" s="442">
        <v>8</v>
      </c>
      <c r="L143" s="442">
        <v>55.466667000000001</v>
      </c>
      <c r="M143" s="443">
        <v>4232.924</v>
      </c>
    </row>
    <row r="144" spans="1:13">
      <c r="A144" s="438" t="s">
        <v>516</v>
      </c>
      <c r="B144" s="439" t="s">
        <v>435</v>
      </c>
      <c r="C144" s="440">
        <v>46318</v>
      </c>
      <c r="D144" s="441">
        <v>0.70833333333333337</v>
      </c>
      <c r="E144" s="444">
        <v>46318</v>
      </c>
      <c r="F144" s="441">
        <v>0.74930555555555556</v>
      </c>
      <c r="G144" s="442">
        <v>16.16</v>
      </c>
      <c r="H144" s="439" t="s">
        <v>501</v>
      </c>
      <c r="I144" s="442">
        <v>0</v>
      </c>
      <c r="J144" s="442">
        <v>0</v>
      </c>
      <c r="K144" s="442">
        <v>0</v>
      </c>
      <c r="L144" s="442">
        <v>59</v>
      </c>
      <c r="M144" s="443">
        <v>0.98299999999999998</v>
      </c>
    </row>
    <row r="145" spans="1:13">
      <c r="A145" s="438" t="s">
        <v>516</v>
      </c>
      <c r="B145" s="439" t="s">
        <v>435</v>
      </c>
      <c r="C145" s="440">
        <v>46318</v>
      </c>
      <c r="D145" s="441">
        <v>0.66666666666666663</v>
      </c>
      <c r="E145" s="444">
        <v>46318</v>
      </c>
      <c r="F145" s="441">
        <v>0.70763888888888893</v>
      </c>
      <c r="G145" s="442">
        <v>15.9</v>
      </c>
      <c r="H145" s="439" t="s">
        <v>501</v>
      </c>
      <c r="I145" s="442">
        <v>0</v>
      </c>
      <c r="J145" s="442">
        <v>0</v>
      </c>
      <c r="K145" s="442">
        <v>0</v>
      </c>
      <c r="L145" s="442">
        <v>59</v>
      </c>
      <c r="M145" s="443">
        <v>0.98299999999999998</v>
      </c>
    </row>
    <row r="146" spans="1:13" ht="25.5">
      <c r="A146" s="438" t="s">
        <v>228</v>
      </c>
      <c r="B146" s="439" t="s">
        <v>378</v>
      </c>
      <c r="C146" s="440">
        <v>46316</v>
      </c>
      <c r="D146" s="441">
        <v>6.9444444444444447E-4</v>
      </c>
      <c r="E146" s="444">
        <v>46318</v>
      </c>
      <c r="F146" s="441">
        <v>0.70277777777777772</v>
      </c>
      <c r="G146" s="442"/>
      <c r="H146" s="439" t="s">
        <v>517</v>
      </c>
      <c r="I146" s="442">
        <v>0</v>
      </c>
      <c r="J146" s="442">
        <v>2</v>
      </c>
      <c r="K146" s="442">
        <v>16</v>
      </c>
      <c r="L146" s="442">
        <v>51</v>
      </c>
      <c r="M146" s="443">
        <v>64.849000000000004</v>
      </c>
    </row>
    <row r="147" spans="1:13">
      <c r="A147" s="438" t="s">
        <v>188</v>
      </c>
      <c r="B147" s="439" t="s">
        <v>376</v>
      </c>
      <c r="C147" s="440">
        <v>41421</v>
      </c>
      <c r="D147" s="441">
        <v>0.38958333333333334</v>
      </c>
      <c r="E147" s="442"/>
      <c r="F147" s="442"/>
      <c r="G147" s="442"/>
      <c r="H147" s="439" t="s">
        <v>518</v>
      </c>
      <c r="I147" s="442">
        <v>0</v>
      </c>
      <c r="J147" s="442">
        <v>4897</v>
      </c>
      <c r="K147" s="442">
        <v>23</v>
      </c>
      <c r="L147" s="442">
        <v>34.466667000000001</v>
      </c>
      <c r="M147" s="443">
        <v>117551.57399999999</v>
      </c>
    </row>
    <row r="148" spans="1:13">
      <c r="A148" s="438" t="s">
        <v>519</v>
      </c>
      <c r="B148" s="439" t="s">
        <v>376</v>
      </c>
      <c r="C148" s="440">
        <v>39334</v>
      </c>
      <c r="D148" s="441">
        <v>0.1388888888888889</v>
      </c>
      <c r="E148" s="442"/>
      <c r="F148" s="442"/>
      <c r="G148" s="442"/>
      <c r="H148" s="439" t="s">
        <v>520</v>
      </c>
      <c r="I148" s="442">
        <v>0</v>
      </c>
      <c r="J148" s="442">
        <v>6985</v>
      </c>
      <c r="K148" s="442">
        <v>5</v>
      </c>
      <c r="L148" s="442">
        <v>35.466667000000001</v>
      </c>
      <c r="M148" s="443">
        <v>167645.59099999999</v>
      </c>
    </row>
    <row r="149" spans="1:13">
      <c r="A149" s="438" t="s">
        <v>183</v>
      </c>
      <c r="B149" s="439" t="s">
        <v>376</v>
      </c>
      <c r="C149" s="440">
        <v>46161</v>
      </c>
      <c r="D149" s="441">
        <v>0</v>
      </c>
      <c r="E149" s="442"/>
      <c r="F149" s="442"/>
      <c r="G149" s="442"/>
      <c r="H149" s="439" t="s">
        <v>521</v>
      </c>
      <c r="I149" s="442">
        <v>0</v>
      </c>
      <c r="J149" s="442">
        <v>158</v>
      </c>
      <c r="K149" s="442">
        <v>8</v>
      </c>
      <c r="L149" s="442">
        <v>55.466667000000001</v>
      </c>
      <c r="M149" s="443">
        <v>3800.924</v>
      </c>
    </row>
    <row r="150" spans="1:13">
      <c r="A150" s="438" t="s">
        <v>184</v>
      </c>
      <c r="B150" s="439" t="s">
        <v>376</v>
      </c>
      <c r="C150" s="440">
        <v>46267</v>
      </c>
      <c r="D150" s="441">
        <v>0.54166666666666663</v>
      </c>
      <c r="E150" s="442"/>
      <c r="F150" s="442"/>
      <c r="G150" s="442"/>
      <c r="H150" s="439" t="s">
        <v>522</v>
      </c>
      <c r="I150" s="442">
        <v>0</v>
      </c>
      <c r="J150" s="442">
        <v>51</v>
      </c>
      <c r="K150" s="442">
        <v>19</v>
      </c>
      <c r="L150" s="442">
        <v>55.466667000000001</v>
      </c>
      <c r="M150" s="443">
        <v>1243.924</v>
      </c>
    </row>
    <row r="151" spans="1:13" ht="25.5">
      <c r="A151" s="438" t="s">
        <v>186</v>
      </c>
      <c r="B151" s="439" t="s">
        <v>378</v>
      </c>
      <c r="C151" s="440">
        <v>46309</v>
      </c>
      <c r="D151" s="441">
        <v>6.9444444444444447E-4</v>
      </c>
      <c r="E151" s="442"/>
      <c r="F151" s="442"/>
      <c r="G151" s="442"/>
      <c r="H151" s="439" t="s">
        <v>523</v>
      </c>
      <c r="I151" s="442">
        <v>0</v>
      </c>
      <c r="J151" s="442">
        <v>10</v>
      </c>
      <c r="K151" s="442">
        <v>8</v>
      </c>
      <c r="L151" s="442">
        <v>54.466667000000001</v>
      </c>
      <c r="M151" s="443">
        <v>248.90700000000001</v>
      </c>
    </row>
    <row r="152" spans="1:13">
      <c r="A152" s="438" t="s">
        <v>524</v>
      </c>
      <c r="B152" s="439" t="s">
        <v>376</v>
      </c>
      <c r="C152" s="440">
        <v>44142</v>
      </c>
      <c r="D152" s="441">
        <v>0.75069444444444444</v>
      </c>
      <c r="E152" s="442"/>
      <c r="F152" s="442"/>
      <c r="G152" s="442"/>
      <c r="H152" s="439" t="s">
        <v>525</v>
      </c>
      <c r="I152" s="442">
        <v>0</v>
      </c>
      <c r="J152" s="442">
        <v>2176</v>
      </c>
      <c r="K152" s="442">
        <v>14</v>
      </c>
      <c r="L152" s="442">
        <v>54.466667000000001</v>
      </c>
      <c r="M152" s="443">
        <v>52238.906999999999</v>
      </c>
    </row>
    <row r="153" spans="1:13">
      <c r="A153" s="438" t="s">
        <v>526</v>
      </c>
      <c r="B153" s="439" t="s">
        <v>376</v>
      </c>
      <c r="C153" s="440">
        <v>46161</v>
      </c>
      <c r="D153" s="441">
        <v>0.54166666666666663</v>
      </c>
      <c r="E153" s="442"/>
      <c r="F153" s="442"/>
      <c r="G153" s="442"/>
      <c r="H153" s="439" t="s">
        <v>387</v>
      </c>
      <c r="I153" s="442">
        <v>0</v>
      </c>
      <c r="J153" s="442">
        <v>157</v>
      </c>
      <c r="K153" s="442">
        <v>19</v>
      </c>
      <c r="L153" s="442">
        <v>55.466667000000001</v>
      </c>
      <c r="M153" s="443">
        <v>3787.924</v>
      </c>
    </row>
    <row r="154" spans="1:13" ht="76.5">
      <c r="A154" s="438" t="s">
        <v>527</v>
      </c>
      <c r="B154" s="439" t="s">
        <v>376</v>
      </c>
      <c r="C154" s="440">
        <v>46318</v>
      </c>
      <c r="D154" s="441">
        <v>0.61111111111111116</v>
      </c>
      <c r="E154" s="444">
        <v>46318</v>
      </c>
      <c r="F154" s="441">
        <v>0.625</v>
      </c>
      <c r="G154" s="442"/>
      <c r="H154" s="439" t="s">
        <v>528</v>
      </c>
      <c r="I154" s="442">
        <v>0</v>
      </c>
      <c r="J154" s="442">
        <v>0</v>
      </c>
      <c r="K154" s="442">
        <v>0</v>
      </c>
      <c r="L154" s="442">
        <v>20</v>
      </c>
      <c r="M154" s="443">
        <v>0.33300000000000002</v>
      </c>
    </row>
    <row r="155" spans="1:13">
      <c r="A155" s="438" t="s">
        <v>529</v>
      </c>
      <c r="B155" s="439" t="s">
        <v>376</v>
      </c>
      <c r="C155" s="440">
        <v>46318</v>
      </c>
      <c r="D155" s="441">
        <v>0.79027777777777775</v>
      </c>
      <c r="E155" s="444">
        <v>46318</v>
      </c>
      <c r="F155" s="441">
        <v>0.81388888888888888</v>
      </c>
      <c r="G155" s="442"/>
      <c r="H155" s="439" t="s">
        <v>530</v>
      </c>
      <c r="I155" s="442">
        <v>0</v>
      </c>
      <c r="J155" s="442">
        <v>0</v>
      </c>
      <c r="K155" s="442">
        <v>0</v>
      </c>
      <c r="L155" s="442">
        <v>34</v>
      </c>
      <c r="M155" s="443">
        <v>0.56599999999999995</v>
      </c>
    </row>
    <row r="156" spans="1:13" ht="25.5">
      <c r="A156" s="438" t="s">
        <v>531</v>
      </c>
      <c r="B156" s="439" t="s">
        <v>376</v>
      </c>
      <c r="C156" s="440">
        <v>46312</v>
      </c>
      <c r="D156" s="441">
        <v>0.96250000000000002</v>
      </c>
      <c r="E156" s="442"/>
      <c r="F156" s="442"/>
      <c r="G156" s="442"/>
      <c r="H156" s="439" t="s">
        <v>532</v>
      </c>
      <c r="I156" s="442">
        <v>0</v>
      </c>
      <c r="J156" s="442">
        <v>6</v>
      </c>
      <c r="K156" s="442">
        <v>9</v>
      </c>
      <c r="L156" s="442">
        <v>49.466667000000001</v>
      </c>
      <c r="M156" s="443">
        <v>153.82400000000001</v>
      </c>
    </row>
    <row r="157" spans="1:13" ht="25.5">
      <c r="A157" s="438" t="s">
        <v>533</v>
      </c>
      <c r="B157" s="439" t="s">
        <v>376</v>
      </c>
      <c r="C157" s="440">
        <v>45803</v>
      </c>
      <c r="D157" s="441">
        <v>0</v>
      </c>
      <c r="E157" s="442"/>
      <c r="F157" s="442"/>
      <c r="G157" s="442"/>
      <c r="H157" s="439" t="s">
        <v>534</v>
      </c>
      <c r="I157" s="442">
        <v>0</v>
      </c>
      <c r="J157" s="442">
        <v>516</v>
      </c>
      <c r="K157" s="442">
        <v>8</v>
      </c>
      <c r="L157" s="442">
        <v>55.466667000000001</v>
      </c>
      <c r="M157" s="443">
        <v>12392.924000000001</v>
      </c>
    </row>
    <row r="158" spans="1:13" ht="25.5">
      <c r="A158" s="438" t="s">
        <v>535</v>
      </c>
      <c r="B158" s="439" t="s">
        <v>376</v>
      </c>
      <c r="C158" s="440">
        <v>45803</v>
      </c>
      <c r="D158" s="441">
        <v>0</v>
      </c>
      <c r="E158" s="442"/>
      <c r="F158" s="442"/>
      <c r="G158" s="442"/>
      <c r="H158" s="439" t="s">
        <v>534</v>
      </c>
      <c r="I158" s="442">
        <v>0</v>
      </c>
      <c r="J158" s="442">
        <v>516</v>
      </c>
      <c r="K158" s="442">
        <v>8</v>
      </c>
      <c r="L158" s="442">
        <v>55.466667000000001</v>
      </c>
      <c r="M158" s="443">
        <v>12392.924000000001</v>
      </c>
    </row>
    <row r="159" spans="1:13">
      <c r="A159" s="438" t="s">
        <v>536</v>
      </c>
      <c r="B159" s="439" t="s">
        <v>376</v>
      </c>
      <c r="C159" s="440">
        <v>45398</v>
      </c>
      <c r="D159" s="441">
        <v>4.1666666666666666E-3</v>
      </c>
      <c r="E159" s="442"/>
      <c r="F159" s="442"/>
      <c r="G159" s="442"/>
      <c r="H159" s="439" t="s">
        <v>537</v>
      </c>
      <c r="I159" s="442">
        <v>0</v>
      </c>
      <c r="J159" s="442">
        <v>921</v>
      </c>
      <c r="K159" s="442">
        <v>8</v>
      </c>
      <c r="L159" s="442">
        <v>49.466667000000001</v>
      </c>
      <c r="M159" s="443">
        <v>22112.824000000001</v>
      </c>
    </row>
    <row r="160" spans="1:13" ht="25.5">
      <c r="A160" s="438" t="s">
        <v>207</v>
      </c>
      <c r="B160" s="439" t="s">
        <v>378</v>
      </c>
      <c r="C160" s="440">
        <v>46304</v>
      </c>
      <c r="D160" s="441">
        <v>6.9444444444444447E-4</v>
      </c>
      <c r="E160" s="442"/>
      <c r="F160" s="442"/>
      <c r="G160" s="442"/>
      <c r="H160" s="439" t="s">
        <v>538</v>
      </c>
      <c r="I160" s="442">
        <v>0</v>
      </c>
      <c r="J160" s="442">
        <v>15</v>
      </c>
      <c r="K160" s="442">
        <v>8</v>
      </c>
      <c r="L160" s="442">
        <v>54.466667000000001</v>
      </c>
      <c r="M160" s="443">
        <v>368.90699999999998</v>
      </c>
    </row>
    <row r="161" spans="1:13">
      <c r="A161" s="438" t="s">
        <v>177</v>
      </c>
      <c r="B161" s="439" t="s">
        <v>376</v>
      </c>
      <c r="C161" s="440">
        <v>42134</v>
      </c>
      <c r="D161" s="441">
        <v>0.63541666666666663</v>
      </c>
      <c r="E161" s="442"/>
      <c r="F161" s="442"/>
      <c r="G161" s="442"/>
      <c r="H161" s="439" t="s">
        <v>539</v>
      </c>
      <c r="I161" s="442">
        <v>0</v>
      </c>
      <c r="J161" s="442">
        <v>4184</v>
      </c>
      <c r="K161" s="442">
        <v>17</v>
      </c>
      <c r="L161" s="442">
        <v>40.466667000000001</v>
      </c>
      <c r="M161" s="443">
        <v>100433.674</v>
      </c>
    </row>
    <row r="162" spans="1:13" ht="25.5">
      <c r="A162" s="438" t="s">
        <v>178</v>
      </c>
      <c r="B162" s="439" t="s">
        <v>376</v>
      </c>
      <c r="C162" s="440">
        <v>46315</v>
      </c>
      <c r="D162" s="441">
        <v>0</v>
      </c>
      <c r="E162" s="442"/>
      <c r="F162" s="442"/>
      <c r="G162" s="442"/>
      <c r="H162" s="439" t="s">
        <v>540</v>
      </c>
      <c r="I162" s="442">
        <v>0</v>
      </c>
      <c r="J162" s="442">
        <v>4</v>
      </c>
      <c r="K162" s="442">
        <v>8</v>
      </c>
      <c r="L162" s="442">
        <v>55.466667000000001</v>
      </c>
      <c r="M162" s="443">
        <v>104.92400000000001</v>
      </c>
    </row>
    <row r="163" spans="1:13" ht="38.25">
      <c r="A163" s="438" t="s">
        <v>541</v>
      </c>
      <c r="B163" s="439" t="s">
        <v>376</v>
      </c>
      <c r="C163" s="440">
        <v>42341</v>
      </c>
      <c r="D163" s="441">
        <v>0.29166666666666669</v>
      </c>
      <c r="E163" s="442"/>
      <c r="F163" s="442"/>
      <c r="G163" s="442"/>
      <c r="H163" s="439" t="s">
        <v>542</v>
      </c>
      <c r="I163" s="442">
        <v>0</v>
      </c>
      <c r="J163" s="442">
        <v>3978</v>
      </c>
      <c r="K163" s="442">
        <v>1</v>
      </c>
      <c r="L163" s="442">
        <v>55.466667000000001</v>
      </c>
      <c r="M163" s="443">
        <v>95473.923999999999</v>
      </c>
    </row>
    <row r="164" spans="1:13" ht="25.5">
      <c r="A164" s="438" t="s">
        <v>543</v>
      </c>
      <c r="B164" s="439" t="s">
        <v>376</v>
      </c>
      <c r="C164" s="440">
        <v>46154</v>
      </c>
      <c r="D164" s="441">
        <v>0.3840277777777778</v>
      </c>
      <c r="E164" s="442"/>
      <c r="F164" s="442"/>
      <c r="G164" s="442"/>
      <c r="H164" s="439" t="s">
        <v>544</v>
      </c>
      <c r="I164" s="442">
        <v>0</v>
      </c>
      <c r="J164" s="442">
        <v>164</v>
      </c>
      <c r="K164" s="442">
        <v>23</v>
      </c>
      <c r="L164" s="442">
        <v>42.466667000000001</v>
      </c>
      <c r="M164" s="443">
        <v>3959.7069999999999</v>
      </c>
    </row>
    <row r="165" spans="1:13">
      <c r="A165" s="438" t="s">
        <v>545</v>
      </c>
      <c r="B165" s="439" t="s">
        <v>376</v>
      </c>
      <c r="C165" s="440">
        <v>46153</v>
      </c>
      <c r="D165" s="441">
        <v>0.47569444444444442</v>
      </c>
      <c r="E165" s="442"/>
      <c r="F165" s="442"/>
      <c r="G165" s="442"/>
      <c r="H165" s="439" t="s">
        <v>546</v>
      </c>
      <c r="I165" s="442">
        <v>0</v>
      </c>
      <c r="J165" s="442">
        <v>165</v>
      </c>
      <c r="K165" s="442">
        <v>21</v>
      </c>
      <c r="L165" s="442">
        <v>30.466667000000001</v>
      </c>
      <c r="M165" s="443">
        <v>3981.5070000000001</v>
      </c>
    </row>
    <row r="166" spans="1:13" ht="25.5">
      <c r="A166" s="438" t="s">
        <v>547</v>
      </c>
      <c r="B166" s="439" t="s">
        <v>376</v>
      </c>
      <c r="C166" s="440">
        <v>41953</v>
      </c>
      <c r="D166" s="441">
        <v>0</v>
      </c>
      <c r="E166" s="442"/>
      <c r="F166" s="442"/>
      <c r="G166" s="442"/>
      <c r="H166" s="439" t="s">
        <v>548</v>
      </c>
      <c r="I166" s="442">
        <v>0</v>
      </c>
      <c r="J166" s="442">
        <v>4366</v>
      </c>
      <c r="K166" s="442">
        <v>8</v>
      </c>
      <c r="L166" s="442">
        <v>55.466667000000001</v>
      </c>
      <c r="M166" s="443">
        <v>104792.924</v>
      </c>
    </row>
    <row r="167" spans="1:13" ht="25.5">
      <c r="A167" s="438" t="s">
        <v>549</v>
      </c>
      <c r="B167" s="439" t="s">
        <v>376</v>
      </c>
      <c r="C167" s="440">
        <v>41953</v>
      </c>
      <c r="D167" s="441">
        <v>0</v>
      </c>
      <c r="E167" s="442"/>
      <c r="F167" s="442"/>
      <c r="G167" s="442"/>
      <c r="H167" s="439" t="s">
        <v>548</v>
      </c>
      <c r="I167" s="442">
        <v>0</v>
      </c>
      <c r="J167" s="442">
        <v>4366</v>
      </c>
      <c r="K167" s="442">
        <v>8</v>
      </c>
      <c r="L167" s="442">
        <v>55.466667000000001</v>
      </c>
      <c r="M167" s="443">
        <v>104792.924</v>
      </c>
    </row>
    <row r="168" spans="1:13" ht="25.5">
      <c r="A168" s="438" t="s">
        <v>550</v>
      </c>
      <c r="B168" s="439" t="s">
        <v>376</v>
      </c>
      <c r="C168" s="440">
        <v>41953</v>
      </c>
      <c r="D168" s="441">
        <v>0</v>
      </c>
      <c r="E168" s="442"/>
      <c r="F168" s="442"/>
      <c r="G168" s="442"/>
      <c r="H168" s="439" t="s">
        <v>548</v>
      </c>
      <c r="I168" s="442">
        <v>0</v>
      </c>
      <c r="J168" s="442">
        <v>4366</v>
      </c>
      <c r="K168" s="442">
        <v>8</v>
      </c>
      <c r="L168" s="442">
        <v>55.466667000000001</v>
      </c>
      <c r="M168" s="443">
        <v>104792.924</v>
      </c>
    </row>
    <row r="169" spans="1:13" ht="25.5">
      <c r="A169" s="438" t="s">
        <v>551</v>
      </c>
      <c r="B169" s="439" t="s">
        <v>376</v>
      </c>
      <c r="C169" s="440">
        <v>41953</v>
      </c>
      <c r="D169" s="441">
        <v>0</v>
      </c>
      <c r="E169" s="442"/>
      <c r="F169" s="442"/>
      <c r="G169" s="442"/>
      <c r="H169" s="439" t="s">
        <v>548</v>
      </c>
      <c r="I169" s="442">
        <v>0</v>
      </c>
      <c r="J169" s="442">
        <v>4366</v>
      </c>
      <c r="K169" s="442">
        <v>8</v>
      </c>
      <c r="L169" s="442">
        <v>55.466667000000001</v>
      </c>
      <c r="M169" s="443">
        <v>104792.924</v>
      </c>
    </row>
    <row r="170" spans="1:13" ht="25.5">
      <c r="A170" s="438" t="s">
        <v>552</v>
      </c>
      <c r="B170" s="439" t="s">
        <v>376</v>
      </c>
      <c r="C170" s="440">
        <v>41953</v>
      </c>
      <c r="D170" s="441">
        <v>0</v>
      </c>
      <c r="E170" s="442"/>
      <c r="F170" s="442"/>
      <c r="G170" s="442"/>
      <c r="H170" s="439" t="s">
        <v>548</v>
      </c>
      <c r="I170" s="442">
        <v>0</v>
      </c>
      <c r="J170" s="442">
        <v>4366</v>
      </c>
      <c r="K170" s="442">
        <v>8</v>
      </c>
      <c r="L170" s="442">
        <v>55.466667000000001</v>
      </c>
      <c r="M170" s="443">
        <v>104792.924</v>
      </c>
    </row>
    <row r="171" spans="1:13" ht="25.5">
      <c r="A171" s="438" t="s">
        <v>553</v>
      </c>
      <c r="B171" s="439" t="s">
        <v>376</v>
      </c>
      <c r="C171" s="440">
        <v>41953</v>
      </c>
      <c r="D171" s="441">
        <v>0</v>
      </c>
      <c r="E171" s="442"/>
      <c r="F171" s="442"/>
      <c r="G171" s="442"/>
      <c r="H171" s="439" t="s">
        <v>548</v>
      </c>
      <c r="I171" s="442">
        <v>0</v>
      </c>
      <c r="J171" s="442">
        <v>4366</v>
      </c>
      <c r="K171" s="442">
        <v>8</v>
      </c>
      <c r="L171" s="442">
        <v>55.466667000000001</v>
      </c>
      <c r="M171" s="443">
        <v>104792.924</v>
      </c>
    </row>
    <row r="172" spans="1:13" ht="25.5">
      <c r="A172" s="438" t="s">
        <v>554</v>
      </c>
      <c r="B172" s="439" t="s">
        <v>376</v>
      </c>
      <c r="C172" s="440">
        <v>41953</v>
      </c>
      <c r="D172" s="441">
        <v>0</v>
      </c>
      <c r="E172" s="442"/>
      <c r="F172" s="442"/>
      <c r="G172" s="442"/>
      <c r="H172" s="439" t="s">
        <v>548</v>
      </c>
      <c r="I172" s="442">
        <v>0</v>
      </c>
      <c r="J172" s="442">
        <v>4366</v>
      </c>
      <c r="K172" s="442">
        <v>8</v>
      </c>
      <c r="L172" s="442">
        <v>55.466667000000001</v>
      </c>
      <c r="M172" s="443">
        <v>104792.924</v>
      </c>
    </row>
    <row r="173" spans="1:13" ht="25.5">
      <c r="A173" s="438" t="s">
        <v>555</v>
      </c>
      <c r="B173" s="439" t="s">
        <v>376</v>
      </c>
      <c r="C173" s="440">
        <v>41953</v>
      </c>
      <c r="D173" s="441">
        <v>0</v>
      </c>
      <c r="E173" s="442"/>
      <c r="F173" s="442"/>
      <c r="G173" s="442"/>
      <c r="H173" s="439" t="s">
        <v>548</v>
      </c>
      <c r="I173" s="442">
        <v>0</v>
      </c>
      <c r="J173" s="442">
        <v>4366</v>
      </c>
      <c r="K173" s="442">
        <v>8</v>
      </c>
      <c r="L173" s="442">
        <v>55.466667000000001</v>
      </c>
      <c r="M173" s="443">
        <v>104792.924</v>
      </c>
    </row>
    <row r="174" spans="1:13" ht="25.5">
      <c r="A174" s="438" t="s">
        <v>556</v>
      </c>
      <c r="B174" s="439" t="s">
        <v>376</v>
      </c>
      <c r="C174" s="440">
        <v>41953</v>
      </c>
      <c r="D174" s="441">
        <v>0</v>
      </c>
      <c r="E174" s="442"/>
      <c r="F174" s="442"/>
      <c r="G174" s="442"/>
      <c r="H174" s="439" t="s">
        <v>548</v>
      </c>
      <c r="I174" s="442">
        <v>0</v>
      </c>
      <c r="J174" s="442">
        <v>4366</v>
      </c>
      <c r="K174" s="442">
        <v>8</v>
      </c>
      <c r="L174" s="442">
        <v>55.466667000000001</v>
      </c>
      <c r="M174" s="443">
        <v>104792.924</v>
      </c>
    </row>
    <row r="175" spans="1:13" ht="25.5">
      <c r="A175" s="438" t="s">
        <v>557</v>
      </c>
      <c r="B175" s="439" t="s">
        <v>376</v>
      </c>
      <c r="C175" s="440">
        <v>46154</v>
      </c>
      <c r="D175" s="441">
        <v>0.3840277777777778</v>
      </c>
      <c r="E175" s="442"/>
      <c r="F175" s="442"/>
      <c r="G175" s="442"/>
      <c r="H175" s="439" t="s">
        <v>544</v>
      </c>
      <c r="I175" s="442">
        <v>0</v>
      </c>
      <c r="J175" s="442">
        <v>164</v>
      </c>
      <c r="K175" s="442">
        <v>23</v>
      </c>
      <c r="L175" s="442">
        <v>42.466667000000001</v>
      </c>
      <c r="M175" s="443">
        <v>3959.7069999999999</v>
      </c>
    </row>
    <row r="176" spans="1:13" ht="25.5">
      <c r="A176" s="438" t="s">
        <v>558</v>
      </c>
      <c r="B176" s="439" t="s">
        <v>376</v>
      </c>
      <c r="C176" s="440">
        <v>41953</v>
      </c>
      <c r="D176" s="441">
        <v>0</v>
      </c>
      <c r="E176" s="442"/>
      <c r="F176" s="442"/>
      <c r="G176" s="442"/>
      <c r="H176" s="439" t="s">
        <v>548</v>
      </c>
      <c r="I176" s="442">
        <v>0</v>
      </c>
      <c r="J176" s="442">
        <v>4366</v>
      </c>
      <c r="K176" s="442">
        <v>8</v>
      </c>
      <c r="L176" s="442">
        <v>55.466667000000001</v>
      </c>
      <c r="M176" s="443">
        <v>104792.924</v>
      </c>
    </row>
    <row r="177" spans="1:13" ht="25.5">
      <c r="A177" s="438" t="s">
        <v>559</v>
      </c>
      <c r="B177" s="439" t="s">
        <v>376</v>
      </c>
      <c r="C177" s="440">
        <v>46154</v>
      </c>
      <c r="D177" s="441">
        <v>0.3840277777777778</v>
      </c>
      <c r="E177" s="442"/>
      <c r="F177" s="442"/>
      <c r="G177" s="442"/>
      <c r="H177" s="439" t="s">
        <v>544</v>
      </c>
      <c r="I177" s="442">
        <v>0</v>
      </c>
      <c r="J177" s="442">
        <v>164</v>
      </c>
      <c r="K177" s="442">
        <v>23</v>
      </c>
      <c r="L177" s="442">
        <v>42.466667000000001</v>
      </c>
      <c r="M177" s="443">
        <v>3959.7069999999999</v>
      </c>
    </row>
    <row r="178" spans="1:13" ht="25.5">
      <c r="A178" s="438" t="s">
        <v>560</v>
      </c>
      <c r="B178" s="439" t="s">
        <v>376</v>
      </c>
      <c r="C178" s="440">
        <v>46154</v>
      </c>
      <c r="D178" s="441">
        <v>0.3840277777777778</v>
      </c>
      <c r="E178" s="442"/>
      <c r="F178" s="442"/>
      <c r="G178" s="442"/>
      <c r="H178" s="439" t="s">
        <v>544</v>
      </c>
      <c r="I178" s="442">
        <v>0</v>
      </c>
      <c r="J178" s="442">
        <v>164</v>
      </c>
      <c r="K178" s="442">
        <v>23</v>
      </c>
      <c r="L178" s="442">
        <v>42.466667000000001</v>
      </c>
      <c r="M178" s="443">
        <v>3959.7069999999999</v>
      </c>
    </row>
    <row r="179" spans="1:13">
      <c r="A179" s="438" t="s">
        <v>561</v>
      </c>
      <c r="B179" s="439" t="s">
        <v>376</v>
      </c>
      <c r="C179" s="440">
        <v>46153</v>
      </c>
      <c r="D179" s="441">
        <v>0.47569444444444442</v>
      </c>
      <c r="E179" s="442"/>
      <c r="F179" s="442"/>
      <c r="G179" s="442"/>
      <c r="H179" s="439" t="s">
        <v>546</v>
      </c>
      <c r="I179" s="442">
        <v>0</v>
      </c>
      <c r="J179" s="442">
        <v>165</v>
      </c>
      <c r="K179" s="442">
        <v>21</v>
      </c>
      <c r="L179" s="442">
        <v>30.466667000000001</v>
      </c>
      <c r="M179" s="443">
        <v>3981.5070000000001</v>
      </c>
    </row>
    <row r="180" spans="1:13">
      <c r="A180" s="438" t="s">
        <v>562</v>
      </c>
      <c r="B180" s="439" t="s">
        <v>376</v>
      </c>
      <c r="C180" s="440">
        <v>46153</v>
      </c>
      <c r="D180" s="441">
        <v>0.47569444444444442</v>
      </c>
      <c r="E180" s="442"/>
      <c r="F180" s="442"/>
      <c r="G180" s="442"/>
      <c r="H180" s="439" t="s">
        <v>546</v>
      </c>
      <c r="I180" s="442">
        <v>0</v>
      </c>
      <c r="J180" s="442">
        <v>165</v>
      </c>
      <c r="K180" s="442">
        <v>21</v>
      </c>
      <c r="L180" s="442">
        <v>30.466667000000001</v>
      </c>
      <c r="M180" s="443">
        <v>3981.5070000000001</v>
      </c>
    </row>
    <row r="181" spans="1:13">
      <c r="A181" s="438" t="s">
        <v>563</v>
      </c>
      <c r="B181" s="439" t="s">
        <v>376</v>
      </c>
      <c r="C181" s="440">
        <v>46153</v>
      </c>
      <c r="D181" s="441">
        <v>0.47569444444444442</v>
      </c>
      <c r="E181" s="442"/>
      <c r="F181" s="442"/>
      <c r="G181" s="442"/>
      <c r="H181" s="439" t="s">
        <v>546</v>
      </c>
      <c r="I181" s="442">
        <v>0</v>
      </c>
      <c r="J181" s="442">
        <v>165</v>
      </c>
      <c r="K181" s="442">
        <v>21</v>
      </c>
      <c r="L181" s="442">
        <v>30.466667000000001</v>
      </c>
      <c r="M181" s="443">
        <v>3981.5070000000001</v>
      </c>
    </row>
    <row r="182" spans="1:13">
      <c r="A182" s="438" t="s">
        <v>564</v>
      </c>
      <c r="B182" s="439" t="s">
        <v>376</v>
      </c>
      <c r="C182" s="440">
        <v>46153</v>
      </c>
      <c r="D182" s="441">
        <v>0.47569444444444442</v>
      </c>
      <c r="E182" s="442"/>
      <c r="F182" s="442"/>
      <c r="G182" s="442"/>
      <c r="H182" s="439" t="s">
        <v>546</v>
      </c>
      <c r="I182" s="442">
        <v>0</v>
      </c>
      <c r="J182" s="442">
        <v>165</v>
      </c>
      <c r="K182" s="442">
        <v>21</v>
      </c>
      <c r="L182" s="442">
        <v>30.466667000000001</v>
      </c>
      <c r="M182" s="443">
        <v>3981.5070000000001</v>
      </c>
    </row>
    <row r="183" spans="1:13">
      <c r="A183" s="438" t="s">
        <v>565</v>
      </c>
      <c r="B183" s="439" t="s">
        <v>376</v>
      </c>
      <c r="C183" s="440">
        <v>46153</v>
      </c>
      <c r="D183" s="441">
        <v>0.47569444444444442</v>
      </c>
      <c r="E183" s="442"/>
      <c r="F183" s="442"/>
      <c r="G183" s="442"/>
      <c r="H183" s="439" t="s">
        <v>546</v>
      </c>
      <c r="I183" s="442">
        <v>0</v>
      </c>
      <c r="J183" s="442">
        <v>165</v>
      </c>
      <c r="K183" s="442">
        <v>21</v>
      </c>
      <c r="L183" s="442">
        <v>30.466667000000001</v>
      </c>
      <c r="M183" s="443">
        <v>3981.5070000000001</v>
      </c>
    </row>
    <row r="184" spans="1:13">
      <c r="A184" s="438" t="s">
        <v>566</v>
      </c>
      <c r="B184" s="439" t="s">
        <v>376</v>
      </c>
      <c r="C184" s="440">
        <v>42961</v>
      </c>
      <c r="D184" s="441">
        <v>0.74652777777777779</v>
      </c>
      <c r="E184" s="442"/>
      <c r="F184" s="442"/>
      <c r="G184" s="442"/>
      <c r="H184" s="439" t="s">
        <v>567</v>
      </c>
      <c r="I184" s="442">
        <v>0</v>
      </c>
      <c r="J184" s="442">
        <v>3357</v>
      </c>
      <c r="K184" s="442">
        <v>15</v>
      </c>
      <c r="L184" s="442">
        <v>0.466667</v>
      </c>
      <c r="M184" s="443">
        <v>80583.006999999998</v>
      </c>
    </row>
    <row r="185" spans="1:13">
      <c r="A185" s="438" t="s">
        <v>568</v>
      </c>
      <c r="B185" s="439" t="s">
        <v>376</v>
      </c>
      <c r="C185" s="440">
        <v>42961</v>
      </c>
      <c r="D185" s="441">
        <v>0.74652777777777779</v>
      </c>
      <c r="E185" s="442"/>
      <c r="F185" s="442"/>
      <c r="G185" s="442"/>
      <c r="H185" s="439" t="s">
        <v>567</v>
      </c>
      <c r="I185" s="442">
        <v>0</v>
      </c>
      <c r="J185" s="442">
        <v>3357</v>
      </c>
      <c r="K185" s="442">
        <v>15</v>
      </c>
      <c r="L185" s="442">
        <v>0.466667</v>
      </c>
      <c r="M185" s="443">
        <v>80583.006999999998</v>
      </c>
    </row>
    <row r="186" spans="1:13">
      <c r="A186" s="438" t="s">
        <v>569</v>
      </c>
      <c r="B186" s="439" t="s">
        <v>376</v>
      </c>
      <c r="C186" s="440">
        <v>42961</v>
      </c>
      <c r="D186" s="441">
        <v>0.74652777777777779</v>
      </c>
      <c r="E186" s="442"/>
      <c r="F186" s="442"/>
      <c r="G186" s="442"/>
      <c r="H186" s="439" t="s">
        <v>567</v>
      </c>
      <c r="I186" s="442">
        <v>0</v>
      </c>
      <c r="J186" s="442">
        <v>3357</v>
      </c>
      <c r="K186" s="442">
        <v>15</v>
      </c>
      <c r="L186" s="442">
        <v>0.466667</v>
      </c>
      <c r="M186" s="443">
        <v>80583.006999999998</v>
      </c>
    </row>
    <row r="187" spans="1:13">
      <c r="A187" s="438" t="s">
        <v>570</v>
      </c>
      <c r="B187" s="439" t="s">
        <v>376</v>
      </c>
      <c r="C187" s="440">
        <v>42961</v>
      </c>
      <c r="D187" s="441">
        <v>0.74652777777777779</v>
      </c>
      <c r="E187" s="442"/>
      <c r="F187" s="442"/>
      <c r="G187" s="442"/>
      <c r="H187" s="439" t="s">
        <v>567</v>
      </c>
      <c r="I187" s="442">
        <v>0</v>
      </c>
      <c r="J187" s="442">
        <v>3357</v>
      </c>
      <c r="K187" s="442">
        <v>15</v>
      </c>
      <c r="L187" s="442">
        <v>0.466667</v>
      </c>
      <c r="M187" s="443">
        <v>80583.006999999998</v>
      </c>
    </row>
    <row r="188" spans="1:13">
      <c r="A188" s="438" t="s">
        <v>571</v>
      </c>
      <c r="B188" s="439" t="s">
        <v>376</v>
      </c>
      <c r="C188" s="440">
        <v>42961</v>
      </c>
      <c r="D188" s="441">
        <v>0.74652777777777779</v>
      </c>
      <c r="E188" s="442"/>
      <c r="F188" s="442"/>
      <c r="G188" s="442"/>
      <c r="H188" s="439" t="s">
        <v>567</v>
      </c>
      <c r="I188" s="442">
        <v>0</v>
      </c>
      <c r="J188" s="442">
        <v>3357</v>
      </c>
      <c r="K188" s="442">
        <v>15</v>
      </c>
      <c r="L188" s="442">
        <v>0.466667</v>
      </c>
      <c r="M188" s="443">
        <v>80583.006999999998</v>
      </c>
    </row>
    <row r="189" spans="1:13">
      <c r="A189" s="438" t="s">
        <v>572</v>
      </c>
      <c r="B189" s="439" t="s">
        <v>376</v>
      </c>
      <c r="C189" s="440">
        <v>42961</v>
      </c>
      <c r="D189" s="441">
        <v>0.74652777777777779</v>
      </c>
      <c r="E189" s="442"/>
      <c r="F189" s="442"/>
      <c r="G189" s="442"/>
      <c r="H189" s="439" t="s">
        <v>567</v>
      </c>
      <c r="I189" s="442">
        <v>0</v>
      </c>
      <c r="J189" s="442">
        <v>3357</v>
      </c>
      <c r="K189" s="442">
        <v>15</v>
      </c>
      <c r="L189" s="442">
        <v>0.466667</v>
      </c>
      <c r="M189" s="443">
        <v>80583.006999999998</v>
      </c>
    </row>
    <row r="190" spans="1:13">
      <c r="A190" s="438" t="s">
        <v>573</v>
      </c>
      <c r="B190" s="439" t="s">
        <v>376</v>
      </c>
      <c r="C190" s="440">
        <v>42961</v>
      </c>
      <c r="D190" s="441">
        <v>0.74652777777777779</v>
      </c>
      <c r="E190" s="442"/>
      <c r="F190" s="442"/>
      <c r="G190" s="442"/>
      <c r="H190" s="439" t="s">
        <v>567</v>
      </c>
      <c r="I190" s="442">
        <v>0</v>
      </c>
      <c r="J190" s="442">
        <v>3357</v>
      </c>
      <c r="K190" s="442">
        <v>15</v>
      </c>
      <c r="L190" s="442">
        <v>0.466667</v>
      </c>
      <c r="M190" s="443">
        <v>80583.006999999998</v>
      </c>
    </row>
    <row r="191" spans="1:13">
      <c r="A191" s="438" t="s">
        <v>574</v>
      </c>
      <c r="B191" s="439" t="s">
        <v>376</v>
      </c>
      <c r="C191" s="440">
        <v>46314</v>
      </c>
      <c r="D191" s="441">
        <v>1.9444444444444445E-2</v>
      </c>
      <c r="E191" s="444">
        <v>46318</v>
      </c>
      <c r="F191" s="441">
        <v>0.82777777777777772</v>
      </c>
      <c r="G191" s="442"/>
      <c r="H191" s="439" t="s">
        <v>575</v>
      </c>
      <c r="I191" s="442">
        <v>0</v>
      </c>
      <c r="J191" s="442">
        <v>4</v>
      </c>
      <c r="K191" s="442">
        <v>19</v>
      </c>
      <c r="L191" s="442">
        <v>24</v>
      </c>
      <c r="M191" s="443">
        <v>115.4</v>
      </c>
    </row>
    <row r="192" spans="1:13">
      <c r="A192" s="438" t="s">
        <v>576</v>
      </c>
      <c r="B192" s="439" t="s">
        <v>376</v>
      </c>
      <c r="C192" s="440">
        <v>46314</v>
      </c>
      <c r="D192" s="441">
        <v>1.9444444444444445E-2</v>
      </c>
      <c r="E192" s="444">
        <v>46318</v>
      </c>
      <c r="F192" s="441">
        <v>0.82430555555555551</v>
      </c>
      <c r="G192" s="442"/>
      <c r="H192" s="439" t="s">
        <v>575</v>
      </c>
      <c r="I192" s="442">
        <v>0</v>
      </c>
      <c r="J192" s="442">
        <v>4</v>
      </c>
      <c r="K192" s="442">
        <v>19</v>
      </c>
      <c r="L192" s="442">
        <v>19</v>
      </c>
      <c r="M192" s="443">
        <v>115.316</v>
      </c>
    </row>
    <row r="193" spans="1:13" ht="38.25">
      <c r="A193" s="438" t="s">
        <v>577</v>
      </c>
      <c r="B193" s="439" t="s">
        <v>376</v>
      </c>
      <c r="C193" s="440">
        <v>43895</v>
      </c>
      <c r="D193" s="441">
        <v>0.74930555555555556</v>
      </c>
      <c r="E193" s="442"/>
      <c r="F193" s="442"/>
      <c r="G193" s="442"/>
      <c r="H193" s="439" t="s">
        <v>578</v>
      </c>
      <c r="I193" s="442">
        <v>0</v>
      </c>
      <c r="J193" s="442">
        <v>2423</v>
      </c>
      <c r="K193" s="442">
        <v>14</v>
      </c>
      <c r="L193" s="442">
        <v>56.466667000000001</v>
      </c>
      <c r="M193" s="443">
        <v>58166.940999999999</v>
      </c>
    </row>
    <row r="194" spans="1:13" ht="25.5">
      <c r="A194" s="438" t="s">
        <v>579</v>
      </c>
      <c r="B194" s="439" t="s">
        <v>378</v>
      </c>
      <c r="C194" s="440">
        <v>46174</v>
      </c>
      <c r="D194" s="441">
        <v>0.36180555555555555</v>
      </c>
      <c r="E194" s="442"/>
      <c r="F194" s="442"/>
      <c r="G194" s="442"/>
      <c r="H194" s="439" t="s">
        <v>580</v>
      </c>
      <c r="I194" s="442">
        <v>0</v>
      </c>
      <c r="J194" s="442">
        <v>145</v>
      </c>
      <c r="K194" s="442">
        <v>0</v>
      </c>
      <c r="L194" s="442">
        <v>14.466666999999999</v>
      </c>
      <c r="M194" s="443">
        <v>3480.241</v>
      </c>
    </row>
    <row r="195" spans="1:13" ht="38.25">
      <c r="A195" s="438" t="s">
        <v>191</v>
      </c>
      <c r="B195" s="439" t="s">
        <v>378</v>
      </c>
      <c r="C195" s="440">
        <v>46295</v>
      </c>
      <c r="D195" s="441">
        <v>4.027777777777778E-2</v>
      </c>
      <c r="E195" s="442"/>
      <c r="F195" s="442"/>
      <c r="G195" s="442"/>
      <c r="H195" s="439" t="s">
        <v>581</v>
      </c>
      <c r="I195" s="442">
        <v>0</v>
      </c>
      <c r="J195" s="442">
        <v>24</v>
      </c>
      <c r="K195" s="442">
        <v>7</v>
      </c>
      <c r="L195" s="442">
        <v>57.466667000000001</v>
      </c>
      <c r="M195" s="443">
        <v>583.95699999999999</v>
      </c>
    </row>
    <row r="196" spans="1:13" ht="25.5">
      <c r="A196" s="438" t="s">
        <v>582</v>
      </c>
      <c r="B196" s="439" t="s">
        <v>378</v>
      </c>
      <c r="C196" s="440">
        <v>46318</v>
      </c>
      <c r="D196" s="441">
        <v>0.29166666666666669</v>
      </c>
      <c r="E196" s="444">
        <v>46318</v>
      </c>
      <c r="F196" s="441">
        <v>0.47916666666666669</v>
      </c>
      <c r="G196" s="442"/>
      <c r="H196" s="439" t="s">
        <v>583</v>
      </c>
      <c r="I196" s="442">
        <v>0</v>
      </c>
      <c r="J196" s="442">
        <v>0</v>
      </c>
      <c r="K196" s="442">
        <v>4</v>
      </c>
      <c r="L196" s="442">
        <v>30</v>
      </c>
      <c r="M196" s="443">
        <v>4.5</v>
      </c>
    </row>
    <row r="197" spans="1:13" ht="25.5">
      <c r="A197" s="438" t="s">
        <v>584</v>
      </c>
      <c r="B197" s="439" t="s">
        <v>378</v>
      </c>
      <c r="C197" s="440">
        <v>46318</v>
      </c>
      <c r="D197" s="441">
        <v>0.29166666666666669</v>
      </c>
      <c r="E197" s="444">
        <v>46318</v>
      </c>
      <c r="F197" s="441">
        <v>0.47916666666666669</v>
      </c>
      <c r="G197" s="442"/>
      <c r="H197" s="439" t="s">
        <v>583</v>
      </c>
      <c r="I197" s="442">
        <v>0</v>
      </c>
      <c r="J197" s="442">
        <v>0</v>
      </c>
      <c r="K197" s="442">
        <v>4</v>
      </c>
      <c r="L197" s="442">
        <v>30</v>
      </c>
      <c r="M197" s="443">
        <v>4.5</v>
      </c>
    </row>
    <row r="198" spans="1:13" ht="38.25">
      <c r="A198" s="438" t="s">
        <v>195</v>
      </c>
      <c r="B198" s="439" t="s">
        <v>376</v>
      </c>
      <c r="C198" s="440">
        <v>40262</v>
      </c>
      <c r="D198" s="441">
        <v>0.5625</v>
      </c>
      <c r="E198" s="442"/>
      <c r="F198" s="442"/>
      <c r="G198" s="442"/>
      <c r="H198" s="439" t="s">
        <v>585</v>
      </c>
      <c r="I198" s="442">
        <v>0</v>
      </c>
      <c r="J198" s="442">
        <v>6056</v>
      </c>
      <c r="K198" s="442">
        <v>19</v>
      </c>
      <c r="L198" s="442">
        <v>25.466667000000001</v>
      </c>
      <c r="M198" s="443">
        <v>145363.424</v>
      </c>
    </row>
    <row r="199" spans="1:13">
      <c r="A199" s="438" t="s">
        <v>586</v>
      </c>
      <c r="B199" s="439" t="s">
        <v>376</v>
      </c>
      <c r="C199" s="440">
        <v>42125</v>
      </c>
      <c r="D199" s="441">
        <v>0</v>
      </c>
      <c r="E199" s="442"/>
      <c r="F199" s="442"/>
      <c r="G199" s="442"/>
      <c r="H199" s="439" t="s">
        <v>587</v>
      </c>
      <c r="I199" s="442">
        <v>0</v>
      </c>
      <c r="J199" s="442">
        <v>4194</v>
      </c>
      <c r="K199" s="442">
        <v>8</v>
      </c>
      <c r="L199" s="442">
        <v>55.466667000000001</v>
      </c>
      <c r="M199" s="443">
        <v>100664.924</v>
      </c>
    </row>
    <row r="200" spans="1:13">
      <c r="A200" s="438" t="s">
        <v>588</v>
      </c>
      <c r="B200" s="439" t="s">
        <v>376</v>
      </c>
      <c r="C200" s="440">
        <v>42125</v>
      </c>
      <c r="D200" s="441">
        <v>0</v>
      </c>
      <c r="E200" s="442"/>
      <c r="F200" s="442"/>
      <c r="G200" s="442"/>
      <c r="H200" s="439" t="s">
        <v>587</v>
      </c>
      <c r="I200" s="442">
        <v>0</v>
      </c>
      <c r="J200" s="442">
        <v>4194</v>
      </c>
      <c r="K200" s="442">
        <v>8</v>
      </c>
      <c r="L200" s="442">
        <v>55.466667000000001</v>
      </c>
      <c r="M200" s="443">
        <v>100664.924</v>
      </c>
    </row>
    <row r="201" spans="1:13">
      <c r="A201" s="438" t="s">
        <v>589</v>
      </c>
      <c r="B201" s="439" t="s">
        <v>376</v>
      </c>
      <c r="C201" s="440">
        <v>42125</v>
      </c>
      <c r="D201" s="441">
        <v>0</v>
      </c>
      <c r="E201" s="442"/>
      <c r="F201" s="442"/>
      <c r="G201" s="442"/>
      <c r="H201" s="439" t="s">
        <v>587</v>
      </c>
      <c r="I201" s="442">
        <v>0</v>
      </c>
      <c r="J201" s="442">
        <v>4194</v>
      </c>
      <c r="K201" s="442">
        <v>8</v>
      </c>
      <c r="L201" s="442">
        <v>55.466667000000001</v>
      </c>
      <c r="M201" s="443">
        <v>100664.924</v>
      </c>
    </row>
    <row r="202" spans="1:13">
      <c r="A202" s="438" t="s">
        <v>590</v>
      </c>
      <c r="B202" s="439" t="s">
        <v>376</v>
      </c>
      <c r="C202" s="440">
        <v>42125</v>
      </c>
      <c r="D202" s="441">
        <v>0</v>
      </c>
      <c r="E202" s="442"/>
      <c r="F202" s="442"/>
      <c r="G202" s="442"/>
      <c r="H202" s="439" t="s">
        <v>587</v>
      </c>
      <c r="I202" s="442">
        <v>0</v>
      </c>
      <c r="J202" s="442">
        <v>4194</v>
      </c>
      <c r="K202" s="442">
        <v>8</v>
      </c>
      <c r="L202" s="442">
        <v>55.466667000000001</v>
      </c>
      <c r="M202" s="443">
        <v>100664.924</v>
      </c>
    </row>
    <row r="203" spans="1:13">
      <c r="A203" s="438" t="s">
        <v>591</v>
      </c>
      <c r="B203" s="439" t="s">
        <v>376</v>
      </c>
      <c r="C203" s="440">
        <v>42125</v>
      </c>
      <c r="D203" s="441">
        <v>0</v>
      </c>
      <c r="E203" s="442"/>
      <c r="F203" s="442"/>
      <c r="G203" s="442"/>
      <c r="H203" s="439" t="s">
        <v>587</v>
      </c>
      <c r="I203" s="442">
        <v>0</v>
      </c>
      <c r="J203" s="442">
        <v>4194</v>
      </c>
      <c r="K203" s="442">
        <v>8</v>
      </c>
      <c r="L203" s="442">
        <v>55.466667000000001</v>
      </c>
      <c r="M203" s="443">
        <v>100664.924</v>
      </c>
    </row>
    <row r="204" spans="1:13">
      <c r="A204" s="438" t="s">
        <v>592</v>
      </c>
      <c r="B204" s="439" t="s">
        <v>376</v>
      </c>
      <c r="C204" s="440">
        <v>42125</v>
      </c>
      <c r="D204" s="441">
        <v>0</v>
      </c>
      <c r="E204" s="442"/>
      <c r="F204" s="442"/>
      <c r="G204" s="442"/>
      <c r="H204" s="439" t="s">
        <v>587</v>
      </c>
      <c r="I204" s="442">
        <v>0</v>
      </c>
      <c r="J204" s="442">
        <v>4194</v>
      </c>
      <c r="K204" s="442">
        <v>8</v>
      </c>
      <c r="L204" s="442">
        <v>55.466667000000001</v>
      </c>
      <c r="M204" s="443">
        <v>100664.924</v>
      </c>
    </row>
    <row r="205" spans="1:13">
      <c r="A205" s="438" t="s">
        <v>593</v>
      </c>
      <c r="B205" s="439" t="s">
        <v>376</v>
      </c>
      <c r="C205" s="440">
        <v>42125</v>
      </c>
      <c r="D205" s="441">
        <v>0</v>
      </c>
      <c r="E205" s="442"/>
      <c r="F205" s="442"/>
      <c r="G205" s="442"/>
      <c r="H205" s="439" t="s">
        <v>587</v>
      </c>
      <c r="I205" s="442">
        <v>0</v>
      </c>
      <c r="J205" s="442">
        <v>4194</v>
      </c>
      <c r="K205" s="442">
        <v>8</v>
      </c>
      <c r="L205" s="442">
        <v>55.466667000000001</v>
      </c>
      <c r="M205" s="443">
        <v>100664.924</v>
      </c>
    </row>
    <row r="206" spans="1:13">
      <c r="A206" s="438" t="s">
        <v>594</v>
      </c>
      <c r="B206" s="439" t="s">
        <v>376</v>
      </c>
      <c r="C206" s="440">
        <v>42125</v>
      </c>
      <c r="D206" s="441">
        <v>0</v>
      </c>
      <c r="E206" s="442"/>
      <c r="F206" s="442"/>
      <c r="G206" s="442"/>
      <c r="H206" s="439" t="s">
        <v>587</v>
      </c>
      <c r="I206" s="442">
        <v>0</v>
      </c>
      <c r="J206" s="442">
        <v>4194</v>
      </c>
      <c r="K206" s="442">
        <v>8</v>
      </c>
      <c r="L206" s="442">
        <v>55.466667000000001</v>
      </c>
      <c r="M206" s="443">
        <v>100664.924</v>
      </c>
    </row>
    <row r="207" spans="1:13">
      <c r="A207" s="438" t="s">
        <v>595</v>
      </c>
      <c r="B207" s="439" t="s">
        <v>376</v>
      </c>
      <c r="C207" s="440">
        <v>42125</v>
      </c>
      <c r="D207" s="441">
        <v>0</v>
      </c>
      <c r="E207" s="442"/>
      <c r="F207" s="442"/>
      <c r="G207" s="442"/>
      <c r="H207" s="439" t="s">
        <v>587</v>
      </c>
      <c r="I207" s="442">
        <v>0</v>
      </c>
      <c r="J207" s="442">
        <v>4194</v>
      </c>
      <c r="K207" s="442">
        <v>8</v>
      </c>
      <c r="L207" s="442">
        <v>55.466667000000001</v>
      </c>
      <c r="M207" s="443">
        <v>100664.924</v>
      </c>
    </row>
    <row r="208" spans="1:13">
      <c r="A208" s="438" t="s">
        <v>596</v>
      </c>
      <c r="B208" s="439" t="s">
        <v>376</v>
      </c>
      <c r="C208" s="440">
        <v>42125</v>
      </c>
      <c r="D208" s="441">
        <v>0</v>
      </c>
      <c r="E208" s="442"/>
      <c r="F208" s="442"/>
      <c r="G208" s="442"/>
      <c r="H208" s="439" t="s">
        <v>587</v>
      </c>
      <c r="I208" s="442">
        <v>0</v>
      </c>
      <c r="J208" s="442">
        <v>4194</v>
      </c>
      <c r="K208" s="442">
        <v>8</v>
      </c>
      <c r="L208" s="442">
        <v>55.466667000000001</v>
      </c>
      <c r="M208" s="443">
        <v>100664.924</v>
      </c>
    </row>
    <row r="209" spans="1:13" ht="25.5">
      <c r="A209" s="438" t="s">
        <v>597</v>
      </c>
      <c r="B209" s="439" t="s">
        <v>378</v>
      </c>
      <c r="C209" s="440">
        <v>46314</v>
      </c>
      <c r="D209" s="441">
        <v>0.29166666666666669</v>
      </c>
      <c r="E209" s="442"/>
      <c r="F209" s="442"/>
      <c r="G209" s="442"/>
      <c r="H209" s="439" t="s">
        <v>598</v>
      </c>
      <c r="I209" s="442">
        <v>0</v>
      </c>
      <c r="J209" s="442">
        <v>5</v>
      </c>
      <c r="K209" s="442">
        <v>1</v>
      </c>
      <c r="L209" s="442">
        <v>55.466667000000001</v>
      </c>
      <c r="M209" s="443">
        <v>121.92400000000001</v>
      </c>
    </row>
    <row r="210" spans="1:13">
      <c r="A210" s="438" t="s">
        <v>360</v>
      </c>
      <c r="B210" s="439" t="s">
        <v>376</v>
      </c>
      <c r="C210" s="440">
        <v>46318</v>
      </c>
      <c r="D210" s="441">
        <v>0.36527777777777776</v>
      </c>
      <c r="E210" s="444">
        <v>46318</v>
      </c>
      <c r="F210" s="441">
        <v>0.38263888888888886</v>
      </c>
      <c r="G210" s="442"/>
      <c r="H210" s="439" t="s">
        <v>599</v>
      </c>
      <c r="I210" s="442">
        <v>0</v>
      </c>
      <c r="J210" s="442">
        <v>0</v>
      </c>
      <c r="K210" s="442">
        <v>0</v>
      </c>
      <c r="L210" s="442">
        <v>25</v>
      </c>
      <c r="M210" s="443">
        <v>0.41599999999999998</v>
      </c>
    </row>
    <row r="211" spans="1:13">
      <c r="A211" s="438" t="s">
        <v>600</v>
      </c>
      <c r="B211" s="439" t="s">
        <v>376</v>
      </c>
      <c r="C211" s="440">
        <v>46022</v>
      </c>
      <c r="D211" s="441">
        <v>0.91666666666666663</v>
      </c>
      <c r="E211" s="442"/>
      <c r="F211" s="442"/>
      <c r="G211" s="442"/>
      <c r="H211" s="439" t="s">
        <v>387</v>
      </c>
      <c r="I211" s="442">
        <v>0</v>
      </c>
      <c r="J211" s="442">
        <v>296</v>
      </c>
      <c r="K211" s="442">
        <v>10</v>
      </c>
      <c r="L211" s="442">
        <v>55.466667000000001</v>
      </c>
      <c r="M211" s="443">
        <v>7114.924</v>
      </c>
    </row>
    <row r="212" spans="1:13">
      <c r="A212" s="438" t="s">
        <v>601</v>
      </c>
      <c r="B212" s="439" t="s">
        <v>376</v>
      </c>
      <c r="C212" s="440">
        <v>46022</v>
      </c>
      <c r="D212" s="441">
        <v>0.91666666666666663</v>
      </c>
      <c r="E212" s="442"/>
      <c r="F212" s="442"/>
      <c r="G212" s="442"/>
      <c r="H212" s="439" t="s">
        <v>387</v>
      </c>
      <c r="I212" s="442">
        <v>0</v>
      </c>
      <c r="J212" s="442">
        <v>296</v>
      </c>
      <c r="K212" s="442">
        <v>10</v>
      </c>
      <c r="L212" s="442">
        <v>55.466667000000001</v>
      </c>
      <c r="M212" s="443">
        <v>7114.924</v>
      </c>
    </row>
    <row r="213" spans="1:13">
      <c r="A213" s="438" t="s">
        <v>602</v>
      </c>
      <c r="B213" s="439" t="s">
        <v>376</v>
      </c>
      <c r="C213" s="440">
        <v>45991</v>
      </c>
      <c r="D213" s="441">
        <v>0.91666666666666663</v>
      </c>
      <c r="E213" s="442"/>
      <c r="F213" s="442"/>
      <c r="G213" s="442"/>
      <c r="H213" s="439" t="s">
        <v>387</v>
      </c>
      <c r="I213" s="442">
        <v>0</v>
      </c>
      <c r="J213" s="442">
        <v>327</v>
      </c>
      <c r="K213" s="442">
        <v>10</v>
      </c>
      <c r="L213" s="442">
        <v>55.466667000000001</v>
      </c>
      <c r="M213" s="443">
        <v>7858.924</v>
      </c>
    </row>
    <row r="214" spans="1:13">
      <c r="A214" s="438" t="s">
        <v>603</v>
      </c>
      <c r="B214" s="439" t="s">
        <v>376</v>
      </c>
      <c r="C214" s="440">
        <v>46143</v>
      </c>
      <c r="D214" s="441">
        <v>0</v>
      </c>
      <c r="E214" s="442"/>
      <c r="F214" s="442"/>
      <c r="G214" s="442"/>
      <c r="H214" s="439" t="s">
        <v>387</v>
      </c>
      <c r="I214" s="442">
        <v>0</v>
      </c>
      <c r="J214" s="442">
        <v>176</v>
      </c>
      <c r="K214" s="442">
        <v>8</v>
      </c>
      <c r="L214" s="442">
        <v>55.466667000000001</v>
      </c>
      <c r="M214" s="443">
        <v>4232.924</v>
      </c>
    </row>
    <row r="215" spans="1:13">
      <c r="A215" s="438" t="s">
        <v>198</v>
      </c>
      <c r="B215" s="439" t="s">
        <v>376</v>
      </c>
      <c r="C215" s="440">
        <v>41310</v>
      </c>
      <c r="D215" s="441">
        <v>0.79166666666666663</v>
      </c>
      <c r="E215" s="442"/>
      <c r="F215" s="442"/>
      <c r="G215" s="442"/>
      <c r="H215" s="439" t="s">
        <v>604</v>
      </c>
      <c r="I215" s="442">
        <v>0</v>
      </c>
      <c r="J215" s="442">
        <v>5008</v>
      </c>
      <c r="K215" s="442">
        <v>13</v>
      </c>
      <c r="L215" s="442">
        <v>55.466667000000001</v>
      </c>
      <c r="M215" s="443">
        <v>120205.924</v>
      </c>
    </row>
    <row r="216" spans="1:13">
      <c r="A216" s="438" t="s">
        <v>199</v>
      </c>
      <c r="B216" s="439" t="s">
        <v>376</v>
      </c>
      <c r="C216" s="440">
        <v>46310</v>
      </c>
      <c r="D216" s="441">
        <v>0.72430555555555554</v>
      </c>
      <c r="E216" s="442"/>
      <c r="F216" s="442"/>
      <c r="G216" s="442"/>
      <c r="H216" s="439" t="s">
        <v>605</v>
      </c>
      <c r="I216" s="442">
        <v>0</v>
      </c>
      <c r="J216" s="442">
        <v>8</v>
      </c>
      <c r="K216" s="442">
        <v>15</v>
      </c>
      <c r="L216" s="442">
        <v>32.466667000000001</v>
      </c>
      <c r="M216" s="443">
        <v>207.541</v>
      </c>
    </row>
    <row r="217" spans="1:13">
      <c r="A217" s="438" t="s">
        <v>200</v>
      </c>
      <c r="B217" s="439" t="s">
        <v>435</v>
      </c>
      <c r="C217" s="440">
        <v>46317</v>
      </c>
      <c r="D217" s="441">
        <v>0.95833333333333337</v>
      </c>
      <c r="E217" s="444">
        <v>46318</v>
      </c>
      <c r="F217" s="441">
        <v>0.70763888888888893</v>
      </c>
      <c r="G217" s="442">
        <v>39.01</v>
      </c>
      <c r="H217" s="439" t="s">
        <v>501</v>
      </c>
      <c r="I217" s="442">
        <v>0</v>
      </c>
      <c r="J217" s="442">
        <v>0</v>
      </c>
      <c r="K217" s="442">
        <v>17</v>
      </c>
      <c r="L217" s="442">
        <v>59</v>
      </c>
      <c r="M217" s="443">
        <v>17.983000000000001</v>
      </c>
    </row>
    <row r="218" spans="1:13" ht="51">
      <c r="A218" s="438" t="s">
        <v>201</v>
      </c>
      <c r="B218" s="439" t="s">
        <v>378</v>
      </c>
      <c r="C218" s="440">
        <v>46297</v>
      </c>
      <c r="D218" s="441">
        <v>5.4166666666666669E-2</v>
      </c>
      <c r="E218" s="442"/>
      <c r="F218" s="442"/>
      <c r="G218" s="442"/>
      <c r="H218" s="439" t="s">
        <v>606</v>
      </c>
      <c r="I218" s="442">
        <v>0</v>
      </c>
      <c r="J218" s="442">
        <v>22</v>
      </c>
      <c r="K218" s="442">
        <v>7</v>
      </c>
      <c r="L218" s="442">
        <v>37.466667000000001</v>
      </c>
      <c r="M218" s="443">
        <v>535.62400000000002</v>
      </c>
    </row>
    <row r="219" spans="1:13">
      <c r="A219" s="438" t="s">
        <v>607</v>
      </c>
      <c r="B219" s="439" t="s">
        <v>376</v>
      </c>
      <c r="C219" s="440">
        <v>46161</v>
      </c>
      <c r="D219" s="441">
        <v>0.58333333333333337</v>
      </c>
      <c r="E219" s="442"/>
      <c r="F219" s="442"/>
      <c r="G219" s="442"/>
      <c r="H219" s="439" t="s">
        <v>387</v>
      </c>
      <c r="I219" s="442">
        <v>0</v>
      </c>
      <c r="J219" s="442">
        <v>157</v>
      </c>
      <c r="K219" s="442">
        <v>18</v>
      </c>
      <c r="L219" s="442">
        <v>55.466667000000001</v>
      </c>
      <c r="M219" s="443">
        <v>3786.924</v>
      </c>
    </row>
    <row r="220" spans="1:13" ht="25.5">
      <c r="A220" s="438" t="s">
        <v>193</v>
      </c>
      <c r="B220" s="439" t="s">
        <v>376</v>
      </c>
      <c r="C220" s="440">
        <v>38691</v>
      </c>
      <c r="D220" s="441">
        <v>0.54791666666666672</v>
      </c>
      <c r="E220" s="442"/>
      <c r="F220" s="442"/>
      <c r="G220" s="442"/>
      <c r="H220" s="439" t="s">
        <v>608</v>
      </c>
      <c r="I220" s="442">
        <v>0</v>
      </c>
      <c r="J220" s="442">
        <v>7627</v>
      </c>
      <c r="K220" s="442">
        <v>19</v>
      </c>
      <c r="L220" s="442">
        <v>46.466667000000001</v>
      </c>
      <c r="M220" s="443">
        <v>183067.774</v>
      </c>
    </row>
    <row r="221" spans="1:13" ht="25.5">
      <c r="A221" s="438" t="s">
        <v>609</v>
      </c>
      <c r="B221" s="439" t="s">
        <v>376</v>
      </c>
      <c r="C221" s="440">
        <v>38691</v>
      </c>
      <c r="D221" s="441">
        <v>0.54791666666666672</v>
      </c>
      <c r="E221" s="442"/>
      <c r="F221" s="442"/>
      <c r="G221" s="442"/>
      <c r="H221" s="439" t="s">
        <v>608</v>
      </c>
      <c r="I221" s="442">
        <v>0</v>
      </c>
      <c r="J221" s="442">
        <v>7627</v>
      </c>
      <c r="K221" s="442">
        <v>19</v>
      </c>
      <c r="L221" s="442">
        <v>46.466667000000001</v>
      </c>
      <c r="M221" s="443">
        <v>183067.774</v>
      </c>
    </row>
    <row r="222" spans="1:13">
      <c r="A222" s="438" t="s">
        <v>194</v>
      </c>
      <c r="B222" s="439" t="s">
        <v>435</v>
      </c>
      <c r="C222" s="440">
        <v>46291</v>
      </c>
      <c r="D222" s="441">
        <v>0.5</v>
      </c>
      <c r="E222" s="442"/>
      <c r="F222" s="442"/>
      <c r="G222" s="442">
        <v>4.83</v>
      </c>
      <c r="H222" s="439" t="s">
        <v>501</v>
      </c>
      <c r="I222" s="442">
        <v>0</v>
      </c>
      <c r="J222" s="442">
        <v>27</v>
      </c>
      <c r="K222" s="442">
        <v>20</v>
      </c>
      <c r="L222" s="442">
        <v>55.466667000000001</v>
      </c>
      <c r="M222" s="443">
        <v>668.92399999999998</v>
      </c>
    </row>
    <row r="223" spans="1:13" ht="25.5">
      <c r="A223" s="438" t="s">
        <v>610</v>
      </c>
      <c r="B223" s="439" t="s">
        <v>378</v>
      </c>
      <c r="C223" s="440">
        <v>46317</v>
      </c>
      <c r="D223" s="441">
        <v>1.3888888888888889E-3</v>
      </c>
      <c r="E223" s="442"/>
      <c r="F223" s="442"/>
      <c r="G223" s="442"/>
      <c r="H223" s="439" t="s">
        <v>611</v>
      </c>
      <c r="I223" s="442">
        <v>0</v>
      </c>
      <c r="J223" s="442">
        <v>2</v>
      </c>
      <c r="K223" s="442">
        <v>8</v>
      </c>
      <c r="L223" s="442">
        <v>53.466667000000001</v>
      </c>
      <c r="M223" s="443">
        <v>56.890999999999998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0" t="s">
        <v>55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</row>
    <row r="2" spans="1:12" s="73" customFormat="1" ht="15" customHeight="1">
      <c r="A2" s="629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</row>
    <row r="3" spans="1:12" s="73" customFormat="1" ht="17.25" customHeight="1">
      <c r="D3" s="601" t="s">
        <v>319</v>
      </c>
      <c r="E3" s="601"/>
      <c r="F3" s="601"/>
      <c r="G3" s="601"/>
      <c r="H3" s="601"/>
      <c r="I3" s="601"/>
    </row>
    <row r="4" spans="1:12" s="73" customFormat="1" ht="9" customHeight="1">
      <c r="D4" s="601"/>
      <c r="E4" s="601"/>
      <c r="F4" s="601"/>
      <c r="G4" s="601"/>
      <c r="H4" s="601"/>
      <c r="I4" s="601"/>
    </row>
    <row r="5" spans="1:12" s="73" customFormat="1" ht="15.75">
      <c r="G5" s="354" t="s">
        <v>24</v>
      </c>
    </row>
    <row r="6" spans="1:12" s="73" customFormat="1" ht="15.75">
      <c r="E6" s="634" t="s">
        <v>113</v>
      </c>
      <c r="F6" s="634"/>
      <c r="G6" s="354"/>
    </row>
    <row r="7" spans="1:12" s="73" customFormat="1" ht="27" customHeight="1">
      <c r="E7" s="635">
        <f>MAX('Carga Horaria'!FD8:FD49)</f>
        <v>2232.9</v>
      </c>
      <c r="F7" s="636"/>
      <c r="G7" s="355">
        <f>VLOOKUP(E7,'Carga Horaria'!FD8:FE49,2,FALSE)</f>
        <v>18.149999999999999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1493.88</v>
      </c>
      <c r="H23" s="73">
        <v>1516.75</v>
      </c>
    </row>
    <row r="24" spans="7:8" s="73" customFormat="1" ht="27" customHeight="1">
      <c r="G24" s="73">
        <v>1446.25</v>
      </c>
      <c r="H24" s="73">
        <v>1489.58</v>
      </c>
    </row>
    <row r="25" spans="7:8" s="73" customFormat="1" ht="27" customHeight="1">
      <c r="G25" s="73">
        <v>1419.12</v>
      </c>
      <c r="H25" s="73">
        <v>1496.42</v>
      </c>
    </row>
    <row r="26" spans="7:8" s="73" customFormat="1" ht="27" customHeight="1">
      <c r="G26" s="73">
        <v>1372.42</v>
      </c>
      <c r="H26" s="73">
        <v>1448.53</v>
      </c>
    </row>
    <row r="27" spans="7:8" s="73" customFormat="1" ht="27" customHeight="1">
      <c r="G27" s="73">
        <v>1471.79</v>
      </c>
      <c r="H27" s="73">
        <v>1566.22</v>
      </c>
    </row>
    <row r="28" spans="7:8" s="73" customFormat="1" ht="27" customHeight="1">
      <c r="G28" s="73">
        <v>1583.15</v>
      </c>
      <c r="H28" s="73">
        <v>1638.66</v>
      </c>
    </row>
    <row r="29" spans="7:8" s="73" customFormat="1" ht="27" customHeight="1">
      <c r="G29" s="73">
        <v>1688.91</v>
      </c>
      <c r="H29" s="73">
        <v>1781.51</v>
      </c>
    </row>
    <row r="30" spans="7:8" s="73" customFormat="1" ht="29.25" customHeight="1">
      <c r="G30" s="73">
        <v>1735.88</v>
      </c>
      <c r="H30" s="73">
        <v>1846.28</v>
      </c>
    </row>
    <row r="31" spans="7:8" s="73" customFormat="1" ht="29.25" customHeight="1">
      <c r="G31" s="73">
        <v>1760.88</v>
      </c>
      <c r="H31" s="73">
        <v>1872.64</v>
      </c>
    </row>
    <row r="32" spans="7:8" s="73" customFormat="1" ht="29.25" customHeight="1">
      <c r="G32" s="73">
        <v>1773.15</v>
      </c>
      <c r="H32" s="73">
        <v>1901.72</v>
      </c>
    </row>
    <row r="33" spans="1:12" s="73" customFormat="1" ht="29.25" customHeight="1">
      <c r="G33" s="73">
        <v>1793.8</v>
      </c>
      <c r="H33" s="73">
        <v>1942.96</v>
      </c>
    </row>
    <row r="34" spans="1:12" s="73" customFormat="1" ht="29.25" customHeight="1">
      <c r="G34" s="73">
        <v>1828.83</v>
      </c>
      <c r="H34" s="73">
        <v>2004.95</v>
      </c>
    </row>
    <row r="35" spans="1:12" s="73" customFormat="1" ht="29.25" customHeight="1">
      <c r="G35" s="73">
        <v>1812.41</v>
      </c>
      <c r="H35" s="73">
        <v>1992.4</v>
      </c>
    </row>
    <row r="36" spans="1:12" s="73" customFormat="1" ht="27" customHeight="1">
      <c r="G36" s="73">
        <v>1939.05</v>
      </c>
      <c r="H36" s="73">
        <v>2042.94</v>
      </c>
    </row>
    <row r="37" spans="1:12" s="73" customFormat="1" ht="27" customHeight="1">
      <c r="D37" s="632"/>
      <c r="E37" s="632"/>
      <c r="F37" s="127"/>
      <c r="G37" s="128">
        <v>1999.9</v>
      </c>
      <c r="H37" s="129">
        <v>2119.54</v>
      </c>
    </row>
    <row r="38" spans="1:12" s="73" customFormat="1" ht="15.75">
      <c r="A38" s="633"/>
      <c r="B38" s="633"/>
      <c r="C38" s="633"/>
      <c r="D38" s="632"/>
      <c r="E38" s="632"/>
      <c r="F38" s="127"/>
      <c r="G38" s="128">
        <v>1966.56</v>
      </c>
      <c r="H38" s="129">
        <v>2051.38</v>
      </c>
    </row>
    <row r="39" spans="1:12" s="73" customFormat="1" ht="15.75">
      <c r="D39" s="632"/>
      <c r="E39" s="632"/>
      <c r="F39" s="127"/>
      <c r="G39" s="128">
        <v>1977.2</v>
      </c>
      <c r="H39" s="129">
        <v>2114.06</v>
      </c>
    </row>
    <row r="40" spans="1:12" s="2" customFormat="1" ht="15.75">
      <c r="A40" s="73"/>
      <c r="B40" s="73"/>
      <c r="C40" s="73"/>
      <c r="D40" s="632"/>
      <c r="E40" s="632"/>
      <c r="F40" s="127"/>
      <c r="G40" s="128">
        <v>2082.44</v>
      </c>
      <c r="H40" s="129">
        <v>2219.84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2046.06</v>
      </c>
      <c r="H41" s="129">
        <v>2232.9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1994.72</v>
      </c>
      <c r="H42" s="129">
        <v>2200.9899999999998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1918.81</v>
      </c>
      <c r="H43" s="129">
        <v>2122.25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1721.31</v>
      </c>
      <c r="H44" s="129">
        <v>1817.85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1694.68</v>
      </c>
      <c r="H45" s="129">
        <v>1702.97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1570.74</v>
      </c>
      <c r="H46" s="129">
        <v>1592.18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0"/>
      <c r="G63" s="630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597"/>
      <c r="B66" s="597"/>
      <c r="C66" s="631"/>
      <c r="D66" s="192"/>
      <c r="E66" s="193"/>
      <c r="F66" s="190"/>
      <c r="G66" s="190"/>
      <c r="H66" s="190"/>
      <c r="I66" s="190"/>
      <c r="J66" s="598"/>
      <c r="K66" s="598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9" t="s">
        <v>59</v>
      </c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</row>
    <row r="2" spans="1:19" ht="15" customHeight="1">
      <c r="A2" s="638"/>
      <c r="B2" s="638"/>
      <c r="C2" s="638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</row>
    <row r="3" spans="1:19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601"/>
      <c r="K3" s="601"/>
      <c r="L3" s="601"/>
      <c r="M3" s="601"/>
      <c r="N3" s="601"/>
    </row>
    <row r="4" spans="1:19" ht="18.75" customHeight="1">
      <c r="A4" s="73"/>
      <c r="B4" s="73"/>
      <c r="C4" s="73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196.5904903</v>
      </c>
      <c r="N7" s="73">
        <v>187.33</v>
      </c>
    </row>
    <row r="8" spans="1:19" ht="27" customHeight="1">
      <c r="A8" s="73"/>
      <c r="B8" s="73"/>
      <c r="C8" s="73"/>
      <c r="D8" s="73"/>
      <c r="E8" s="73"/>
      <c r="L8" s="73">
        <v>183.46308590000001</v>
      </c>
      <c r="N8" s="73">
        <v>186.81200000000001</v>
      </c>
    </row>
    <row r="9" spans="1:19" ht="27" customHeight="1">
      <c r="A9" s="73"/>
      <c r="B9" s="73"/>
      <c r="C9" s="73"/>
      <c r="D9" s="73"/>
      <c r="E9" s="73"/>
      <c r="L9" s="73">
        <v>182.02031250000002</v>
      </c>
      <c r="N9" s="73">
        <v>182.56200000000001</v>
      </c>
    </row>
    <row r="10" spans="1:19" ht="27" customHeight="1">
      <c r="A10" s="73"/>
      <c r="B10" s="73"/>
      <c r="C10" s="73"/>
      <c r="D10" s="73"/>
      <c r="E10" s="73"/>
      <c r="L10" s="73">
        <v>179.23297170000001</v>
      </c>
      <c r="N10" s="73">
        <v>185.745</v>
      </c>
    </row>
    <row r="11" spans="1:19" ht="33" customHeight="1">
      <c r="A11" s="73"/>
      <c r="B11" s="73"/>
      <c r="C11" s="73"/>
      <c r="D11" s="73"/>
      <c r="E11" s="73"/>
      <c r="L11" s="73">
        <v>178.17556540000001</v>
      </c>
      <c r="N11" s="73">
        <v>182.56200000000001</v>
      </c>
    </row>
    <row r="12" spans="1:19" ht="27" customHeight="1">
      <c r="A12" s="73"/>
      <c r="B12" s="73"/>
      <c r="C12" s="73"/>
      <c r="D12" s="73"/>
      <c r="E12" s="73"/>
      <c r="L12" s="73">
        <v>184.06897850000001</v>
      </c>
      <c r="N12" s="73">
        <v>182.84099999999998</v>
      </c>
    </row>
    <row r="13" spans="1:19" ht="27" customHeight="1">
      <c r="A13" s="73"/>
      <c r="B13" s="73"/>
      <c r="C13" s="73"/>
      <c r="D13" s="73"/>
      <c r="E13" s="73"/>
      <c r="L13" s="73">
        <v>129.94235365</v>
      </c>
      <c r="N13" s="73">
        <v>154.13400000000001</v>
      </c>
    </row>
    <row r="14" spans="1:19" ht="27" customHeight="1">
      <c r="A14" s="73"/>
      <c r="B14" s="73"/>
      <c r="C14" s="73"/>
      <c r="D14" s="73"/>
      <c r="E14" s="73"/>
      <c r="L14" s="73">
        <v>147.15034203000002</v>
      </c>
      <c r="N14" s="73">
        <v>140.096</v>
      </c>
    </row>
    <row r="15" spans="1:19" ht="27" customHeight="1">
      <c r="A15" s="73"/>
      <c r="B15" s="73"/>
      <c r="C15" s="73"/>
      <c r="D15" s="73"/>
      <c r="E15" s="73"/>
      <c r="L15" s="73">
        <v>140.32326019999999</v>
      </c>
      <c r="N15" s="73">
        <v>139.435</v>
      </c>
    </row>
    <row r="16" spans="1:19" ht="29.25" customHeight="1">
      <c r="A16" s="73"/>
      <c r="B16" s="73"/>
      <c r="C16" s="73"/>
      <c r="D16" s="73"/>
      <c r="E16" s="73"/>
      <c r="L16" s="73">
        <v>136.74016449999999</v>
      </c>
      <c r="N16" s="73">
        <v>138.71899999999999</v>
      </c>
    </row>
    <row r="17" spans="1:18" ht="29.25" customHeight="1">
      <c r="A17" s="73"/>
      <c r="B17" s="73"/>
      <c r="C17" s="73"/>
      <c r="D17" s="73"/>
      <c r="E17" s="73"/>
      <c r="L17" s="73">
        <v>88.212000599999996</v>
      </c>
      <c r="N17" s="73">
        <v>82.176999999999992</v>
      </c>
    </row>
    <row r="18" spans="1:18" ht="29.25" customHeight="1">
      <c r="A18" s="73"/>
      <c r="B18" s="73"/>
      <c r="C18" s="73"/>
      <c r="D18" s="73"/>
      <c r="E18" s="73"/>
      <c r="L18" s="73">
        <v>69.409477820000006</v>
      </c>
      <c r="N18" s="73">
        <v>81.843999999999994</v>
      </c>
    </row>
    <row r="19" spans="1:18" ht="29.25" customHeight="1">
      <c r="A19" s="73"/>
      <c r="B19" s="73"/>
      <c r="C19" s="73"/>
      <c r="D19" s="73"/>
      <c r="E19" s="73"/>
      <c r="L19" s="73">
        <v>68.892137600000012</v>
      </c>
      <c r="N19" s="73">
        <v>70.897000000000006</v>
      </c>
    </row>
    <row r="20" spans="1:18" ht="29.25" customHeight="1">
      <c r="A20" s="73"/>
      <c r="B20" s="73"/>
      <c r="C20" s="73"/>
      <c r="D20" s="73"/>
      <c r="E20" s="73"/>
      <c r="L20" s="73">
        <v>132.92989349999999</v>
      </c>
      <c r="N20" s="73">
        <v>137.846</v>
      </c>
    </row>
    <row r="21" spans="1:18" ht="29.25" customHeight="1">
      <c r="A21" s="73"/>
      <c r="B21" s="73"/>
      <c r="C21" s="73"/>
      <c r="D21" s="73"/>
      <c r="E21" s="73"/>
      <c r="L21" s="73">
        <v>127.21264160000001</v>
      </c>
      <c r="N21" s="73">
        <v>130.4</v>
      </c>
    </row>
    <row r="22" spans="1:18" ht="27" customHeight="1">
      <c r="A22" s="73"/>
      <c r="B22" s="73"/>
      <c r="C22" s="73"/>
      <c r="D22" s="73"/>
      <c r="E22" s="73"/>
      <c r="L22" s="73">
        <v>117.52189331</v>
      </c>
      <c r="N22" s="73">
        <v>119.33399999999999</v>
      </c>
    </row>
    <row r="23" spans="1:18" ht="27" customHeight="1">
      <c r="A23" s="73"/>
      <c r="B23" s="240"/>
      <c r="C23" s="73"/>
      <c r="D23" s="73"/>
      <c r="E23" s="73"/>
      <c r="L23" s="133">
        <v>97.832970919999994</v>
      </c>
      <c r="M23" s="133"/>
      <c r="N23" s="133">
        <v>109.86699999999999</v>
      </c>
    </row>
    <row r="24" spans="1:18" ht="27" customHeight="1">
      <c r="A24" s="73"/>
      <c r="B24" s="73"/>
      <c r="C24" s="73"/>
      <c r="D24" s="73"/>
      <c r="E24" s="73"/>
      <c r="L24" s="133">
        <v>83.979241209999998</v>
      </c>
      <c r="M24" s="133"/>
      <c r="N24" s="133">
        <v>92.675999999999988</v>
      </c>
    </row>
    <row r="25" spans="1:18" ht="27" customHeight="1">
      <c r="A25" s="73"/>
      <c r="B25" s="73"/>
      <c r="C25" s="73"/>
      <c r="D25" s="73"/>
      <c r="E25" s="73"/>
      <c r="L25" s="133">
        <v>43.933746550000002</v>
      </c>
      <c r="M25" s="133"/>
      <c r="N25" s="133">
        <v>45.295999999999999</v>
      </c>
    </row>
    <row r="26" spans="1:18">
      <c r="A26" s="207"/>
      <c r="B26" s="73"/>
      <c r="C26" s="73"/>
      <c r="D26" s="73"/>
      <c r="E26" s="73"/>
      <c r="L26" s="133">
        <v>46.641308729999999</v>
      </c>
      <c r="M26" s="133"/>
      <c r="N26" s="133">
        <v>45.295999999999999</v>
      </c>
      <c r="R26" s="205"/>
    </row>
    <row r="27" spans="1:18" ht="27" customHeight="1">
      <c r="A27" s="73"/>
      <c r="B27" s="73"/>
      <c r="C27" s="73"/>
      <c r="D27" s="73"/>
      <c r="E27" s="73"/>
      <c r="L27" s="133">
        <v>46.251061149999998</v>
      </c>
      <c r="M27" s="133"/>
      <c r="N27" s="133">
        <v>45.295999999999999</v>
      </c>
    </row>
    <row r="28" spans="1:18" ht="27" customHeight="1">
      <c r="A28" s="73"/>
      <c r="B28" s="73"/>
      <c r="C28" s="73"/>
      <c r="D28" s="73"/>
      <c r="E28" s="73"/>
      <c r="L28" s="133">
        <v>68.118629250000012</v>
      </c>
      <c r="M28" s="133"/>
      <c r="N28" s="133">
        <v>61.355999999999995</v>
      </c>
    </row>
    <row r="29" spans="1:18" ht="27" customHeight="1">
      <c r="A29" s="73"/>
      <c r="B29" s="73"/>
      <c r="C29" s="73"/>
      <c r="D29" s="73"/>
      <c r="E29" s="73"/>
      <c r="L29" s="133">
        <v>170.14139840000001</v>
      </c>
      <c r="M29" s="133"/>
      <c r="N29" s="133">
        <v>171.58</v>
      </c>
    </row>
    <row r="30" spans="1:18" ht="27" customHeight="1">
      <c r="A30" s="73"/>
      <c r="B30" s="73"/>
      <c r="C30" s="73"/>
      <c r="D30" s="73"/>
      <c r="E30" s="73"/>
      <c r="L30" s="133">
        <v>200.83118839999997</v>
      </c>
      <c r="M30" s="133"/>
      <c r="N30" s="133">
        <v>194.65800000000002</v>
      </c>
    </row>
    <row r="31" spans="1:18" ht="27" customHeight="1">
      <c r="A31" s="73"/>
      <c r="B31" s="339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3"/>
      <c r="B32" s="633"/>
      <c r="C32" s="633"/>
      <c r="D32" s="632"/>
      <c r="E32" s="63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2"/>
      <c r="E33" s="63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2"/>
      <c r="E34" s="63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7"/>
      <c r="G49" s="63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9" t="s">
        <v>81</v>
      </c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</row>
    <row r="2" spans="1:19" ht="15" customHeight="1">
      <c r="A2" s="638" t="s">
        <v>111</v>
      </c>
      <c r="B2" s="638"/>
      <c r="C2" s="638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</row>
    <row r="3" spans="1:19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601"/>
      <c r="K3" s="601"/>
      <c r="L3" s="601"/>
      <c r="M3" s="601"/>
      <c r="N3" s="601"/>
    </row>
    <row r="4" spans="1:19" ht="18.75" customHeight="1">
      <c r="A4" s="73"/>
      <c r="B4" s="73"/>
      <c r="C4" s="73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-188.89005800000001</v>
      </c>
      <c r="N7" s="73">
        <v>-180</v>
      </c>
    </row>
    <row r="8" spans="1:19" ht="27" customHeight="1">
      <c r="A8" s="73"/>
      <c r="B8" s="73"/>
      <c r="C8" s="73"/>
      <c r="D8" s="73"/>
      <c r="E8" s="73"/>
      <c r="L8" s="73">
        <v>-218.961805</v>
      </c>
      <c r="N8" s="73">
        <v>-225</v>
      </c>
    </row>
    <row r="9" spans="1:19" ht="27" customHeight="1">
      <c r="A9" s="73"/>
      <c r="B9" s="73"/>
      <c r="C9" s="73"/>
      <c r="D9" s="73"/>
      <c r="E9" s="73"/>
      <c r="L9" s="73">
        <v>-231.25752499999999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-224.78420299999999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-232.91197099999999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-242.38293400000001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-207.417652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-239.63788600000001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-231.5539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-235.12145100000001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-235.47808699999999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-216.216656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-231.450197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-238.18653900000001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-233.153355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-238.137699</v>
      </c>
      <c r="N22" s="73">
        <v>-240</v>
      </c>
    </row>
    <row r="23" spans="1:18" ht="27" customHeight="1">
      <c r="A23" s="73"/>
      <c r="B23" s="240"/>
      <c r="C23" s="73"/>
      <c r="D23" s="73"/>
      <c r="E23" s="73"/>
      <c r="L23" s="133">
        <v>-224.890807</v>
      </c>
      <c r="M23" s="133"/>
      <c r="N23" s="133">
        <v>-240</v>
      </c>
    </row>
    <row r="24" spans="1:18" ht="27" customHeight="1">
      <c r="A24" s="73"/>
      <c r="B24" s="73"/>
      <c r="C24" s="73"/>
      <c r="D24" s="73"/>
      <c r="E24" s="73"/>
      <c r="L24" s="133">
        <v>-225.930981</v>
      </c>
      <c r="M24" s="133"/>
      <c r="N24" s="133">
        <v>-240</v>
      </c>
    </row>
    <row r="25" spans="1:18" ht="27" customHeight="1">
      <c r="A25" s="73"/>
      <c r="B25" s="73"/>
      <c r="C25" s="73"/>
      <c r="D25" s="73"/>
      <c r="E25" s="73"/>
      <c r="L25" s="133">
        <v>-229.89380700000001</v>
      </c>
      <c r="M25" s="133"/>
      <c r="N25" s="133">
        <v>-240</v>
      </c>
    </row>
    <row r="26" spans="1:18">
      <c r="A26" s="207"/>
      <c r="B26" s="73"/>
      <c r="C26" s="73"/>
      <c r="D26" s="73"/>
      <c r="E26" s="73"/>
      <c r="L26" s="133">
        <v>-242.90739099999999</v>
      </c>
      <c r="M26" s="133"/>
      <c r="N26" s="133">
        <v>-240</v>
      </c>
      <c r="R26" s="205"/>
    </row>
    <row r="27" spans="1:18" ht="27" customHeight="1">
      <c r="A27" s="73"/>
      <c r="B27" s="73"/>
      <c r="C27" s="73"/>
      <c r="D27" s="73"/>
      <c r="E27" s="73"/>
      <c r="L27" s="133">
        <v>-236.098758</v>
      </c>
      <c r="M27" s="133"/>
      <c r="N27" s="133">
        <v>-240</v>
      </c>
    </row>
    <row r="28" spans="1:18" ht="27" customHeight="1">
      <c r="A28" s="73"/>
      <c r="B28" s="73"/>
      <c r="C28" s="73"/>
      <c r="D28" s="73"/>
      <c r="E28" s="73"/>
      <c r="L28" s="133">
        <v>-240.06034399999999</v>
      </c>
      <c r="M28" s="133"/>
      <c r="N28" s="133">
        <v>-240</v>
      </c>
    </row>
    <row r="29" spans="1:18" ht="27" customHeight="1">
      <c r="A29" s="73"/>
      <c r="B29" s="73"/>
      <c r="C29" s="73"/>
      <c r="D29" s="73"/>
      <c r="E29" s="73"/>
      <c r="L29" s="133">
        <v>-205.74787599999999</v>
      </c>
      <c r="M29" s="133"/>
      <c r="N29" s="133">
        <v>-207</v>
      </c>
    </row>
    <row r="30" spans="1:18" ht="27" customHeight="1">
      <c r="A30" s="73"/>
      <c r="B30" s="73"/>
      <c r="C30" s="73"/>
      <c r="D30" s="73"/>
      <c r="E30" s="73"/>
      <c r="L30" s="133">
        <v>-238.90723199999999</v>
      </c>
      <c r="M30" s="133"/>
      <c r="N30" s="133">
        <v>-240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3"/>
      <c r="B32" s="633"/>
      <c r="C32" s="633"/>
      <c r="D32" s="632"/>
      <c r="E32" s="63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2"/>
      <c r="E33" s="63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2"/>
      <c r="E34" s="63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7"/>
      <c r="G49" s="63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José Muralles</cp:lastModifiedBy>
  <cp:lastPrinted>2009-02-20T17:37:39Z</cp:lastPrinted>
  <dcterms:created xsi:type="dcterms:W3CDTF">2005-11-10T22:00:46Z</dcterms:created>
  <dcterms:modified xsi:type="dcterms:W3CDTF">2026-10-24T17:04:56Z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